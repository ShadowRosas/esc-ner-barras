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F:\AcademiaLeanSigma\Safariland\Código\"/>
    </mc:Choice>
  </mc:AlternateContent>
  <xr:revisionPtr revIDLastSave="0" documentId="13_ncr:1_{37DA4F0C-F634-4EF8-AD4E-20FF058FA5E7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8-AGOSTO" sheetId="10" r:id="rId1"/>
  </sheets>
  <externalReferences>
    <externalReference r:id="rId2"/>
  </externalReferenc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8" i="10" l="1"/>
  <c r="F68" i="10"/>
  <c r="E68" i="10"/>
  <c r="D68" i="10"/>
  <c r="C68" i="10"/>
  <c r="B68" i="10"/>
  <c r="G67" i="10"/>
  <c r="F67" i="10"/>
  <c r="E67" i="10"/>
  <c r="D67" i="10"/>
  <c r="C67" i="10"/>
  <c r="B67" i="10"/>
  <c r="G66" i="10"/>
  <c r="F66" i="10"/>
  <c r="E66" i="10"/>
  <c r="D66" i="10"/>
  <c r="C66" i="10"/>
  <c r="B66" i="10"/>
  <c r="G65" i="10"/>
  <c r="F65" i="10"/>
  <c r="E65" i="10"/>
  <c r="D65" i="10"/>
  <c r="C65" i="10"/>
  <c r="B65" i="10"/>
  <c r="G64" i="10"/>
  <c r="F64" i="10"/>
  <c r="E64" i="10"/>
  <c r="D64" i="10"/>
  <c r="C64" i="10"/>
  <c r="B64" i="10"/>
  <c r="G63" i="10"/>
  <c r="F63" i="10"/>
  <c r="E63" i="10"/>
  <c r="D63" i="10"/>
  <c r="C63" i="10"/>
  <c r="B63" i="10"/>
  <c r="G62" i="10"/>
  <c r="F62" i="10"/>
  <c r="E62" i="10"/>
  <c r="D62" i="10"/>
  <c r="C62" i="10"/>
  <c r="B62" i="10"/>
  <c r="G61" i="10"/>
  <c r="F61" i="10"/>
  <c r="E61" i="10"/>
  <c r="D61" i="10"/>
  <c r="C61" i="10"/>
  <c r="B61" i="10"/>
  <c r="G60" i="10"/>
  <c r="F60" i="10"/>
  <c r="E60" i="10"/>
  <c r="D60" i="10"/>
  <c r="C60" i="10"/>
  <c r="B60" i="10"/>
  <c r="G59" i="10"/>
  <c r="F59" i="10"/>
  <c r="E59" i="10"/>
  <c r="D59" i="10"/>
  <c r="C59" i="10"/>
  <c r="B59" i="10"/>
  <c r="G58" i="10"/>
  <c r="F58" i="10"/>
  <c r="E58" i="10"/>
  <c r="D58" i="10"/>
  <c r="C58" i="10"/>
  <c r="B58" i="10"/>
  <c r="G57" i="10"/>
  <c r="F57" i="10"/>
  <c r="E57" i="10"/>
  <c r="D57" i="10"/>
  <c r="C57" i="10"/>
  <c r="B57" i="10"/>
  <c r="G56" i="10"/>
  <c r="F56" i="10"/>
  <c r="E56" i="10"/>
  <c r="D56" i="10"/>
  <c r="C56" i="10"/>
  <c r="B56" i="10"/>
  <c r="G55" i="10"/>
  <c r="F55" i="10"/>
  <c r="E55" i="10"/>
  <c r="D55" i="10"/>
  <c r="C55" i="10"/>
  <c r="B55" i="10"/>
  <c r="G54" i="10"/>
  <c r="F54" i="10"/>
  <c r="E54" i="10"/>
  <c r="D54" i="10"/>
  <c r="C54" i="10"/>
  <c r="B54" i="10"/>
  <c r="G53" i="10"/>
  <c r="F53" i="10"/>
  <c r="E53" i="10"/>
  <c r="D53" i="10"/>
  <c r="C53" i="10"/>
  <c r="B53" i="10"/>
  <c r="G52" i="10"/>
  <c r="F52" i="10"/>
  <c r="E52" i="10"/>
  <c r="D52" i="10"/>
  <c r="C52" i="10"/>
  <c r="B52" i="10"/>
  <c r="G51" i="10"/>
  <c r="F51" i="10"/>
  <c r="E51" i="10"/>
  <c r="D51" i="10"/>
  <c r="C51" i="10"/>
  <c r="B51" i="10"/>
  <c r="G50" i="10"/>
  <c r="F50" i="10"/>
  <c r="E50" i="10"/>
  <c r="D50" i="10"/>
  <c r="C50" i="10"/>
  <c r="B50" i="10"/>
  <c r="G49" i="10"/>
  <c r="F49" i="10"/>
  <c r="E49" i="10"/>
  <c r="D49" i="10"/>
  <c r="C49" i="10"/>
  <c r="B49" i="10"/>
  <c r="G48" i="10"/>
  <c r="F48" i="10"/>
  <c r="E48" i="10"/>
  <c r="D48" i="10"/>
  <c r="C48" i="10"/>
  <c r="B48" i="10"/>
  <c r="G47" i="10"/>
  <c r="F47" i="10"/>
  <c r="E47" i="10"/>
  <c r="D47" i="10"/>
  <c r="C47" i="10"/>
  <c r="B47" i="10"/>
  <c r="G46" i="10"/>
  <c r="F46" i="10"/>
  <c r="E46" i="10"/>
  <c r="D46" i="10"/>
  <c r="C46" i="10"/>
  <c r="B46" i="10"/>
  <c r="G45" i="10"/>
  <c r="F45" i="10"/>
  <c r="E45" i="10"/>
  <c r="D45" i="10"/>
  <c r="C45" i="10"/>
  <c r="B45" i="10"/>
  <c r="G44" i="10"/>
  <c r="F44" i="10"/>
  <c r="E44" i="10"/>
  <c r="D44" i="10"/>
  <c r="C44" i="10"/>
  <c r="B44" i="10"/>
  <c r="G43" i="10"/>
  <c r="F43" i="10"/>
  <c r="E43" i="10"/>
  <c r="D43" i="10"/>
  <c r="C43" i="10"/>
  <c r="B43" i="10"/>
  <c r="G42" i="10"/>
  <c r="F42" i="10"/>
  <c r="E42" i="10"/>
  <c r="D42" i="10"/>
  <c r="C42" i="10"/>
  <c r="B42" i="10"/>
  <c r="G41" i="10"/>
  <c r="F41" i="10"/>
  <c r="E41" i="10"/>
  <c r="D41" i="10"/>
  <c r="C41" i="10"/>
  <c r="B41" i="10"/>
  <c r="G40" i="10"/>
  <c r="F40" i="10"/>
  <c r="E40" i="10"/>
  <c r="D40" i="10"/>
  <c r="C40" i="10"/>
  <c r="B40" i="10"/>
  <c r="G39" i="10"/>
  <c r="F39" i="10"/>
  <c r="E39" i="10"/>
  <c r="D39" i="10"/>
  <c r="C39" i="10"/>
  <c r="B39" i="10"/>
  <c r="G38" i="10"/>
  <c r="F38" i="10"/>
  <c r="E38" i="10"/>
  <c r="D38" i="10"/>
  <c r="C38" i="10"/>
  <c r="B38" i="10"/>
  <c r="G37" i="10"/>
  <c r="F37" i="10"/>
  <c r="E37" i="10"/>
  <c r="D37" i="10"/>
  <c r="C37" i="10"/>
  <c r="B37" i="10"/>
  <c r="G36" i="10"/>
  <c r="F36" i="10"/>
  <c r="E36" i="10"/>
  <c r="D36" i="10"/>
  <c r="C36" i="10"/>
  <c r="B36" i="10"/>
  <c r="G35" i="10"/>
  <c r="F35" i="10"/>
  <c r="E35" i="10"/>
  <c r="D35" i="10"/>
  <c r="C35" i="10"/>
  <c r="B35" i="10"/>
  <c r="G34" i="10"/>
  <c r="F34" i="10"/>
  <c r="E34" i="10"/>
  <c r="D34" i="10"/>
  <c r="C34" i="10"/>
  <c r="B34" i="10"/>
  <c r="G33" i="10"/>
  <c r="F33" i="10"/>
  <c r="E33" i="10"/>
  <c r="D33" i="10"/>
  <c r="C33" i="10"/>
  <c r="B33" i="10"/>
  <c r="G32" i="10"/>
  <c r="F32" i="10"/>
  <c r="E32" i="10"/>
  <c r="D32" i="10"/>
  <c r="C32" i="10"/>
  <c r="B32" i="10"/>
  <c r="G31" i="10"/>
  <c r="F31" i="10"/>
  <c r="E31" i="10"/>
  <c r="D31" i="10"/>
  <c r="C31" i="10"/>
  <c r="B31" i="10"/>
  <c r="G30" i="10"/>
  <c r="F30" i="10"/>
  <c r="E30" i="10"/>
  <c r="D30" i="10"/>
  <c r="C30" i="10"/>
  <c r="B30" i="10"/>
  <c r="G29" i="10"/>
  <c r="F29" i="10"/>
  <c r="E29" i="10"/>
  <c r="D29" i="10"/>
  <c r="C29" i="10"/>
  <c r="B29" i="10"/>
  <c r="G28" i="10"/>
  <c r="F28" i="10"/>
  <c r="E28" i="10"/>
  <c r="D28" i="10"/>
  <c r="C28" i="10"/>
  <c r="B28" i="10"/>
  <c r="G27" i="10"/>
  <c r="F27" i="10"/>
  <c r="E27" i="10"/>
  <c r="D27" i="10"/>
  <c r="C27" i="10"/>
  <c r="B27" i="10"/>
  <c r="G26" i="10"/>
  <c r="F26" i="10"/>
  <c r="E26" i="10"/>
  <c r="D26" i="10"/>
  <c r="C26" i="10"/>
  <c r="B26" i="10"/>
  <c r="G25" i="10"/>
  <c r="F25" i="10"/>
  <c r="E25" i="10"/>
  <c r="D25" i="10"/>
  <c r="C25" i="10"/>
  <c r="B25" i="10"/>
  <c r="G24" i="10"/>
  <c r="F24" i="10"/>
  <c r="E24" i="10"/>
  <c r="D24" i="10"/>
  <c r="C24" i="10"/>
  <c r="B24" i="10"/>
  <c r="G23" i="10"/>
  <c r="F23" i="10"/>
  <c r="E23" i="10"/>
  <c r="D23" i="10"/>
  <c r="C23" i="10"/>
  <c r="B23" i="10"/>
  <c r="G22" i="10"/>
  <c r="F22" i="10"/>
  <c r="E22" i="10"/>
  <c r="D22" i="10"/>
  <c r="C22" i="10"/>
  <c r="B22" i="10"/>
  <c r="G21" i="10"/>
  <c r="F21" i="10"/>
  <c r="E21" i="10"/>
  <c r="D21" i="10"/>
  <c r="C21" i="10"/>
  <c r="B21" i="10"/>
  <c r="G20" i="10"/>
  <c r="F20" i="10"/>
  <c r="E20" i="10"/>
  <c r="D20" i="10"/>
  <c r="C20" i="10"/>
  <c r="B20" i="10"/>
  <c r="G19" i="10"/>
  <c r="F19" i="10"/>
  <c r="E19" i="10"/>
  <c r="D19" i="10"/>
  <c r="C19" i="10"/>
  <c r="B19" i="10"/>
  <c r="G18" i="10"/>
  <c r="F18" i="10"/>
  <c r="E18" i="10"/>
  <c r="D18" i="10"/>
  <c r="C18" i="10"/>
  <c r="B18" i="10"/>
  <c r="G17" i="10"/>
  <c r="F17" i="10"/>
  <c r="E17" i="10"/>
  <c r="D17" i="10"/>
  <c r="C17" i="10"/>
  <c r="B17" i="10"/>
  <c r="G16" i="10"/>
  <c r="F16" i="10"/>
  <c r="E16" i="10"/>
  <c r="D16" i="10"/>
  <c r="C16" i="10"/>
  <c r="B16" i="10"/>
  <c r="G15" i="10"/>
  <c r="F15" i="10"/>
  <c r="E15" i="10"/>
  <c r="D15" i="10"/>
  <c r="C15" i="10"/>
  <c r="B15" i="10"/>
  <c r="G14" i="10"/>
  <c r="F14" i="10"/>
  <c r="E14" i="10"/>
  <c r="D14" i="10"/>
  <c r="C14" i="10"/>
  <c r="B14" i="10"/>
  <c r="G13" i="10"/>
  <c r="F13" i="10"/>
  <c r="E13" i="10"/>
  <c r="D13" i="10"/>
  <c r="C13" i="10"/>
  <c r="B13" i="10"/>
  <c r="G12" i="10"/>
  <c r="F12" i="10"/>
  <c r="E12" i="10"/>
  <c r="D12" i="10"/>
  <c r="C12" i="10"/>
  <c r="B12" i="10"/>
  <c r="G11" i="10"/>
  <c r="F11" i="10"/>
  <c r="E11" i="10"/>
  <c r="D11" i="10"/>
  <c r="C11" i="10"/>
  <c r="B11" i="10"/>
  <c r="G10" i="10"/>
  <c r="F10" i="10"/>
  <c r="E10" i="10"/>
  <c r="D10" i="10"/>
  <c r="C10" i="10"/>
  <c r="B10" i="10"/>
  <c r="G9" i="10"/>
  <c r="F9" i="10"/>
  <c r="E9" i="10"/>
  <c r="D9" i="10"/>
  <c r="C9" i="10"/>
  <c r="B9" i="10"/>
  <c r="G8" i="10"/>
  <c r="F8" i="10"/>
  <c r="E8" i="10"/>
  <c r="D8" i="10"/>
  <c r="C8" i="10"/>
  <c r="B8" i="10"/>
  <c r="G7" i="10"/>
  <c r="E7" i="10"/>
  <c r="G6" i="10"/>
  <c r="F6" i="10"/>
  <c r="E6" i="10"/>
  <c r="D6" i="10"/>
  <c r="C6" i="10"/>
  <c r="B6" i="10"/>
  <c r="G5" i="10"/>
  <c r="F5" i="10"/>
  <c r="E5" i="10"/>
  <c r="D5" i="10"/>
  <c r="C5" i="10"/>
  <c r="B5" i="10"/>
  <c r="S4" i="10"/>
  <c r="G4" i="10"/>
  <c r="F4" i="10"/>
  <c r="E4" i="10"/>
  <c r="D4" i="10"/>
  <c r="C4" i="10"/>
  <c r="B4" i="10"/>
  <c r="S3" i="10"/>
  <c r="G3" i="10"/>
  <c r="F3" i="10"/>
  <c r="E3" i="10"/>
  <c r="D3" i="10"/>
  <c r="C3" i="10"/>
  <c r="B3" i="10"/>
  <c r="S2" i="10"/>
  <c r="O2" i="10"/>
  <c r="G2" i="10"/>
  <c r="F2" i="10"/>
  <c r="E2" i="10"/>
  <c r="D2" i="10"/>
  <c r="C2" i="10"/>
  <c r="B2" i="10"/>
</calcChain>
</file>

<file path=xl/sharedStrings.xml><?xml version="1.0" encoding="utf-8"?>
<sst xmlns="http://schemas.openxmlformats.org/spreadsheetml/2006/main" count="60" uniqueCount="59">
  <si>
    <t>W.O.</t>
  </si>
  <si>
    <t xml:space="preserve">PI </t>
  </si>
  <si>
    <t>LEGACI</t>
  </si>
  <si>
    <t xml:space="preserve">MODELO </t>
  </si>
  <si>
    <t xml:space="preserve">DESCRIPCION </t>
  </si>
  <si>
    <t>QTY</t>
  </si>
  <si>
    <t>EFIFC.</t>
  </si>
  <si>
    <t>POUCHES F1</t>
  </si>
  <si>
    <t>DIA</t>
  </si>
  <si>
    <t>445 HRS.</t>
  </si>
  <si>
    <t>Heand count</t>
  </si>
  <si>
    <t>HRS. VISUAL</t>
  </si>
  <si>
    <t>HRS. HOMBRE</t>
  </si>
  <si>
    <t>DIA/28</t>
  </si>
  <si>
    <t xml:space="preserve">HC  </t>
  </si>
  <si>
    <t>HORA</t>
  </si>
  <si>
    <t>NOCT/5</t>
  </si>
  <si>
    <t>6721348</t>
  </si>
  <si>
    <t>6726262</t>
  </si>
  <si>
    <t>6724447</t>
  </si>
  <si>
    <t>6710684</t>
  </si>
  <si>
    <t>6726178</t>
  </si>
  <si>
    <t>6721315</t>
  </si>
  <si>
    <t>6717243</t>
  </si>
  <si>
    <t>38-2-4B</t>
  </si>
  <si>
    <t>6724737</t>
  </si>
  <si>
    <t>6718227</t>
  </si>
  <si>
    <t>6724054</t>
  </si>
  <si>
    <t>6726145</t>
  </si>
  <si>
    <t>6722012</t>
  </si>
  <si>
    <t>6726157</t>
  </si>
  <si>
    <t>6724706</t>
  </si>
  <si>
    <t>6722135</t>
  </si>
  <si>
    <t>6722331</t>
  </si>
  <si>
    <t>6726169</t>
  </si>
  <si>
    <t>6726111</t>
  </si>
  <si>
    <t>6726139</t>
  </si>
  <si>
    <t>6726165</t>
  </si>
  <si>
    <t>6726181</t>
  </si>
  <si>
    <t>6726161</t>
  </si>
  <si>
    <t>6724814</t>
  </si>
  <si>
    <t>6726160</t>
  </si>
  <si>
    <t>6723939</t>
  </si>
  <si>
    <t>6724606</t>
  </si>
  <si>
    <t>6726206</t>
  </si>
  <si>
    <t>6718440</t>
  </si>
  <si>
    <t>6721971</t>
  </si>
  <si>
    <t>6726275</t>
  </si>
  <si>
    <t>6726254</t>
  </si>
  <si>
    <t>6724412</t>
  </si>
  <si>
    <t>6724413</t>
  </si>
  <si>
    <t>6724917</t>
  </si>
  <si>
    <t>6721974</t>
  </si>
  <si>
    <t>6726168</t>
  </si>
  <si>
    <t>6726110</t>
  </si>
  <si>
    <t>6726136</t>
  </si>
  <si>
    <t>6724918</t>
  </si>
  <si>
    <t>6726256</t>
  </si>
  <si>
    <t>6726163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</si>
</sst>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name val="Bahnschrift SemiBold Condensed"/>
      <family val="2"/>
    </font>
    <font>
      <sz val="12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3">
    <xf numFmtId="0" fontId="0" fillId="0" borderId="0" xfId="0"/>
    <xf numFmtId="0" fontId="4" fillId="0" borderId="2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/>
    <xf numFmtId="0" fontId="2" fillId="4" borderId="2" xfId="0" applyFont="1" applyFill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6" fillId="5" borderId="10" xfId="0" applyFont="1" applyFill="1" applyBorder="1" applyAlignment="1">
      <alignment horizontal="center"/>
    </xf>
    <xf numFmtId="0" fontId="6" fillId="5" borderId="11" xfId="0" applyFont="1" applyFill="1" applyBorder="1" applyAlignment="1">
      <alignment horizontal="center"/>
    </xf>
    <xf numFmtId="49" fontId="0" fillId="0" borderId="0" xfId="0" applyNumberFormat="1"/>
    <xf numFmtId="9" fontId="4" fillId="0" borderId="1" xfId="1" applyFont="1" applyFill="1" applyBorder="1" applyAlignment="1">
      <alignment horizontal="center" vertical="center"/>
    </xf>
    <xf numFmtId="0" fontId="2" fillId="0" borderId="10" xfId="0" applyFont="1" applyBorder="1"/>
    <xf numFmtId="0" fontId="3" fillId="0" borderId="3" xfId="0" applyFont="1" applyBorder="1" applyAlignment="1">
      <alignment horizontal="center"/>
    </xf>
    <xf numFmtId="0" fontId="2" fillId="0" borderId="14" xfId="0" applyFont="1" applyBorder="1"/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2" xfId="0" applyFont="1" applyBorder="1"/>
    <xf numFmtId="22" fontId="0" fillId="0" borderId="0" xfId="0" applyNumberFormat="1"/>
    <xf numFmtId="0" fontId="0" fillId="3" borderId="0" xfId="0" applyFill="1"/>
    <xf numFmtId="0" fontId="0" fillId="6" borderId="0" xfId="0" applyFill="1"/>
    <xf numFmtId="22" fontId="6" fillId="5" borderId="11" xfId="0" applyNumberFormat="1" applyFont="1" applyFill="1" applyBorder="1" applyAlignment="1">
      <alignment horizontal="center"/>
    </xf>
    <xf numFmtId="49" fontId="6" fillId="0" borderId="10" xfId="0" applyNumberFormat="1" applyFont="1" applyBorder="1" applyAlignment="1">
      <alignment horizontal="center"/>
    </xf>
    <xf numFmtId="0" fontId="3" fillId="0" borderId="0" xfId="0" applyFont="1" applyAlignment="1">
      <alignment horizontal="center"/>
    </xf>
    <xf numFmtId="22" fontId="7" fillId="0" borderId="0" xfId="0" applyNumberFormat="1" applyFont="1"/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9" fontId="5" fillId="3" borderId="5" xfId="0" applyNumberFormat="1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9" fontId="4" fillId="3" borderId="1" xfId="1" applyFont="1" applyFill="1" applyBorder="1" applyAlignment="1">
      <alignment horizontal="center" vertical="center"/>
    </xf>
    <xf numFmtId="9" fontId="4" fillId="3" borderId="6" xfId="1" applyFont="1" applyFill="1" applyBorder="1" applyAlignment="1">
      <alignment horizontal="center" vertical="center"/>
    </xf>
  </cellXfs>
  <cellStyles count="2">
    <cellStyle name="Normal" xfId="0" builtinId="0"/>
    <cellStyle name="Porcentaje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R:\Production\Duty%20Gear\EMPAQUE%202024\OPEN%20JUNIO.xlsx" TargetMode="External"/><Relationship Id="rId1" Type="http://schemas.openxmlformats.org/officeDocument/2006/relationships/externalLinkPath" Target="file:///R:\Production\Duty%20Gear\EMPAQUE%202024\OPEN%20JUNI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4-JUNIO"/>
      <sheetName val="5-JUNIO"/>
      <sheetName val="6-JUNIO"/>
      <sheetName val="7-JUNIO"/>
      <sheetName val="10-JUNIO"/>
      <sheetName val="SCAN 999"/>
      <sheetName val="1-JUNIO"/>
      <sheetName val="Sheet2"/>
      <sheetName val="12-JUNIO"/>
      <sheetName val="Sheet3"/>
      <sheetName val="14-JUNI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1">
          <cell r="A1" t="str">
            <v>WO_ID</v>
          </cell>
          <cell r="B1" t="str">
            <v>PART_ID</v>
          </cell>
          <cell r="C1" t="str">
            <v>LEGACY</v>
          </cell>
          <cell r="D1" t="str">
            <v>MODEL</v>
          </cell>
          <cell r="E1" t="str">
            <v>PART_DESC</v>
          </cell>
          <cell r="F1" t="str">
            <v>PLANNER</v>
          </cell>
          <cell r="G1" t="str">
            <v>PRODUCT_CODE</v>
          </cell>
          <cell r="H1" t="str">
            <v>STAT</v>
          </cell>
          <cell r="I1" t="str">
            <v>C_DATE</v>
          </cell>
          <cell r="J1" t="str">
            <v>S_DATE</v>
          </cell>
          <cell r="K1" t="str">
            <v>W_DATE</v>
          </cell>
          <cell r="L1" t="str">
            <v>WO_QTY</v>
          </cell>
          <cell r="M1" t="str">
            <v>P_DATE</v>
          </cell>
          <cell r="N1" t="str">
            <v>WKDATE</v>
          </cell>
          <cell r="O1" t="str">
            <v>OPEN_QTY</v>
          </cell>
          <cell r="P1" t="str">
            <v>RUN_HRS</v>
          </cell>
        </row>
        <row r="2">
          <cell r="A2" t="str">
            <v>6727608</v>
          </cell>
          <cell r="B2" t="str">
            <v>1130428</v>
          </cell>
          <cell r="C2" t="str">
            <v>3004-1-55</v>
          </cell>
          <cell r="D2" t="str">
            <v>3004</v>
          </cell>
          <cell r="E2" t="str">
            <v>DBL ACCSY LEG STRAP</v>
          </cell>
          <cell r="F2" t="str">
            <v>DG-HARNESS-DTC</v>
          </cell>
          <cell r="G2" t="str">
            <v>1420-210-FG</v>
          </cell>
          <cell r="H2" t="str">
            <v>F</v>
          </cell>
          <cell r="I2" t="str">
            <v>06/11/2024</v>
          </cell>
          <cell r="J2" t="str">
            <v>06/11/2024</v>
          </cell>
          <cell r="K2" t="str">
            <v>07/08/2022</v>
          </cell>
          <cell r="L2">
            <v>100</v>
          </cell>
          <cell r="M2" t="str">
            <v/>
          </cell>
          <cell r="N2" t="str">
            <v>27</v>
          </cell>
          <cell r="O2">
            <v>100</v>
          </cell>
          <cell r="P2">
            <v>5.5</v>
          </cell>
        </row>
        <row r="3">
          <cell r="A3" t="str">
            <v>6727609</v>
          </cell>
          <cell r="B3" t="str">
            <v>1130428</v>
          </cell>
          <cell r="C3" t="str">
            <v>3004-1-55</v>
          </cell>
          <cell r="D3" t="str">
            <v>3004</v>
          </cell>
          <cell r="E3" t="str">
            <v>DBL ACCSY LEG STRAP</v>
          </cell>
          <cell r="F3" t="str">
            <v>DG-HARNESS-DTC</v>
          </cell>
          <cell r="G3" t="str">
            <v>1420-210-FG</v>
          </cell>
          <cell r="H3" t="str">
            <v>F</v>
          </cell>
          <cell r="I3" t="str">
            <v>06/11/2024</v>
          </cell>
          <cell r="J3" t="str">
            <v>06/11/2024</v>
          </cell>
          <cell r="K3" t="str">
            <v>07/08/2022</v>
          </cell>
          <cell r="L3">
            <v>100</v>
          </cell>
          <cell r="M3" t="str">
            <v/>
          </cell>
          <cell r="N3" t="str">
            <v>27</v>
          </cell>
          <cell r="O3">
            <v>100</v>
          </cell>
          <cell r="P3">
            <v>5.5</v>
          </cell>
        </row>
        <row r="4">
          <cell r="A4" t="str">
            <v>6727610</v>
          </cell>
          <cell r="B4" t="str">
            <v>1130428</v>
          </cell>
          <cell r="C4" t="str">
            <v>3004-1-55</v>
          </cell>
          <cell r="D4" t="str">
            <v>3004</v>
          </cell>
          <cell r="E4" t="str">
            <v>DBL ACCSY LEG STRAP</v>
          </cell>
          <cell r="F4" t="str">
            <v>DG-HARNESS-DTC</v>
          </cell>
          <cell r="G4" t="str">
            <v>1420-210-FG</v>
          </cell>
          <cell r="H4" t="str">
            <v>F</v>
          </cell>
          <cell r="I4" t="str">
            <v>06/11/2024</v>
          </cell>
          <cell r="J4" t="str">
            <v>06/11/2024</v>
          </cell>
          <cell r="K4" t="str">
            <v>07/08/2022</v>
          </cell>
          <cell r="L4">
            <v>50</v>
          </cell>
          <cell r="M4" t="str">
            <v/>
          </cell>
          <cell r="N4" t="str">
            <v>27</v>
          </cell>
          <cell r="O4">
            <v>50</v>
          </cell>
          <cell r="P4">
            <v>2.75</v>
          </cell>
        </row>
        <row r="5">
          <cell r="A5" t="str">
            <v>6727611</v>
          </cell>
          <cell r="B5" t="str">
            <v>1130428</v>
          </cell>
          <cell r="C5" t="str">
            <v>3004-1-55</v>
          </cell>
          <cell r="D5" t="str">
            <v>3004</v>
          </cell>
          <cell r="E5" t="str">
            <v>DBL ACCSY LEG STRAP</v>
          </cell>
          <cell r="F5" t="str">
            <v>DG-HARNESS-DTC</v>
          </cell>
          <cell r="G5" t="str">
            <v>1420-210-FG</v>
          </cell>
          <cell r="H5" t="str">
            <v>F</v>
          </cell>
          <cell r="I5" t="str">
            <v>06/11/2024</v>
          </cell>
          <cell r="J5" t="str">
            <v>06/11/2024</v>
          </cell>
          <cell r="K5" t="str">
            <v>07/08/2022</v>
          </cell>
          <cell r="L5">
            <v>100</v>
          </cell>
          <cell r="M5" t="str">
            <v/>
          </cell>
          <cell r="N5" t="str">
            <v>27</v>
          </cell>
          <cell r="O5">
            <v>100</v>
          </cell>
          <cell r="P5">
            <v>5.5</v>
          </cell>
        </row>
        <row r="6">
          <cell r="A6" t="str">
            <v>6707739</v>
          </cell>
          <cell r="B6" t="str">
            <v>1328707</v>
          </cell>
          <cell r="C6" t="str">
            <v>H1054-MIL-KIT2-HARNESS-BKA-NQLS</v>
          </cell>
          <cell r="D6" t="str">
            <v>H1054 KIT2</v>
          </cell>
          <cell r="E6" t="str">
            <v>H1054 KIT2 BKA SHOULDER PAD AND 1IN WEB</v>
          </cell>
          <cell r="F6" t="str">
            <v>SUBASSEMBLY</v>
          </cell>
          <cell r="G6" t="str">
            <v>1420-210-SB</v>
          </cell>
          <cell r="H6" t="str">
            <v>R</v>
          </cell>
          <cell r="I6" t="str">
            <v>05/06/2024</v>
          </cell>
          <cell r="J6" t="str">
            <v>05/06/2024</v>
          </cell>
          <cell r="K6" t="str">
            <v>05/10/2024</v>
          </cell>
          <cell r="L6">
            <v>2</v>
          </cell>
          <cell r="M6" t="str">
            <v>5/6/2024 7:33:00 AM</v>
          </cell>
          <cell r="N6" t="str">
            <v>19</v>
          </cell>
          <cell r="O6">
            <v>2</v>
          </cell>
          <cell r="P6">
            <v>0.8</v>
          </cell>
        </row>
        <row r="7">
          <cell r="A7" t="str">
            <v>6707740</v>
          </cell>
          <cell r="B7" t="str">
            <v>1321855</v>
          </cell>
          <cell r="C7" t="str">
            <v>SA-KYD-093PLATE-KIT2-BKA</v>
          </cell>
          <cell r="D7" t="str">
            <v>SA</v>
          </cell>
          <cell r="E7" t="str">
            <v>MIL-KIT2 PLATE 093 BOLT BLK</v>
          </cell>
          <cell r="F7" t="str">
            <v>DG-HOLSTER</v>
          </cell>
          <cell r="G7" t="str">
            <v>1420-210-SB</v>
          </cell>
          <cell r="H7" t="str">
            <v>R</v>
          </cell>
          <cell r="I7" t="str">
            <v>05/06/2024</v>
          </cell>
          <cell r="J7" t="str">
            <v>05/06/2024</v>
          </cell>
          <cell r="K7" t="str">
            <v>05/10/2024</v>
          </cell>
          <cell r="L7">
            <v>2</v>
          </cell>
          <cell r="M7" t="str">
            <v>5/6/2024 7:33:43 AM</v>
          </cell>
          <cell r="N7" t="str">
            <v>19</v>
          </cell>
          <cell r="O7">
            <v>2</v>
          </cell>
          <cell r="P7">
            <v>0.03</v>
          </cell>
        </row>
        <row r="8">
          <cell r="A8" t="str">
            <v>6707743</v>
          </cell>
          <cell r="B8" t="str">
            <v>1321855</v>
          </cell>
          <cell r="C8" t="str">
            <v>SA-KYD-093PLATE-KIT2-BKA</v>
          </cell>
          <cell r="D8" t="str">
            <v>SA</v>
          </cell>
          <cell r="E8" t="str">
            <v>MIL-KIT2 PLATE 093 BOLT BLK</v>
          </cell>
          <cell r="F8" t="str">
            <v>DG-HOLSTER</v>
          </cell>
          <cell r="G8" t="str">
            <v>1420-210-SB</v>
          </cell>
          <cell r="H8" t="str">
            <v>R</v>
          </cell>
          <cell r="I8" t="str">
            <v>05/06/2024</v>
          </cell>
          <cell r="J8" t="str">
            <v>05/06/2024</v>
          </cell>
          <cell r="K8" t="str">
            <v>05/10/2024</v>
          </cell>
          <cell r="L8">
            <v>1</v>
          </cell>
          <cell r="M8" t="str">
            <v>5/6/2024 7:37:42 AM</v>
          </cell>
          <cell r="N8" t="str">
            <v>19</v>
          </cell>
          <cell r="O8">
            <v>1</v>
          </cell>
          <cell r="P8">
            <v>0.02</v>
          </cell>
        </row>
        <row r="9">
          <cell r="A9" t="str">
            <v>6710514</v>
          </cell>
          <cell r="B9" t="str">
            <v>1323729</v>
          </cell>
          <cell r="C9" t="str">
            <v>6360RDS-582-131</v>
          </cell>
          <cell r="D9" t="str">
            <v>6360RDS</v>
          </cell>
          <cell r="E9" t="str">
            <v>6360RDS PRODIGY 4.25" X300U STX BLK RH</v>
          </cell>
          <cell r="F9" t="str">
            <v>DG-HOLSTER-RDS</v>
          </cell>
          <cell r="G9" t="str">
            <v>1420-210-FG</v>
          </cell>
          <cell r="H9" t="str">
            <v>R</v>
          </cell>
          <cell r="I9" t="str">
            <v>05/07/2024</v>
          </cell>
          <cell r="J9" t="str">
            <v>05/07/2024</v>
          </cell>
          <cell r="K9" t="str">
            <v>05/20/2024</v>
          </cell>
          <cell r="L9">
            <v>15</v>
          </cell>
          <cell r="M9" t="str">
            <v>6/13/2024 11:23:28 AM</v>
          </cell>
          <cell r="N9" t="str">
            <v>21</v>
          </cell>
          <cell r="O9">
            <v>15</v>
          </cell>
          <cell r="P9">
            <v>6</v>
          </cell>
        </row>
        <row r="10">
          <cell r="A10" t="str">
            <v>6714447</v>
          </cell>
          <cell r="B10" t="str">
            <v>1179852</v>
          </cell>
          <cell r="C10" t="str">
            <v>1051-283-411</v>
          </cell>
          <cell r="D10" t="str">
            <v>1051</v>
          </cell>
          <cell r="E10" t="str">
            <v>1051 GLOCK 19/23 STX PLN BLK RH</v>
          </cell>
          <cell r="F10" t="str">
            <v>DG-HOLSTER-SEW-DTC</v>
          </cell>
          <cell r="G10" t="str">
            <v>1420-210-FG</v>
          </cell>
          <cell r="H10" t="str">
            <v>R</v>
          </cell>
          <cell r="I10" t="str">
            <v>05/14/2024</v>
          </cell>
          <cell r="J10" t="str">
            <v>05/14/2024</v>
          </cell>
          <cell r="K10" t="str">
            <v>05/27/2024</v>
          </cell>
          <cell r="L10">
            <v>5</v>
          </cell>
          <cell r="M10" t="str">
            <v>5/16/2024 12:16:49 PM</v>
          </cell>
          <cell r="N10" t="str">
            <v>22</v>
          </cell>
          <cell r="O10">
            <v>5</v>
          </cell>
          <cell r="P10">
            <v>2.87</v>
          </cell>
        </row>
        <row r="11">
          <cell r="A11" t="str">
            <v>6712600</v>
          </cell>
          <cell r="B11" t="str">
            <v>1207250</v>
          </cell>
          <cell r="C11" t="str">
            <v>557-5932-411</v>
          </cell>
          <cell r="D11" t="str">
            <v>557</v>
          </cell>
          <cell r="E11" t="str">
            <v>557 H&amp;K VP9 X300U STX PLN BLK RH</v>
          </cell>
          <cell r="F11" t="str">
            <v>DG-HOLSTER-DTC</v>
          </cell>
          <cell r="G11" t="str">
            <v>1420-210-FG</v>
          </cell>
          <cell r="H11" t="str">
            <v>R</v>
          </cell>
          <cell r="I11" t="str">
            <v>05/13/2024</v>
          </cell>
          <cell r="J11" t="str">
            <v>05/13/2024</v>
          </cell>
          <cell r="K11" t="str">
            <v>05/27/2024</v>
          </cell>
          <cell r="L11">
            <v>10</v>
          </cell>
          <cell r="M11" t="str">
            <v>5/16/2024 12:16:49 PM</v>
          </cell>
          <cell r="N11" t="str">
            <v>22</v>
          </cell>
          <cell r="O11">
            <v>10</v>
          </cell>
          <cell r="P11">
            <v>1.73</v>
          </cell>
        </row>
        <row r="12">
          <cell r="A12" t="str">
            <v>6714198</v>
          </cell>
          <cell r="B12" t="str">
            <v>1112971</v>
          </cell>
          <cell r="C12" t="str">
            <v>6004-56-121</v>
          </cell>
          <cell r="D12" t="str">
            <v>6004</v>
          </cell>
          <cell r="E12" t="str">
            <v>6004 SPRNGFLD OPR STX TAC BLK RH</v>
          </cell>
          <cell r="F12" t="str">
            <v>DG-HOLSTER-H</v>
          </cell>
          <cell r="G12" t="str">
            <v>1420-210-FG</v>
          </cell>
          <cell r="H12" t="str">
            <v>R</v>
          </cell>
          <cell r="I12" t="str">
            <v>05/14/2024</v>
          </cell>
          <cell r="J12" t="str">
            <v>05/14/2024</v>
          </cell>
          <cell r="K12" t="str">
            <v>05/27/2024</v>
          </cell>
          <cell r="L12">
            <v>5</v>
          </cell>
          <cell r="M12" t="str">
            <v>5/16/2024 12:30:42 PM</v>
          </cell>
          <cell r="N12" t="str">
            <v>22</v>
          </cell>
          <cell r="O12">
            <v>5</v>
          </cell>
          <cell r="P12">
            <v>2.14</v>
          </cell>
        </row>
        <row r="13">
          <cell r="A13" t="str">
            <v>6714202</v>
          </cell>
          <cell r="B13" t="str">
            <v>1117099</v>
          </cell>
          <cell r="C13" t="str">
            <v>6005-64-121</v>
          </cell>
          <cell r="D13" t="str">
            <v>6005</v>
          </cell>
          <cell r="E13" t="str">
            <v>6005 X26 STX TAC BLK RH</v>
          </cell>
          <cell r="F13" t="str">
            <v>DG-HOLSTER-H</v>
          </cell>
          <cell r="G13" t="str">
            <v>1420-210-FG</v>
          </cell>
          <cell r="H13" t="str">
            <v>R</v>
          </cell>
          <cell r="I13" t="str">
            <v>05/14/2024</v>
          </cell>
          <cell r="J13" t="str">
            <v>05/14/2024</v>
          </cell>
          <cell r="K13" t="str">
            <v>05/27/2024</v>
          </cell>
          <cell r="L13">
            <v>5</v>
          </cell>
          <cell r="M13" t="str">
            <v>5/16/2024 12:27:31 PM</v>
          </cell>
          <cell r="N13" t="str">
            <v>22</v>
          </cell>
          <cell r="O13">
            <v>5</v>
          </cell>
          <cell r="P13">
            <v>2.14</v>
          </cell>
        </row>
        <row r="14">
          <cell r="A14" t="str">
            <v>6714078</v>
          </cell>
          <cell r="B14" t="str">
            <v>1110786</v>
          </cell>
          <cell r="C14" t="str">
            <v>6280-09-131-S</v>
          </cell>
          <cell r="D14" t="str">
            <v>6280</v>
          </cell>
          <cell r="E14" t="str">
            <v>6280 S&amp;W 66 STX TAC BLK RH</v>
          </cell>
          <cell r="F14" t="str">
            <v>DG-HOLSTER</v>
          </cell>
          <cell r="G14" t="str">
            <v>1420-210-FG</v>
          </cell>
          <cell r="H14" t="str">
            <v>R</v>
          </cell>
          <cell r="I14" t="str">
            <v>05/14/2024</v>
          </cell>
          <cell r="J14" t="str">
            <v>05/14/2024</v>
          </cell>
          <cell r="K14" t="str">
            <v>05/27/2024</v>
          </cell>
          <cell r="L14">
            <v>5</v>
          </cell>
          <cell r="M14" t="str">
            <v>5/16/2024 12:30:42 PM</v>
          </cell>
          <cell r="N14" t="str">
            <v>22</v>
          </cell>
          <cell r="O14">
            <v>5</v>
          </cell>
          <cell r="P14">
            <v>1</v>
          </cell>
        </row>
        <row r="15">
          <cell r="A15" t="str">
            <v>6714094</v>
          </cell>
          <cell r="B15" t="str">
            <v>1123706</v>
          </cell>
          <cell r="C15" t="str">
            <v>6365-56-61</v>
          </cell>
          <cell r="D15" t="str">
            <v>6365</v>
          </cell>
          <cell r="E15" t="str">
            <v>6365 SPRNGFLD OPR PLN BLK RH</v>
          </cell>
          <cell r="F15" t="str">
            <v>DG-HOLSTER</v>
          </cell>
          <cell r="G15" t="str">
            <v>1420-210-FG</v>
          </cell>
          <cell r="H15" t="str">
            <v>R</v>
          </cell>
          <cell r="I15" t="str">
            <v>05/14/2024</v>
          </cell>
          <cell r="J15" t="str">
            <v>05/14/2024</v>
          </cell>
          <cell r="K15" t="str">
            <v>05/27/2024</v>
          </cell>
          <cell r="L15">
            <v>5</v>
          </cell>
          <cell r="M15" t="str">
            <v>5/16/2024 11:12:56 AM</v>
          </cell>
          <cell r="N15" t="str">
            <v>22</v>
          </cell>
          <cell r="O15">
            <v>5</v>
          </cell>
          <cell r="P15">
            <v>1.22</v>
          </cell>
        </row>
        <row r="16">
          <cell r="A16" t="str">
            <v>6711901</v>
          </cell>
          <cell r="B16" t="str">
            <v>1183937</v>
          </cell>
          <cell r="C16" t="str">
            <v>H3084-BLK</v>
          </cell>
          <cell r="D16" t="str">
            <v>H3084</v>
          </cell>
          <cell r="E16" t="str">
            <v>H3084 BLACK WRAP HARNESS</v>
          </cell>
          <cell r="F16" t="str">
            <v>DG-HOLSTER</v>
          </cell>
          <cell r="G16" t="str">
            <v>1420-210-SB</v>
          </cell>
          <cell r="H16" t="str">
            <v>R</v>
          </cell>
          <cell r="I16" t="str">
            <v>05/13/2024</v>
          </cell>
          <cell r="J16" t="str">
            <v>05/13/2024</v>
          </cell>
          <cell r="K16" t="str">
            <v>05/27/2024</v>
          </cell>
          <cell r="L16">
            <v>5</v>
          </cell>
          <cell r="M16" t="str">
            <v>6/3/2024 8:30:06 AM</v>
          </cell>
          <cell r="N16" t="str">
            <v>22</v>
          </cell>
          <cell r="O16">
            <v>5</v>
          </cell>
          <cell r="P16">
            <v>0.67</v>
          </cell>
        </row>
        <row r="17">
          <cell r="A17" t="str">
            <v>6714113</v>
          </cell>
          <cell r="B17" t="str">
            <v>1132252</v>
          </cell>
          <cell r="C17" t="str">
            <v>3084-73-131</v>
          </cell>
          <cell r="D17" t="str">
            <v>3084</v>
          </cell>
          <cell r="E17" t="str">
            <v>TACTICAL HOLSTER</v>
          </cell>
          <cell r="F17" t="str">
            <v>DG-HOLSTER</v>
          </cell>
          <cell r="G17" t="str">
            <v>1420-210-FG</v>
          </cell>
          <cell r="H17" t="str">
            <v>R</v>
          </cell>
          <cell r="I17" t="str">
            <v>05/14/2024</v>
          </cell>
          <cell r="J17" t="str">
            <v>05/14/2024</v>
          </cell>
          <cell r="K17" t="str">
            <v>05/27/2024</v>
          </cell>
          <cell r="L17">
            <v>5</v>
          </cell>
          <cell r="M17" t="str">
            <v>5/16/2024 12:30:42 PM</v>
          </cell>
          <cell r="N17" t="str">
            <v>22</v>
          </cell>
          <cell r="O17">
            <v>5</v>
          </cell>
          <cell r="P17">
            <v>1.07</v>
          </cell>
        </row>
        <row r="18">
          <cell r="A18" t="str">
            <v>6713995</v>
          </cell>
          <cell r="B18" t="str">
            <v>1185251</v>
          </cell>
          <cell r="C18" t="str">
            <v>12878</v>
          </cell>
          <cell r="D18" t="str">
            <v>B12</v>
          </cell>
          <cell r="E18" t="str">
            <v>REVERSIBLE SPORT STITCH BELT BLK SZ 36</v>
          </cell>
          <cell r="F18" t="str">
            <v>BN-LEATHER</v>
          </cell>
          <cell r="G18" t="str">
            <v>1420-210-FG</v>
          </cell>
          <cell r="H18" t="str">
            <v>R</v>
          </cell>
          <cell r="I18" t="str">
            <v>05/14/2024</v>
          </cell>
          <cell r="J18" t="str">
            <v>05/23/2024</v>
          </cell>
          <cell r="K18" t="str">
            <v>05/29/2024</v>
          </cell>
          <cell r="L18">
            <v>10</v>
          </cell>
          <cell r="M18" t="str">
            <v>5/15/2024 11:44:29 AM</v>
          </cell>
          <cell r="N18" t="str">
            <v>22</v>
          </cell>
          <cell r="O18">
            <v>10</v>
          </cell>
          <cell r="P18">
            <v>5.62</v>
          </cell>
        </row>
        <row r="19">
          <cell r="A19" t="str">
            <v>6713975</v>
          </cell>
          <cell r="B19" t="str">
            <v>1016133</v>
          </cell>
          <cell r="C19" t="str">
            <v>17014B</v>
          </cell>
          <cell r="D19" t="str">
            <v>UM922</v>
          </cell>
          <cell r="E19" t="str">
            <v>UNIV. MIL. HOL.W/TGUARD O/D SZ 2 4IN AUT</v>
          </cell>
          <cell r="F19" t="str">
            <v>BN-RANGER</v>
          </cell>
          <cell r="G19" t="str">
            <v>1420-210-FG</v>
          </cell>
          <cell r="H19" t="str">
            <v>R</v>
          </cell>
          <cell r="I19" t="str">
            <v>05/14/2024</v>
          </cell>
          <cell r="J19" t="str">
            <v>05/15/2024</v>
          </cell>
          <cell r="K19" t="str">
            <v>05/29/2024</v>
          </cell>
          <cell r="L19">
            <v>10</v>
          </cell>
          <cell r="M19" t="str">
            <v>5/17/2024 8:44:27 AM</v>
          </cell>
          <cell r="N19" t="str">
            <v>22</v>
          </cell>
          <cell r="O19">
            <v>10</v>
          </cell>
          <cell r="P19">
            <v>2.72</v>
          </cell>
        </row>
        <row r="20">
          <cell r="A20" t="str">
            <v>6718971</v>
          </cell>
          <cell r="B20" t="str">
            <v>1167835</v>
          </cell>
          <cell r="C20" t="str">
            <v>6378-485-412</v>
          </cell>
          <cell r="D20" t="str">
            <v>6378</v>
          </cell>
          <cell r="E20" t="str">
            <v>6378 GLOCK G30S STX PLN BLK LH</v>
          </cell>
          <cell r="F20" t="str">
            <v>DG-HOLSTER-SEW-DTC</v>
          </cell>
          <cell r="G20" t="str">
            <v>1420-210-FG</v>
          </cell>
          <cell r="H20" t="str">
            <v>R</v>
          </cell>
          <cell r="I20" t="str">
            <v>05/23/2024</v>
          </cell>
          <cell r="J20" t="str">
            <v>05/23/2024</v>
          </cell>
          <cell r="K20" t="str">
            <v>05/31/2024</v>
          </cell>
          <cell r="L20">
            <v>2</v>
          </cell>
          <cell r="M20" t="str">
            <v>5/23/2024 4:41:40 PM</v>
          </cell>
          <cell r="N20" t="str">
            <v>22</v>
          </cell>
          <cell r="O20">
            <v>2</v>
          </cell>
          <cell r="P20">
            <v>0.84</v>
          </cell>
        </row>
        <row r="21">
          <cell r="A21" t="str">
            <v>6723260</v>
          </cell>
          <cell r="B21" t="str">
            <v>1103429</v>
          </cell>
          <cell r="C21" t="str">
            <v>94-38-9</v>
          </cell>
          <cell r="D21" t="str">
            <v>94</v>
          </cell>
          <cell r="E21" t="str">
            <v>94 SZ38 HGS BLK</v>
          </cell>
          <cell r="F21" t="str">
            <v>DG-BELT</v>
          </cell>
          <cell r="G21" t="str">
            <v>1420-210-FG</v>
          </cell>
          <cell r="H21" t="str">
            <v>R</v>
          </cell>
          <cell r="I21" t="str">
            <v>06/03/2024</v>
          </cell>
          <cell r="J21" t="str">
            <v>06/03/2024</v>
          </cell>
          <cell r="K21" t="str">
            <v>06/02/2024</v>
          </cell>
          <cell r="L21">
            <v>5</v>
          </cell>
          <cell r="M21" t="str">
            <v>6/5/2024 2:55:33 PM</v>
          </cell>
          <cell r="N21" t="str">
            <v>22</v>
          </cell>
          <cell r="O21">
            <v>5</v>
          </cell>
          <cell r="P21">
            <v>2.64</v>
          </cell>
        </row>
        <row r="22">
          <cell r="A22" t="str">
            <v>6723243</v>
          </cell>
          <cell r="B22" t="str">
            <v>1326773</v>
          </cell>
          <cell r="C22" t="str">
            <v>94B-2-2</v>
          </cell>
          <cell r="D22" t="str">
            <v>94B</v>
          </cell>
          <cell r="E22" t="str">
            <v>94B SZ MED PLN BLK</v>
          </cell>
          <cell r="F22" t="str">
            <v>DG-BELT</v>
          </cell>
          <cell r="G22" t="str">
            <v>1420-210-FG</v>
          </cell>
          <cell r="H22" t="str">
            <v>R</v>
          </cell>
          <cell r="I22" t="str">
            <v>06/03/2024</v>
          </cell>
          <cell r="J22" t="str">
            <v>06/03/2024</v>
          </cell>
          <cell r="K22" t="str">
            <v>06/02/2024</v>
          </cell>
          <cell r="L22">
            <v>10</v>
          </cell>
          <cell r="M22" t="str">
            <v>6/5/2024 2:55:33 PM</v>
          </cell>
          <cell r="N22" t="str">
            <v>22</v>
          </cell>
          <cell r="O22">
            <v>10</v>
          </cell>
          <cell r="P22">
            <v>6.01</v>
          </cell>
        </row>
        <row r="23">
          <cell r="A23" t="str">
            <v>6723934</v>
          </cell>
          <cell r="B23" t="str">
            <v>1103421</v>
          </cell>
          <cell r="C23" t="str">
            <v>J-LP</v>
          </cell>
          <cell r="D23" t="str">
            <v>J</v>
          </cell>
          <cell r="E23" t="str">
            <v>LOADING BLOCK- L FRAME</v>
          </cell>
          <cell r="F23" t="str">
            <v>DG-MISC</v>
          </cell>
          <cell r="G23" t="str">
            <v>1420-210-FG</v>
          </cell>
          <cell r="H23" t="str">
            <v>R</v>
          </cell>
          <cell r="I23" t="str">
            <v>06/03/2024</v>
          </cell>
          <cell r="J23" t="str">
            <v>06/03/2024</v>
          </cell>
          <cell r="K23" t="str">
            <v>06/02/2024</v>
          </cell>
          <cell r="L23">
            <v>50</v>
          </cell>
          <cell r="M23" t="str">
            <v>6/5/2024 2:57:25 PM</v>
          </cell>
          <cell r="N23" t="str">
            <v>22</v>
          </cell>
          <cell r="O23">
            <v>50</v>
          </cell>
          <cell r="P23">
            <v>0.84</v>
          </cell>
        </row>
        <row r="24">
          <cell r="A24" t="str">
            <v>6723961</v>
          </cell>
          <cell r="B24" t="str">
            <v>1129356</v>
          </cell>
          <cell r="C24" t="str">
            <v>38-9-23PBL</v>
          </cell>
          <cell r="D24" t="str">
            <v>38</v>
          </cell>
          <cell r="E24" t="str">
            <v>MACE HOLDER TOP FLAP</v>
          </cell>
          <cell r="F24" t="str">
            <v>DG-POUCH-F1</v>
          </cell>
          <cell r="G24" t="str">
            <v>1420-210-FG</v>
          </cell>
          <cell r="H24" t="str">
            <v>R</v>
          </cell>
          <cell r="I24" t="str">
            <v>06/03/2024</v>
          </cell>
          <cell r="J24" t="str">
            <v>06/03/2024</v>
          </cell>
          <cell r="K24" t="str">
            <v>06/02/2024</v>
          </cell>
          <cell r="L24">
            <v>5</v>
          </cell>
          <cell r="M24" t="str">
            <v>6/5/2024 2:59:33 PM</v>
          </cell>
          <cell r="N24" t="str">
            <v>22</v>
          </cell>
          <cell r="O24">
            <v>5</v>
          </cell>
          <cell r="P24">
            <v>2.08</v>
          </cell>
        </row>
        <row r="25">
          <cell r="A25" t="str">
            <v>6723300</v>
          </cell>
          <cell r="B25" t="str">
            <v>1163964</v>
          </cell>
          <cell r="C25" t="str">
            <v>6004UFA-SP6-22-MS22</v>
          </cell>
          <cell r="D25" t="str">
            <v>6004UFA</v>
          </cell>
          <cell r="E25" t="str">
            <v>UNIVERSAL FLEX ADAPTER</v>
          </cell>
          <cell r="F25" t="str">
            <v>DG-HARNESS-DTC</v>
          </cell>
          <cell r="G25" t="str">
            <v>1420-210-FG</v>
          </cell>
          <cell r="H25" t="str">
            <v>R</v>
          </cell>
          <cell r="I25" t="str">
            <v>06/03/2024</v>
          </cell>
          <cell r="J25" t="str">
            <v>06/03/2024</v>
          </cell>
          <cell r="K25" t="str">
            <v>06/02/2024</v>
          </cell>
          <cell r="L25">
            <v>10</v>
          </cell>
          <cell r="M25" t="str">
            <v>6/6/2024 3:43:22 PM</v>
          </cell>
          <cell r="N25" t="str">
            <v>22</v>
          </cell>
          <cell r="O25">
            <v>10</v>
          </cell>
          <cell r="P25">
            <v>0.57999999999999996</v>
          </cell>
        </row>
        <row r="26">
          <cell r="A26" t="str">
            <v>6717856</v>
          </cell>
          <cell r="B26" t="str">
            <v>1101748</v>
          </cell>
          <cell r="C26" t="str">
            <v>6280-832-82</v>
          </cell>
          <cell r="D26" t="str">
            <v>6280</v>
          </cell>
          <cell r="E26" t="str">
            <v>6280 GLOCK 17/22 X300 BSK BLK LH</v>
          </cell>
          <cell r="F26" t="str">
            <v>DG-HOLSTER-DTC</v>
          </cell>
          <cell r="G26" t="str">
            <v>1420-210-FG</v>
          </cell>
          <cell r="H26" t="str">
            <v>R</v>
          </cell>
          <cell r="I26" t="str">
            <v>05/21/2024</v>
          </cell>
          <cell r="J26" t="str">
            <v>05/27/2024</v>
          </cell>
          <cell r="K26" t="str">
            <v>06/03/2024</v>
          </cell>
          <cell r="L26">
            <v>5</v>
          </cell>
          <cell r="M26" t="str">
            <v>5/22/2024 4:43:40 PM</v>
          </cell>
          <cell r="N26" t="str">
            <v>23</v>
          </cell>
          <cell r="O26">
            <v>5</v>
          </cell>
          <cell r="P26">
            <v>3.61</v>
          </cell>
        </row>
        <row r="27">
          <cell r="A27" t="str">
            <v>6716504</v>
          </cell>
          <cell r="B27" t="str">
            <v>1101750</v>
          </cell>
          <cell r="C27" t="str">
            <v>6280-832-91</v>
          </cell>
          <cell r="D27" t="str">
            <v>6280</v>
          </cell>
          <cell r="E27" t="str">
            <v>6280 GLOCK 17/22 X300 HGS BLK RH</v>
          </cell>
          <cell r="F27" t="str">
            <v>DG-HOLSTER-DTC</v>
          </cell>
          <cell r="G27" t="str">
            <v>1420-210-FG</v>
          </cell>
          <cell r="H27" t="str">
            <v>R</v>
          </cell>
          <cell r="I27" t="str">
            <v>05/20/2024</v>
          </cell>
          <cell r="J27" t="str">
            <v>05/20/2024</v>
          </cell>
          <cell r="K27" t="str">
            <v>06/03/2024</v>
          </cell>
          <cell r="L27">
            <v>5</v>
          </cell>
          <cell r="M27" t="str">
            <v>5/22/2024 4:43:40 PM</v>
          </cell>
          <cell r="N27" t="str">
            <v>23</v>
          </cell>
          <cell r="O27">
            <v>5</v>
          </cell>
          <cell r="P27">
            <v>3.1</v>
          </cell>
        </row>
        <row r="28">
          <cell r="A28" t="str">
            <v>6713321</v>
          </cell>
          <cell r="B28" t="str">
            <v>1128694</v>
          </cell>
          <cell r="C28" t="str">
            <v>72-83-2B</v>
          </cell>
          <cell r="D28" t="str">
            <v>72</v>
          </cell>
          <cell r="E28" t="str">
            <v>72 GLOCK 17/22 PLN BLK</v>
          </cell>
          <cell r="F28" t="str">
            <v>DG-POUCH-F1</v>
          </cell>
          <cell r="G28" t="str">
            <v>1420-210-FG</v>
          </cell>
          <cell r="H28" t="str">
            <v>R</v>
          </cell>
          <cell r="I28" t="str">
            <v>05/13/2024</v>
          </cell>
          <cell r="J28" t="str">
            <v>05/13/2024</v>
          </cell>
          <cell r="K28" t="str">
            <v>06/03/2024</v>
          </cell>
          <cell r="L28">
            <v>5</v>
          </cell>
          <cell r="M28" t="str">
            <v>5/16/2024 3:42:39 PM</v>
          </cell>
          <cell r="N28" t="str">
            <v>23</v>
          </cell>
          <cell r="O28">
            <v>5</v>
          </cell>
          <cell r="P28">
            <v>2.2000000000000002</v>
          </cell>
        </row>
        <row r="29">
          <cell r="A29" t="str">
            <v>6719547</v>
          </cell>
          <cell r="B29" t="str">
            <v>1103546</v>
          </cell>
          <cell r="C29" t="str">
            <v>L830-40-2</v>
          </cell>
          <cell r="D29" t="str">
            <v>L830</v>
          </cell>
          <cell r="E29" t="str">
            <v>L830 PLNCLTH BLT LTHR SZ40 PLN BLK BR</v>
          </cell>
          <cell r="F29" t="str">
            <v>DG-BELT</v>
          </cell>
          <cell r="G29" t="str">
            <v>1420-210-FG</v>
          </cell>
          <cell r="H29" t="str">
            <v>R</v>
          </cell>
          <cell r="I29" t="str">
            <v>05/27/2024</v>
          </cell>
          <cell r="J29" t="str">
            <v>05/27/2024</v>
          </cell>
          <cell r="K29" t="str">
            <v>06/03/2024</v>
          </cell>
          <cell r="L29">
            <v>5</v>
          </cell>
          <cell r="M29" t="str">
            <v>5/28/2024 10:51:05 AM</v>
          </cell>
          <cell r="N29" t="str">
            <v>23</v>
          </cell>
          <cell r="O29">
            <v>5</v>
          </cell>
          <cell r="P29">
            <v>1.94</v>
          </cell>
        </row>
        <row r="30">
          <cell r="A30" t="str">
            <v>6713323</v>
          </cell>
          <cell r="B30" t="str">
            <v>1128987</v>
          </cell>
          <cell r="C30" t="str">
            <v>762-5-48</v>
          </cell>
          <cell r="D30" t="str">
            <v>762</v>
          </cell>
          <cell r="E30" t="str">
            <v>RADIO CARRIER W/SWIVEL</v>
          </cell>
          <cell r="F30" t="str">
            <v>DG-POUCH-F1</v>
          </cell>
          <cell r="G30" t="str">
            <v>1420-210-FG</v>
          </cell>
          <cell r="H30" t="str">
            <v>R</v>
          </cell>
          <cell r="I30" t="str">
            <v>05/13/2024</v>
          </cell>
          <cell r="J30" t="str">
            <v>05/13/2024</v>
          </cell>
          <cell r="K30" t="str">
            <v>06/03/2024</v>
          </cell>
          <cell r="L30">
            <v>15</v>
          </cell>
          <cell r="M30" t="str">
            <v>5/16/2024 3:42:39 PM</v>
          </cell>
          <cell r="N30" t="str">
            <v>23</v>
          </cell>
          <cell r="O30">
            <v>15</v>
          </cell>
          <cell r="P30">
            <v>5.03</v>
          </cell>
        </row>
        <row r="31">
          <cell r="A31" t="str">
            <v>6713360</v>
          </cell>
          <cell r="B31" t="str">
            <v>1331189</v>
          </cell>
          <cell r="C31" t="str">
            <v>306-11-23-MSA</v>
          </cell>
          <cell r="D31" t="str">
            <v>306</v>
          </cell>
          <cell r="E31" t="str">
            <v>306 STRINGER W/ PLY GRP STX TAC BLK</v>
          </cell>
          <cell r="F31" t="str">
            <v>DG-POUCH-F1</v>
          </cell>
          <cell r="G31" t="str">
            <v>1420-210-FG</v>
          </cell>
          <cell r="H31" t="str">
            <v>R</v>
          </cell>
          <cell r="I31" t="str">
            <v>05/13/2024</v>
          </cell>
          <cell r="J31" t="str">
            <v>05/13/2024</v>
          </cell>
          <cell r="K31" t="str">
            <v>06/04/2024</v>
          </cell>
          <cell r="L31">
            <v>5</v>
          </cell>
          <cell r="M31" t="str">
            <v>5/16/2024 4:17:46 PM</v>
          </cell>
          <cell r="N31" t="str">
            <v>23</v>
          </cell>
          <cell r="O31">
            <v>5</v>
          </cell>
          <cell r="P31">
            <v>1.75</v>
          </cell>
        </row>
        <row r="32">
          <cell r="A32" t="str">
            <v>6714601</v>
          </cell>
          <cell r="B32" t="str">
            <v>1103506</v>
          </cell>
          <cell r="C32" t="str">
            <v>94-48-2</v>
          </cell>
          <cell r="D32" t="str">
            <v>94</v>
          </cell>
          <cell r="E32" t="str">
            <v>94 SZ48 PLN BLK</v>
          </cell>
          <cell r="F32" t="str">
            <v>DG-BELT</v>
          </cell>
          <cell r="G32" t="str">
            <v>1420-210-FG</v>
          </cell>
          <cell r="H32" t="str">
            <v>R</v>
          </cell>
          <cell r="I32" t="str">
            <v>05/14/2024</v>
          </cell>
          <cell r="J32" t="str">
            <v>05/17/2024</v>
          </cell>
          <cell r="K32" t="str">
            <v>06/04/2024</v>
          </cell>
          <cell r="L32">
            <v>10</v>
          </cell>
          <cell r="M32" t="str">
            <v>5/17/2024 9:50:21 AM</v>
          </cell>
          <cell r="N32" t="str">
            <v>23</v>
          </cell>
          <cell r="O32">
            <v>10</v>
          </cell>
          <cell r="P32">
            <v>5.16</v>
          </cell>
        </row>
        <row r="33">
          <cell r="A33" t="str">
            <v>6712284</v>
          </cell>
          <cell r="B33" t="str">
            <v>1103466</v>
          </cell>
          <cell r="C33" t="str">
            <v>999-1-2</v>
          </cell>
          <cell r="D33" t="str">
            <v>999</v>
          </cell>
          <cell r="E33" t="str">
            <v>GARRISON BELT VELCRO</v>
          </cell>
          <cell r="F33" t="str">
            <v>DG-BELT</v>
          </cell>
          <cell r="G33" t="str">
            <v>1420-210-FG</v>
          </cell>
          <cell r="H33" t="str">
            <v>R</v>
          </cell>
          <cell r="I33" t="str">
            <v>05/13/2024</v>
          </cell>
          <cell r="J33" t="str">
            <v>05/13/2024</v>
          </cell>
          <cell r="K33" t="str">
            <v>06/04/2024</v>
          </cell>
          <cell r="L33">
            <v>5</v>
          </cell>
          <cell r="M33" t="str">
            <v>5/15/2024 10:21:19 AM</v>
          </cell>
          <cell r="N33" t="str">
            <v>23</v>
          </cell>
          <cell r="O33">
            <v>5</v>
          </cell>
          <cell r="P33">
            <v>3.29</v>
          </cell>
        </row>
        <row r="34">
          <cell r="A34" t="str">
            <v>6714972</v>
          </cell>
          <cell r="B34" t="str">
            <v>1124509</v>
          </cell>
          <cell r="C34" t="str">
            <v>72-76-9B</v>
          </cell>
          <cell r="D34" t="str">
            <v>72</v>
          </cell>
          <cell r="E34" t="str">
            <v>MAG/CUFF POUCH TOP FLAP</v>
          </cell>
          <cell r="F34" t="str">
            <v>DG-POUCH-F1</v>
          </cell>
          <cell r="G34" t="str">
            <v>1420-210-FG</v>
          </cell>
          <cell r="H34" t="str">
            <v>R</v>
          </cell>
          <cell r="I34" t="str">
            <v>05/14/2024</v>
          </cell>
          <cell r="J34" t="str">
            <v>05/17/2024</v>
          </cell>
          <cell r="K34" t="str">
            <v>06/04/2024</v>
          </cell>
          <cell r="L34">
            <v>5</v>
          </cell>
          <cell r="M34" t="str">
            <v>5/15/2024 10:34:13 AM</v>
          </cell>
          <cell r="N34" t="str">
            <v>23</v>
          </cell>
          <cell r="O34">
            <v>5</v>
          </cell>
          <cell r="P34">
            <v>2.5099999999999998</v>
          </cell>
        </row>
        <row r="35">
          <cell r="A35" t="str">
            <v>6719306</v>
          </cell>
          <cell r="B35" t="str">
            <v>1016357</v>
          </cell>
          <cell r="C35" t="str">
            <v>17246</v>
          </cell>
          <cell r="D35" t="str">
            <v>X16</v>
          </cell>
          <cell r="E35" t="str">
            <v>AGENT X RIG UNLINED RH SIGSAUER P226</v>
          </cell>
          <cell r="F35" t="str">
            <v>BN-LEATHER</v>
          </cell>
          <cell r="G35" t="str">
            <v>1420-210-FG</v>
          </cell>
          <cell r="H35" t="str">
            <v>R</v>
          </cell>
          <cell r="I35" t="str">
            <v>05/27/2024</v>
          </cell>
          <cell r="J35" t="str">
            <v>05/27/2024</v>
          </cell>
          <cell r="K35" t="str">
            <v>06/05/2024</v>
          </cell>
          <cell r="L35">
            <v>5</v>
          </cell>
          <cell r="M35" t="str">
            <v>5/27/2024 9:11:38 AM</v>
          </cell>
          <cell r="N35" t="str">
            <v>23</v>
          </cell>
          <cell r="O35">
            <v>5</v>
          </cell>
          <cell r="P35">
            <v>3.27</v>
          </cell>
        </row>
        <row r="36">
          <cell r="A36" t="str">
            <v>6718642</v>
          </cell>
          <cell r="B36" t="str">
            <v>1183295</v>
          </cell>
          <cell r="C36" t="str">
            <v>MH6004-8-BLK</v>
          </cell>
          <cell r="D36" t="str">
            <v>MH6004</v>
          </cell>
          <cell r="E36" t="str">
            <v>H6004-8 HARNESS BLK</v>
          </cell>
          <cell r="F36" t="str">
            <v>DG-POUCH-F2-F3</v>
          </cell>
          <cell r="G36" t="str">
            <v>1420-210-SB</v>
          </cell>
          <cell r="H36" t="str">
            <v>R</v>
          </cell>
          <cell r="I36" t="str">
            <v>05/22/2024</v>
          </cell>
          <cell r="J36" t="str">
            <v>05/22/2024</v>
          </cell>
          <cell r="K36" t="str">
            <v>06/05/2024</v>
          </cell>
          <cell r="L36">
            <v>25</v>
          </cell>
          <cell r="M36" t="str">
            <v>5/23/2024 1:08:17 PM</v>
          </cell>
          <cell r="N36" t="str">
            <v>23</v>
          </cell>
          <cell r="O36">
            <v>25</v>
          </cell>
          <cell r="P36">
            <v>0.99</v>
          </cell>
        </row>
        <row r="37">
          <cell r="A37" t="str">
            <v>6718645</v>
          </cell>
          <cell r="B37" t="str">
            <v>1183295</v>
          </cell>
          <cell r="C37" t="str">
            <v>MH6004-8-BLK</v>
          </cell>
          <cell r="D37" t="str">
            <v>MH6004</v>
          </cell>
          <cell r="E37" t="str">
            <v>H6004-8 HARNESS BLK</v>
          </cell>
          <cell r="F37" t="str">
            <v>DG-POUCH-F2-F3</v>
          </cell>
          <cell r="G37" t="str">
            <v>1420-210-SB</v>
          </cell>
          <cell r="H37" t="str">
            <v>R</v>
          </cell>
          <cell r="I37" t="str">
            <v>05/22/2024</v>
          </cell>
          <cell r="J37" t="str">
            <v>05/22/2024</v>
          </cell>
          <cell r="K37" t="str">
            <v>06/05/2024</v>
          </cell>
          <cell r="L37">
            <v>25</v>
          </cell>
          <cell r="M37" t="str">
            <v>5/23/2024 1:08:17 PM</v>
          </cell>
          <cell r="N37" t="str">
            <v>23</v>
          </cell>
          <cell r="O37">
            <v>25</v>
          </cell>
          <cell r="P37">
            <v>0.99</v>
          </cell>
        </row>
        <row r="38">
          <cell r="A38" t="str">
            <v>6718654</v>
          </cell>
          <cell r="B38" t="str">
            <v>1183295</v>
          </cell>
          <cell r="C38" t="str">
            <v>MH6004-8-BLK</v>
          </cell>
          <cell r="D38" t="str">
            <v>MH6004</v>
          </cell>
          <cell r="E38" t="str">
            <v>H6004-8 HARNESS BLK</v>
          </cell>
          <cell r="F38" t="str">
            <v>DG-POUCH-F2-F3</v>
          </cell>
          <cell r="G38" t="str">
            <v>1420-210-SB</v>
          </cell>
          <cell r="H38" t="str">
            <v>R</v>
          </cell>
          <cell r="I38" t="str">
            <v>05/22/2024</v>
          </cell>
          <cell r="J38" t="str">
            <v>05/22/2024</v>
          </cell>
          <cell r="K38" t="str">
            <v>06/05/2024</v>
          </cell>
          <cell r="L38">
            <v>25</v>
          </cell>
          <cell r="M38" t="str">
            <v>5/23/2024 1:08:17 PM</v>
          </cell>
          <cell r="N38" t="str">
            <v>23</v>
          </cell>
          <cell r="O38">
            <v>25</v>
          </cell>
          <cell r="P38">
            <v>0.99</v>
          </cell>
        </row>
        <row r="39">
          <cell r="A39" t="str">
            <v>6718656</v>
          </cell>
          <cell r="B39" t="str">
            <v>1183295</v>
          </cell>
          <cell r="C39" t="str">
            <v>MH6004-8-BLK</v>
          </cell>
          <cell r="D39" t="str">
            <v>MH6004</v>
          </cell>
          <cell r="E39" t="str">
            <v>H6004-8 HARNESS BLK</v>
          </cell>
          <cell r="F39" t="str">
            <v>DG-POUCH-F2-F3</v>
          </cell>
          <cell r="G39" t="str">
            <v>1420-210-SB</v>
          </cell>
          <cell r="H39" t="str">
            <v>R</v>
          </cell>
          <cell r="I39" t="str">
            <v>05/22/2024</v>
          </cell>
          <cell r="J39" t="str">
            <v>05/22/2024</v>
          </cell>
          <cell r="K39" t="str">
            <v>06/05/2024</v>
          </cell>
          <cell r="L39">
            <v>25</v>
          </cell>
          <cell r="M39" t="str">
            <v>5/23/2024 1:08:17 PM</v>
          </cell>
          <cell r="N39" t="str">
            <v>23</v>
          </cell>
          <cell r="O39">
            <v>25</v>
          </cell>
          <cell r="P39">
            <v>0.99</v>
          </cell>
        </row>
        <row r="40">
          <cell r="A40" t="str">
            <v>6718663</v>
          </cell>
          <cell r="B40" t="str">
            <v>1183295</v>
          </cell>
          <cell r="C40" t="str">
            <v>MH6004-8-BLK</v>
          </cell>
          <cell r="D40" t="str">
            <v>MH6004</v>
          </cell>
          <cell r="E40" t="str">
            <v>H6004-8 HARNESS BLK</v>
          </cell>
          <cell r="F40" t="str">
            <v>DG-POUCH-F2-F3</v>
          </cell>
          <cell r="G40" t="str">
            <v>1420-210-SB</v>
          </cell>
          <cell r="H40" t="str">
            <v>R</v>
          </cell>
          <cell r="I40" t="str">
            <v>05/22/2024</v>
          </cell>
          <cell r="J40" t="str">
            <v>05/22/2024</v>
          </cell>
          <cell r="K40" t="str">
            <v>06/05/2024</v>
          </cell>
          <cell r="L40">
            <v>25</v>
          </cell>
          <cell r="M40" t="str">
            <v>5/23/2024 2:00:18 PM</v>
          </cell>
          <cell r="N40" t="str">
            <v>23</v>
          </cell>
          <cell r="O40">
            <v>25</v>
          </cell>
          <cell r="P40">
            <v>0.99</v>
          </cell>
        </row>
        <row r="41">
          <cell r="A41" t="str">
            <v>6716019</v>
          </cell>
          <cell r="B41" t="str">
            <v>1161028</v>
          </cell>
          <cell r="C41" t="str">
            <v>1015388 DYE BLACK</v>
          </cell>
          <cell r="D41" t="str">
            <v/>
          </cell>
          <cell r="E41" t="str">
            <v>LEATHER BULLET LOOPING BLACK - NO SPRAY</v>
          </cell>
          <cell r="F41" t="str">
            <v>BN-LEATHER</v>
          </cell>
          <cell r="G41" t="str">
            <v>1420-210-SB</v>
          </cell>
          <cell r="H41" t="str">
            <v>R</v>
          </cell>
          <cell r="I41" t="str">
            <v>05/20/2024</v>
          </cell>
          <cell r="J41" t="str">
            <v>05/20/2024</v>
          </cell>
          <cell r="K41" t="str">
            <v>06/05/2024</v>
          </cell>
          <cell r="L41">
            <v>3</v>
          </cell>
          <cell r="M41" t="str">
            <v>5/21/2024 3:33:48 PM</v>
          </cell>
          <cell r="N41" t="str">
            <v>23</v>
          </cell>
          <cell r="O41">
            <v>3</v>
          </cell>
          <cell r="P41">
            <v>0.04</v>
          </cell>
        </row>
        <row r="42">
          <cell r="A42" t="str">
            <v>6718603</v>
          </cell>
          <cell r="B42" t="str">
            <v>1323626</v>
          </cell>
          <cell r="C42" t="str">
            <v>6004-8-13-MS22-NP</v>
          </cell>
          <cell r="D42" t="str">
            <v>6004</v>
          </cell>
          <cell r="E42" t="str">
            <v>MOLLE SYSTEM ADAPTER</v>
          </cell>
          <cell r="F42" t="str">
            <v>DG-POUCH-F2-F3</v>
          </cell>
          <cell r="G42" t="str">
            <v>1420-210-FG</v>
          </cell>
          <cell r="H42" t="str">
            <v>R</v>
          </cell>
          <cell r="I42" t="str">
            <v>05/22/2024</v>
          </cell>
          <cell r="J42" t="str">
            <v>05/22/2024</v>
          </cell>
          <cell r="K42" t="str">
            <v>06/05/2024</v>
          </cell>
          <cell r="L42">
            <v>25</v>
          </cell>
          <cell r="M42" t="str">
            <v>5/23/2024 1:05:06 PM</v>
          </cell>
          <cell r="N42" t="str">
            <v>23</v>
          </cell>
          <cell r="O42">
            <v>25</v>
          </cell>
          <cell r="P42">
            <v>2.69</v>
          </cell>
        </row>
        <row r="43">
          <cell r="A43" t="str">
            <v>6722271</v>
          </cell>
          <cell r="B43" t="str">
            <v>1336440</v>
          </cell>
          <cell r="C43" t="str">
            <v>6360RDS-4842-131-MS30-NP</v>
          </cell>
          <cell r="D43" t="str">
            <v>6360RDS</v>
          </cell>
          <cell r="E43" t="str">
            <v>6360RDS WLTHRPDP 4" X300U STXTAC BLK RH</v>
          </cell>
          <cell r="F43" t="str">
            <v>DG-HOLSTER-RDS-DTC</v>
          </cell>
          <cell r="G43" t="str">
            <v>1420-210-FG</v>
          </cell>
          <cell r="H43" t="str">
            <v>R</v>
          </cell>
          <cell r="I43" t="str">
            <v>05/30/2024</v>
          </cell>
          <cell r="J43" t="str">
            <v>05/30/2024</v>
          </cell>
          <cell r="K43" t="str">
            <v>06/06/2024</v>
          </cell>
          <cell r="L43">
            <v>1</v>
          </cell>
          <cell r="M43" t="str">
            <v>5/30/2024 8:22:10 AM</v>
          </cell>
          <cell r="N43" t="str">
            <v>23</v>
          </cell>
          <cell r="O43">
            <v>1</v>
          </cell>
          <cell r="P43">
            <v>0.43</v>
          </cell>
        </row>
        <row r="44">
          <cell r="A44" t="str">
            <v>6723729</v>
          </cell>
          <cell r="B44" t="str">
            <v>1200315</v>
          </cell>
          <cell r="C44" t="str">
            <v>6360RDS-832-131</v>
          </cell>
          <cell r="D44" t="str">
            <v>6360RDS</v>
          </cell>
          <cell r="E44" t="str">
            <v>6360RDS GLOCK 17MOS X300U STX TAC BLK RH</v>
          </cell>
          <cell r="F44" t="str">
            <v>DG-HOLSTER-RDS-DTC</v>
          </cell>
          <cell r="G44" t="str">
            <v>1420-210-FG</v>
          </cell>
          <cell r="H44" t="str">
            <v>F</v>
          </cell>
          <cell r="I44" t="str">
            <v>06/03/2024</v>
          </cell>
          <cell r="J44" t="str">
            <v>06/03/2024</v>
          </cell>
          <cell r="K44" t="str">
            <v>06/07/2024</v>
          </cell>
          <cell r="L44">
            <v>100</v>
          </cell>
          <cell r="M44" t="str">
            <v/>
          </cell>
          <cell r="N44" t="str">
            <v>23</v>
          </cell>
          <cell r="O44">
            <v>100</v>
          </cell>
          <cell r="P44">
            <v>43.3</v>
          </cell>
        </row>
        <row r="45">
          <cell r="A45" t="str">
            <v>6723730</v>
          </cell>
          <cell r="B45" t="str">
            <v>1200315</v>
          </cell>
          <cell r="C45" t="str">
            <v>6360RDS-832-131</v>
          </cell>
          <cell r="D45" t="str">
            <v>6360RDS</v>
          </cell>
          <cell r="E45" t="str">
            <v>6360RDS GLOCK 17MOS X300U STX TAC BLK RH</v>
          </cell>
          <cell r="F45" t="str">
            <v>DG-HOLSTER-RDS-DTC</v>
          </cell>
          <cell r="G45" t="str">
            <v>1420-210-FG</v>
          </cell>
          <cell r="H45" t="str">
            <v>F</v>
          </cell>
          <cell r="I45" t="str">
            <v>06/03/2024</v>
          </cell>
          <cell r="J45" t="str">
            <v>06/03/2024</v>
          </cell>
          <cell r="K45" t="str">
            <v>06/07/2024</v>
          </cell>
          <cell r="L45">
            <v>100</v>
          </cell>
          <cell r="M45" t="str">
            <v/>
          </cell>
          <cell r="N45" t="str">
            <v>23</v>
          </cell>
          <cell r="O45">
            <v>100</v>
          </cell>
          <cell r="P45">
            <v>43.3</v>
          </cell>
        </row>
        <row r="46">
          <cell r="A46" t="str">
            <v>6723545</v>
          </cell>
          <cell r="B46" t="str">
            <v>1324643</v>
          </cell>
          <cell r="C46" t="str">
            <v>6365RDS-1582-131</v>
          </cell>
          <cell r="D46" t="str">
            <v>6365RDS</v>
          </cell>
          <cell r="E46" t="str">
            <v>6365RDS STI STACC P 4.4" X300U STXBLK RH</v>
          </cell>
          <cell r="F46" t="str">
            <v>DG-HOLSTER-RDS</v>
          </cell>
          <cell r="G46" t="str">
            <v>1420-210-FG</v>
          </cell>
          <cell r="H46" t="str">
            <v>F</v>
          </cell>
          <cell r="I46" t="str">
            <v>06/03/2024</v>
          </cell>
          <cell r="J46" t="str">
            <v>06/03/2024</v>
          </cell>
          <cell r="K46" t="str">
            <v>06/07/2024</v>
          </cell>
          <cell r="L46">
            <v>18</v>
          </cell>
          <cell r="M46" t="str">
            <v/>
          </cell>
          <cell r="N46" t="str">
            <v>23</v>
          </cell>
          <cell r="O46">
            <v>18</v>
          </cell>
          <cell r="P46">
            <v>7.2</v>
          </cell>
        </row>
        <row r="47">
          <cell r="A47" t="str">
            <v>6723761</v>
          </cell>
          <cell r="B47" t="str">
            <v>1206386</v>
          </cell>
          <cell r="C47" t="str">
            <v>6390RDS-2832-701</v>
          </cell>
          <cell r="D47" t="str">
            <v>6390RDS</v>
          </cell>
          <cell r="E47" t="str">
            <v>6390RDS GLOCK 19MOS X300U CORD MLTCM RH</v>
          </cell>
          <cell r="F47" t="str">
            <v>DG-HOLSTER-RDS-DTC</v>
          </cell>
          <cell r="G47" t="str">
            <v>1420-210-FG</v>
          </cell>
          <cell r="H47" t="str">
            <v>F</v>
          </cell>
          <cell r="I47" t="str">
            <v>06/03/2024</v>
          </cell>
          <cell r="J47" t="str">
            <v>06/03/2024</v>
          </cell>
          <cell r="K47" t="str">
            <v>06/07/2024</v>
          </cell>
          <cell r="L47">
            <v>15</v>
          </cell>
          <cell r="M47" t="str">
            <v/>
          </cell>
          <cell r="N47" t="str">
            <v>23</v>
          </cell>
          <cell r="O47">
            <v>15</v>
          </cell>
          <cell r="P47">
            <v>6</v>
          </cell>
        </row>
        <row r="48">
          <cell r="A48" t="str">
            <v>6719824</v>
          </cell>
          <cell r="B48" t="str">
            <v>1334634</v>
          </cell>
          <cell r="C48" t="str">
            <v>INCOG-0-465-A-0-CX2-61-MC</v>
          </cell>
          <cell r="D48" t="str">
            <v>INCOG</v>
          </cell>
          <cell r="E48" t="str">
            <v>INCOG SIGP365/X/XL RDS CLIP MCDY RT</v>
          </cell>
          <cell r="F48" t="str">
            <v>DG-HOLSTER-INC</v>
          </cell>
          <cell r="G48" t="str">
            <v>1420-210-FG</v>
          </cell>
          <cell r="H48" t="str">
            <v>R</v>
          </cell>
          <cell r="I48" t="str">
            <v>05/27/2024</v>
          </cell>
          <cell r="J48" t="str">
            <v>05/27/2024</v>
          </cell>
          <cell r="K48" t="str">
            <v>06/07/2024</v>
          </cell>
          <cell r="L48">
            <v>125</v>
          </cell>
          <cell r="M48" t="str">
            <v>5/31/2024 10:17:00 AM</v>
          </cell>
          <cell r="N48" t="str">
            <v>23</v>
          </cell>
          <cell r="O48">
            <v>125</v>
          </cell>
          <cell r="P48">
            <v>72.88</v>
          </cell>
        </row>
        <row r="49">
          <cell r="A49" t="str">
            <v>6723279</v>
          </cell>
          <cell r="B49" t="str">
            <v>1193023</v>
          </cell>
          <cell r="C49" t="str">
            <v>RGR-UBL-COMPLETE-2</v>
          </cell>
          <cell r="D49" t="str">
            <v>RGR</v>
          </cell>
          <cell r="E49" t="str">
            <v>RGR UBL COMPLETE BLK</v>
          </cell>
          <cell r="F49" t="str">
            <v>DG-HARNESS</v>
          </cell>
          <cell r="G49" t="str">
            <v>1420-210-FG</v>
          </cell>
          <cell r="H49" t="str">
            <v>F</v>
          </cell>
          <cell r="I49" t="str">
            <v>06/03/2024</v>
          </cell>
          <cell r="J49" t="str">
            <v>06/03/2024</v>
          </cell>
          <cell r="K49" t="str">
            <v>06/07/2024</v>
          </cell>
          <cell r="L49">
            <v>40</v>
          </cell>
          <cell r="M49" t="str">
            <v/>
          </cell>
          <cell r="N49" t="str">
            <v>23</v>
          </cell>
          <cell r="O49">
            <v>40</v>
          </cell>
          <cell r="P49">
            <v>5.34</v>
          </cell>
        </row>
        <row r="50">
          <cell r="A50" t="str">
            <v>6726730</v>
          </cell>
          <cell r="B50" t="str">
            <v>1097140</v>
          </cell>
          <cell r="C50" t="str">
            <v>146-36-4</v>
          </cell>
          <cell r="D50" t="str">
            <v>146</v>
          </cell>
          <cell r="E50" t="str">
            <v>146 BORDER PATROL BLT BSK BLK SZ36 CH</v>
          </cell>
          <cell r="F50" t="str">
            <v>DG-BELT</v>
          </cell>
          <cell r="G50" t="str">
            <v>1420-210-FG</v>
          </cell>
          <cell r="H50" t="str">
            <v>F</v>
          </cell>
          <cell r="I50" t="str">
            <v>06/10/2024</v>
          </cell>
          <cell r="J50" t="str">
            <v>06/10/2024</v>
          </cell>
          <cell r="K50" t="str">
            <v>06/09/2024</v>
          </cell>
          <cell r="L50">
            <v>10</v>
          </cell>
          <cell r="M50" t="str">
            <v/>
          </cell>
          <cell r="N50" t="str">
            <v>23</v>
          </cell>
          <cell r="O50">
            <v>10</v>
          </cell>
          <cell r="P50">
            <v>5.17</v>
          </cell>
        </row>
        <row r="51">
          <cell r="A51" t="str">
            <v>6721932</v>
          </cell>
          <cell r="B51" t="str">
            <v>1170157</v>
          </cell>
          <cell r="C51" t="str">
            <v>5198-477-412</v>
          </cell>
          <cell r="D51" t="str">
            <v>5198</v>
          </cell>
          <cell r="E51" t="str">
            <v>5198 SIG P226R STX PLN BLK LH</v>
          </cell>
          <cell r="F51" t="str">
            <v>DG-HOLSTER-SEW-DTC</v>
          </cell>
          <cell r="G51" t="str">
            <v>1420-210-FG</v>
          </cell>
          <cell r="H51" t="str">
            <v>R</v>
          </cell>
          <cell r="I51" t="str">
            <v>05/28/2024</v>
          </cell>
          <cell r="J51" t="str">
            <v>06/03/2024</v>
          </cell>
          <cell r="K51" t="str">
            <v>06/10/2024</v>
          </cell>
          <cell r="L51">
            <v>1</v>
          </cell>
          <cell r="M51" t="str">
            <v>5/29/2024 1:12:13 PM</v>
          </cell>
          <cell r="N51" t="str">
            <v>24</v>
          </cell>
          <cell r="O51">
            <v>1</v>
          </cell>
          <cell r="P51">
            <v>0.28000000000000003</v>
          </cell>
        </row>
        <row r="52">
          <cell r="A52" t="str">
            <v>6720379</v>
          </cell>
          <cell r="B52" t="str">
            <v>1181026</v>
          </cell>
          <cell r="C52" t="str">
            <v>537-83-61</v>
          </cell>
          <cell r="D52" t="str">
            <v>537</v>
          </cell>
          <cell r="E52" t="str">
            <v>537 GLOCK 17/22 PLN BLK RH</v>
          </cell>
          <cell r="F52" t="str">
            <v>DG-HOLSTER-SEW-DTC</v>
          </cell>
          <cell r="G52" t="str">
            <v>1420-210-FG</v>
          </cell>
          <cell r="H52" t="str">
            <v>R</v>
          </cell>
          <cell r="I52" t="str">
            <v>05/27/2024</v>
          </cell>
          <cell r="J52" t="str">
            <v>05/27/2024</v>
          </cell>
          <cell r="K52" t="str">
            <v>06/10/2024</v>
          </cell>
          <cell r="L52">
            <v>10</v>
          </cell>
          <cell r="M52" t="str">
            <v>5/29/2024 1:03:15 PM</v>
          </cell>
          <cell r="N52" t="str">
            <v>24</v>
          </cell>
          <cell r="O52">
            <v>10</v>
          </cell>
          <cell r="P52">
            <v>4.43</v>
          </cell>
        </row>
        <row r="53">
          <cell r="A53" t="str">
            <v>6719797</v>
          </cell>
          <cell r="B53" t="str">
            <v>1320270</v>
          </cell>
          <cell r="C53" t="str">
            <v>557-28327-411</v>
          </cell>
          <cell r="D53" t="str">
            <v>557</v>
          </cell>
          <cell r="E53" t="str">
            <v>557 GLOCK 19 GEN1-5 TLR-7 STX PLN BLK RH</v>
          </cell>
          <cell r="F53" t="str">
            <v>DG-HOLSTER-DTC</v>
          </cell>
          <cell r="G53" t="str">
            <v>1420-210-FG</v>
          </cell>
          <cell r="H53" t="str">
            <v>R</v>
          </cell>
          <cell r="I53" t="str">
            <v>05/27/2024</v>
          </cell>
          <cell r="J53" t="str">
            <v>05/27/2024</v>
          </cell>
          <cell r="K53" t="str">
            <v>06/10/2024</v>
          </cell>
          <cell r="L53">
            <v>5</v>
          </cell>
          <cell r="M53" t="str">
            <v>5/29/2024 1:12:13 PM</v>
          </cell>
          <cell r="N53" t="str">
            <v>24</v>
          </cell>
          <cell r="O53">
            <v>5</v>
          </cell>
          <cell r="P53">
            <v>0.86</v>
          </cell>
        </row>
        <row r="54">
          <cell r="A54" t="str">
            <v>6721720</v>
          </cell>
          <cell r="B54" t="str">
            <v>1203603</v>
          </cell>
          <cell r="C54" t="str">
            <v>6005-4502-561</v>
          </cell>
          <cell r="D54" t="str">
            <v>6005</v>
          </cell>
          <cell r="E54" t="str">
            <v>6005 SIG P320 X300U STX TAC ODG RH</v>
          </cell>
          <cell r="F54" t="str">
            <v>DG-HOLSTER-H</v>
          </cell>
          <cell r="G54" t="str">
            <v>1420-210-FG</v>
          </cell>
          <cell r="H54" t="str">
            <v>R</v>
          </cell>
          <cell r="I54" t="str">
            <v>05/28/2024</v>
          </cell>
          <cell r="J54" t="str">
            <v>06/03/2024</v>
          </cell>
          <cell r="K54" t="str">
            <v>06/10/2024</v>
          </cell>
          <cell r="L54">
            <v>1</v>
          </cell>
          <cell r="M54" t="str">
            <v>5/29/2024 1:16:11 PM</v>
          </cell>
          <cell r="N54" t="str">
            <v>24</v>
          </cell>
          <cell r="O54">
            <v>1</v>
          </cell>
          <cell r="P54">
            <v>0.5</v>
          </cell>
        </row>
        <row r="55">
          <cell r="A55" t="str">
            <v>6721668</v>
          </cell>
          <cell r="B55" t="str">
            <v>1116922</v>
          </cell>
          <cell r="C55" t="str">
            <v>6280-836-131</v>
          </cell>
          <cell r="D55" t="str">
            <v>6280</v>
          </cell>
          <cell r="E55" t="str">
            <v>6280 GLOCK 17/22  X300U STX TAC BLK RH</v>
          </cell>
          <cell r="F55" t="str">
            <v>DG-HOLSTER-DTC</v>
          </cell>
          <cell r="G55" t="str">
            <v>1420-210-FG</v>
          </cell>
          <cell r="H55" t="str">
            <v>R</v>
          </cell>
          <cell r="I55" t="str">
            <v>05/28/2024</v>
          </cell>
          <cell r="J55" t="str">
            <v>06/03/2024</v>
          </cell>
          <cell r="K55" t="str">
            <v>06/10/2024</v>
          </cell>
          <cell r="L55">
            <v>1</v>
          </cell>
          <cell r="M55" t="str">
            <v>5/29/2024 1:06:42 PM</v>
          </cell>
          <cell r="N55" t="str">
            <v>24</v>
          </cell>
          <cell r="O55">
            <v>1</v>
          </cell>
          <cell r="P55">
            <v>0.94</v>
          </cell>
        </row>
        <row r="56">
          <cell r="A56" t="str">
            <v>6721646</v>
          </cell>
          <cell r="B56" t="str">
            <v>1101750</v>
          </cell>
          <cell r="C56" t="str">
            <v>6280-832-91</v>
          </cell>
          <cell r="D56" t="str">
            <v>6280</v>
          </cell>
          <cell r="E56" t="str">
            <v>6280 GLOCK 17/22 X300 HGS BLK RH</v>
          </cell>
          <cell r="F56" t="str">
            <v>DG-HOLSTER-DTC</v>
          </cell>
          <cell r="G56" t="str">
            <v>1420-210-FG</v>
          </cell>
          <cell r="H56" t="str">
            <v>R</v>
          </cell>
          <cell r="I56" t="str">
            <v>05/28/2024</v>
          </cell>
          <cell r="J56" t="str">
            <v>06/03/2024</v>
          </cell>
          <cell r="K56" t="str">
            <v>06/10/2024</v>
          </cell>
          <cell r="L56">
            <v>76</v>
          </cell>
          <cell r="M56" t="str">
            <v>5/29/2024 1:06:42 PM</v>
          </cell>
          <cell r="N56" t="str">
            <v>24</v>
          </cell>
          <cell r="O56">
            <v>76</v>
          </cell>
          <cell r="P56">
            <v>46.88</v>
          </cell>
        </row>
        <row r="57">
          <cell r="A57" t="str">
            <v>6721664</v>
          </cell>
          <cell r="B57" t="str">
            <v>1100939</v>
          </cell>
          <cell r="C57" t="str">
            <v>6280-2832-92</v>
          </cell>
          <cell r="D57" t="str">
            <v>6280</v>
          </cell>
          <cell r="E57" t="str">
            <v>6280 GLOCK 19/23 X300 HGS BLK LH</v>
          </cell>
          <cell r="F57" t="str">
            <v>DG-HOLSTER-DTC</v>
          </cell>
          <cell r="G57" t="str">
            <v>1420-210-FG</v>
          </cell>
          <cell r="H57" t="str">
            <v>R</v>
          </cell>
          <cell r="I57" t="str">
            <v>05/28/2024</v>
          </cell>
          <cell r="J57" t="str">
            <v>06/03/2024</v>
          </cell>
          <cell r="K57" t="str">
            <v>06/10/2024</v>
          </cell>
          <cell r="L57">
            <v>6</v>
          </cell>
          <cell r="M57" t="str">
            <v>5/29/2024 1:06:42 PM</v>
          </cell>
          <cell r="N57" t="str">
            <v>24</v>
          </cell>
          <cell r="O57">
            <v>6</v>
          </cell>
          <cell r="P57">
            <v>3.72</v>
          </cell>
        </row>
        <row r="58">
          <cell r="A58" t="str">
            <v>6721604</v>
          </cell>
          <cell r="B58" t="str">
            <v>1154510</v>
          </cell>
          <cell r="C58" t="str">
            <v>6280-450-91</v>
          </cell>
          <cell r="D58" t="str">
            <v>6280</v>
          </cell>
          <cell r="E58" t="str">
            <v>6280 SIG P320 HGS BLK RH</v>
          </cell>
          <cell r="F58" t="str">
            <v>DG-HOLSTER</v>
          </cell>
          <cell r="G58" t="str">
            <v>1420-210-FG</v>
          </cell>
          <cell r="H58" t="str">
            <v>R</v>
          </cell>
          <cell r="I58" t="str">
            <v>05/28/2024</v>
          </cell>
          <cell r="J58" t="str">
            <v>06/03/2024</v>
          </cell>
          <cell r="K58" t="str">
            <v>06/10/2024</v>
          </cell>
          <cell r="L58">
            <v>7</v>
          </cell>
          <cell r="M58" t="str">
            <v>5/29/2024 1:06:42 PM</v>
          </cell>
          <cell r="N58" t="str">
            <v>24</v>
          </cell>
          <cell r="O58">
            <v>7</v>
          </cell>
          <cell r="P58">
            <v>2.75</v>
          </cell>
        </row>
        <row r="59">
          <cell r="A59" t="str">
            <v>6721922</v>
          </cell>
          <cell r="B59" t="str">
            <v>1138865</v>
          </cell>
          <cell r="C59" t="str">
            <v>6287-819-61</v>
          </cell>
          <cell r="D59" t="str">
            <v>6287</v>
          </cell>
          <cell r="E59" t="str">
            <v>6287 S&amp;W M&amp;P 9L PLN BLK RH</v>
          </cell>
          <cell r="F59" t="str">
            <v>DG-HOLSTER-SEW</v>
          </cell>
          <cell r="G59" t="str">
            <v>1420-210-FG</v>
          </cell>
          <cell r="H59" t="str">
            <v>R</v>
          </cell>
          <cell r="I59" t="str">
            <v>05/28/2024</v>
          </cell>
          <cell r="J59" t="str">
            <v>06/03/2024</v>
          </cell>
          <cell r="K59" t="str">
            <v>06/10/2024</v>
          </cell>
          <cell r="L59">
            <v>1</v>
          </cell>
          <cell r="M59" t="str">
            <v>5/29/2024 1:06:42 PM</v>
          </cell>
          <cell r="N59" t="str">
            <v>24</v>
          </cell>
          <cell r="O59">
            <v>1</v>
          </cell>
          <cell r="P59">
            <v>0.31</v>
          </cell>
        </row>
        <row r="60">
          <cell r="A60" t="str">
            <v>6720319</v>
          </cell>
          <cell r="B60" t="str">
            <v>1335116</v>
          </cell>
          <cell r="C60" t="str">
            <v>6304RDS-2582-132</v>
          </cell>
          <cell r="D60" t="str">
            <v>6304RDS</v>
          </cell>
          <cell r="E60" t="str">
            <v>6304RDS 2011 STCC 5"X300U STX TAC BLK LH</v>
          </cell>
          <cell r="F60" t="str">
            <v>DG-HOLSTER-RDS-DTC</v>
          </cell>
          <cell r="G60" t="str">
            <v>1420-210-FG</v>
          </cell>
          <cell r="H60" t="str">
            <v>R</v>
          </cell>
          <cell r="I60" t="str">
            <v>05/27/2024</v>
          </cell>
          <cell r="J60" t="str">
            <v>05/27/2024</v>
          </cell>
          <cell r="K60" t="str">
            <v>06/10/2024</v>
          </cell>
          <cell r="L60">
            <v>5</v>
          </cell>
          <cell r="M60" t="str">
            <v>5/29/2024 12:55:25 PM</v>
          </cell>
          <cell r="N60" t="str">
            <v>24</v>
          </cell>
          <cell r="O60">
            <v>5</v>
          </cell>
          <cell r="P60">
            <v>2</v>
          </cell>
        </row>
        <row r="61">
          <cell r="A61" t="str">
            <v>6720208</v>
          </cell>
          <cell r="B61" t="str">
            <v>1204182</v>
          </cell>
          <cell r="C61" t="str">
            <v>6304RDS-2832-561</v>
          </cell>
          <cell r="D61" t="str">
            <v>6304RDS</v>
          </cell>
          <cell r="E61" t="str">
            <v>6304RDS GLOCK 19MOS X300U STX TAC ODG RH</v>
          </cell>
          <cell r="F61" t="str">
            <v>DG-HOLSTER-RDS-DTC</v>
          </cell>
          <cell r="G61" t="str">
            <v>1420-210-FG</v>
          </cell>
          <cell r="H61" t="str">
            <v>R</v>
          </cell>
          <cell r="I61" t="str">
            <v>05/27/2024</v>
          </cell>
          <cell r="J61" t="str">
            <v>05/27/2024</v>
          </cell>
          <cell r="K61" t="str">
            <v>06/10/2024</v>
          </cell>
          <cell r="L61">
            <v>5</v>
          </cell>
          <cell r="M61" t="str">
            <v>5/29/2024 12:53:45 PM</v>
          </cell>
          <cell r="N61" t="str">
            <v>24</v>
          </cell>
          <cell r="O61">
            <v>5</v>
          </cell>
          <cell r="P61">
            <v>2</v>
          </cell>
        </row>
        <row r="62">
          <cell r="A62" t="str">
            <v>6719929</v>
          </cell>
          <cell r="B62" t="str">
            <v>1208134</v>
          </cell>
          <cell r="C62" t="str">
            <v>6304RDS-7502-131-SP10</v>
          </cell>
          <cell r="D62" t="str">
            <v>6304RDS</v>
          </cell>
          <cell r="E62" t="str">
            <v>6304RDS SIG 320CRX X300U STX TAC BLK RH</v>
          </cell>
          <cell r="F62" t="str">
            <v>DG-HOLSTER-RDS</v>
          </cell>
          <cell r="G62" t="str">
            <v>1420-210-FG</v>
          </cell>
          <cell r="H62" t="str">
            <v>R</v>
          </cell>
          <cell r="I62" t="str">
            <v>05/27/2024</v>
          </cell>
          <cell r="J62" t="str">
            <v>05/27/2024</v>
          </cell>
          <cell r="K62" t="str">
            <v>06/10/2024</v>
          </cell>
          <cell r="L62">
            <v>5</v>
          </cell>
          <cell r="M62" t="str">
            <v>5/29/2024 2:25:54 PM</v>
          </cell>
          <cell r="N62" t="str">
            <v>24</v>
          </cell>
          <cell r="O62">
            <v>5</v>
          </cell>
          <cell r="P62">
            <v>2</v>
          </cell>
        </row>
        <row r="63">
          <cell r="A63" t="str">
            <v>6719598</v>
          </cell>
          <cell r="B63" t="str">
            <v>1121432</v>
          </cell>
          <cell r="C63" t="str">
            <v>6305-56-551</v>
          </cell>
          <cell r="D63" t="str">
            <v>6305</v>
          </cell>
          <cell r="E63" t="str">
            <v>6305 SPRNGFLD OPR STX TAC FDE RH</v>
          </cell>
          <cell r="F63" t="str">
            <v>DG-HOLSTER</v>
          </cell>
          <cell r="G63" t="str">
            <v>1420-210-FG</v>
          </cell>
          <cell r="H63" t="str">
            <v>R</v>
          </cell>
          <cell r="I63" t="str">
            <v>05/27/2024</v>
          </cell>
          <cell r="J63" t="str">
            <v>05/27/2024</v>
          </cell>
          <cell r="K63" t="str">
            <v>06/10/2024</v>
          </cell>
          <cell r="L63">
            <v>5</v>
          </cell>
          <cell r="M63" t="str">
            <v>5/29/2024 12:53:15 PM</v>
          </cell>
          <cell r="N63" t="str">
            <v>24</v>
          </cell>
          <cell r="O63">
            <v>5</v>
          </cell>
          <cell r="P63">
            <v>1.18</v>
          </cell>
        </row>
        <row r="64">
          <cell r="A64" t="str">
            <v>6721721</v>
          </cell>
          <cell r="B64" t="str">
            <v>1206508</v>
          </cell>
          <cell r="C64" t="str">
            <v>6305-2222-132-SP10</v>
          </cell>
          <cell r="D64" t="str">
            <v>6305</v>
          </cell>
          <cell r="E64" t="str">
            <v>6305 SW MP 2.0 9MM X300U STX TAC BLK LH</v>
          </cell>
          <cell r="F64" t="str">
            <v>DG-HOLSTER-H</v>
          </cell>
          <cell r="G64" t="str">
            <v>1420-210-FG</v>
          </cell>
          <cell r="H64" t="str">
            <v>R</v>
          </cell>
          <cell r="I64" t="str">
            <v>05/28/2024</v>
          </cell>
          <cell r="J64" t="str">
            <v>06/03/2024</v>
          </cell>
          <cell r="K64" t="str">
            <v>06/10/2024</v>
          </cell>
          <cell r="L64">
            <v>1</v>
          </cell>
          <cell r="M64" t="str">
            <v>5/29/2024 1:06:42 PM</v>
          </cell>
          <cell r="N64" t="str">
            <v>24</v>
          </cell>
          <cell r="O64">
            <v>1</v>
          </cell>
          <cell r="P64">
            <v>0.3</v>
          </cell>
        </row>
        <row r="65">
          <cell r="A65" t="str">
            <v>6719752</v>
          </cell>
          <cell r="B65" t="str">
            <v>1170053</v>
          </cell>
          <cell r="C65" t="str">
            <v>6354DO-283-701-MS19</v>
          </cell>
          <cell r="D65" t="str">
            <v>6354DO</v>
          </cell>
          <cell r="E65" t="str">
            <v>6354DO GLOCK 19/23 CORD MTCM RH</v>
          </cell>
          <cell r="F65" t="str">
            <v>DG-HOLSTER-DO-DTC</v>
          </cell>
          <cell r="G65" t="str">
            <v>1420-210-FG</v>
          </cell>
          <cell r="H65" t="str">
            <v>R</v>
          </cell>
          <cell r="I65" t="str">
            <v>05/27/2024</v>
          </cell>
          <cell r="J65" t="str">
            <v>05/27/2024</v>
          </cell>
          <cell r="K65" t="str">
            <v>06/10/2024</v>
          </cell>
          <cell r="L65">
            <v>6</v>
          </cell>
          <cell r="M65" t="str">
            <v>6/13/2024 1:55:42 PM</v>
          </cell>
          <cell r="N65" t="str">
            <v>24</v>
          </cell>
          <cell r="O65">
            <v>6</v>
          </cell>
          <cell r="P65">
            <v>3.53</v>
          </cell>
        </row>
        <row r="66">
          <cell r="A66" t="str">
            <v>6719743</v>
          </cell>
          <cell r="B66" t="str">
            <v>1167228</v>
          </cell>
          <cell r="C66" t="str">
            <v>6354DO-6832-781</v>
          </cell>
          <cell r="D66" t="str">
            <v>6354DO</v>
          </cell>
          <cell r="E66" t="str">
            <v>6354DO GLOCK 34/35 X300U CORD BLK RH</v>
          </cell>
          <cell r="F66" t="str">
            <v>DG-HOLSTER-DO</v>
          </cell>
          <cell r="G66" t="str">
            <v>1420-210-FG</v>
          </cell>
          <cell r="H66" t="str">
            <v>R</v>
          </cell>
          <cell r="I66" t="str">
            <v>05/27/2024</v>
          </cell>
          <cell r="J66" t="str">
            <v>05/27/2024</v>
          </cell>
          <cell r="K66" t="str">
            <v>06/10/2024</v>
          </cell>
          <cell r="L66">
            <v>5</v>
          </cell>
          <cell r="M66" t="str">
            <v>5/29/2024 2:39:21 PM</v>
          </cell>
          <cell r="N66" t="str">
            <v>24</v>
          </cell>
          <cell r="O66">
            <v>5</v>
          </cell>
          <cell r="P66">
            <v>2.25</v>
          </cell>
        </row>
        <row r="67">
          <cell r="A67" t="str">
            <v>6719742</v>
          </cell>
          <cell r="B67" t="str">
            <v>1167114</v>
          </cell>
          <cell r="C67" t="str">
            <v>6354DO-6832-781-MS19</v>
          </cell>
          <cell r="D67" t="str">
            <v>6354DO</v>
          </cell>
          <cell r="E67" t="str">
            <v>6354DO GLOCK 34/35 X300U CORD BLK RH</v>
          </cell>
          <cell r="F67" t="str">
            <v>DG-HOLSTER-DO</v>
          </cell>
          <cell r="G67" t="str">
            <v>1420-210-FG</v>
          </cell>
          <cell r="H67" t="str">
            <v>R</v>
          </cell>
          <cell r="I67" t="str">
            <v>05/27/2024</v>
          </cell>
          <cell r="J67" t="str">
            <v>05/27/2024</v>
          </cell>
          <cell r="K67" t="str">
            <v>06/10/2024</v>
          </cell>
          <cell r="L67">
            <v>5</v>
          </cell>
          <cell r="M67" t="str">
            <v>5/29/2024 2:39:21 PM</v>
          </cell>
          <cell r="N67" t="str">
            <v>24</v>
          </cell>
          <cell r="O67">
            <v>5</v>
          </cell>
          <cell r="P67">
            <v>2.25</v>
          </cell>
        </row>
        <row r="68">
          <cell r="A68" t="str">
            <v>6719745</v>
          </cell>
          <cell r="B68" t="str">
            <v>1169790</v>
          </cell>
          <cell r="C68" t="str">
            <v>6354DO-6832-741-MS19</v>
          </cell>
          <cell r="D68" t="str">
            <v>6354DO</v>
          </cell>
          <cell r="E68" t="str">
            <v>6354DO GLOCK 34/35 X300U CORD CYTB RH</v>
          </cell>
          <cell r="F68" t="str">
            <v>DG-HOLSTER-DO</v>
          </cell>
          <cell r="G68" t="str">
            <v>1420-210-FG</v>
          </cell>
          <cell r="H68" t="str">
            <v>R</v>
          </cell>
          <cell r="I68" t="str">
            <v>05/27/2024</v>
          </cell>
          <cell r="J68" t="str">
            <v>05/27/2024</v>
          </cell>
          <cell r="K68" t="str">
            <v>06/10/2024</v>
          </cell>
          <cell r="L68">
            <v>5</v>
          </cell>
          <cell r="M68" t="str">
            <v>5/29/2024 2:39:21 PM</v>
          </cell>
          <cell r="N68" t="str">
            <v>24</v>
          </cell>
          <cell r="O68">
            <v>5</v>
          </cell>
          <cell r="P68">
            <v>2.91</v>
          </cell>
        </row>
        <row r="69">
          <cell r="A69" t="str">
            <v>6720353</v>
          </cell>
          <cell r="B69" t="str">
            <v>1335408</v>
          </cell>
          <cell r="C69" t="str">
            <v>6354RDSO-582-251-MS19</v>
          </cell>
          <cell r="D69" t="str">
            <v>6354RDSO</v>
          </cell>
          <cell r="E69" t="str">
            <v>6354RDSO PRODIGY 4.25" X300U ARID MTC RH</v>
          </cell>
          <cell r="F69" t="str">
            <v>DG-HOLSTER-RDS-DTC</v>
          </cell>
          <cell r="G69" t="str">
            <v>1420-210-FG</v>
          </cell>
          <cell r="H69" t="str">
            <v>R</v>
          </cell>
          <cell r="I69" t="str">
            <v>05/27/2024</v>
          </cell>
          <cell r="J69" t="str">
            <v>05/27/2024</v>
          </cell>
          <cell r="K69" t="str">
            <v>06/10/2024</v>
          </cell>
          <cell r="L69">
            <v>5</v>
          </cell>
          <cell r="M69" t="str">
            <v>5/29/2024 12:55:25 PM</v>
          </cell>
          <cell r="N69" t="str">
            <v>24</v>
          </cell>
          <cell r="O69">
            <v>5</v>
          </cell>
          <cell r="P69">
            <v>2</v>
          </cell>
        </row>
        <row r="70">
          <cell r="A70" t="str">
            <v>6720348</v>
          </cell>
          <cell r="B70" t="str">
            <v>1335347</v>
          </cell>
          <cell r="C70" t="str">
            <v>6354RDSO-1582-702-MS19</v>
          </cell>
          <cell r="D70" t="str">
            <v>6354RDSO</v>
          </cell>
          <cell r="E70" t="str">
            <v>6354RDSO STI STACCP 4.4"X300U MLTCM LH</v>
          </cell>
          <cell r="F70" t="str">
            <v>DG-HOLSTER-RDS-DTC</v>
          </cell>
          <cell r="G70" t="str">
            <v>1420-210-FG</v>
          </cell>
          <cell r="H70" t="str">
            <v>R</v>
          </cell>
          <cell r="I70" t="str">
            <v>05/27/2024</v>
          </cell>
          <cell r="J70" t="str">
            <v>05/27/2024</v>
          </cell>
          <cell r="K70" t="str">
            <v>06/10/2024</v>
          </cell>
          <cell r="L70">
            <v>5</v>
          </cell>
          <cell r="M70" t="str">
            <v>5/29/2024 1:00:34 PM</v>
          </cell>
          <cell r="N70" t="str">
            <v>24</v>
          </cell>
          <cell r="O70">
            <v>5</v>
          </cell>
          <cell r="P70">
            <v>2</v>
          </cell>
        </row>
        <row r="71">
          <cell r="A71" t="str">
            <v>6719798</v>
          </cell>
          <cell r="B71" t="str">
            <v>1111937</v>
          </cell>
          <cell r="C71" t="str">
            <v>6355-56-551</v>
          </cell>
          <cell r="D71" t="str">
            <v>6355</v>
          </cell>
          <cell r="E71" t="str">
            <v>6355 SPRNGFLD OPR STX TAC FDE RH</v>
          </cell>
          <cell r="F71" t="str">
            <v>DG-HOLSTER-H</v>
          </cell>
          <cell r="G71" t="str">
            <v>1420-210-FG</v>
          </cell>
          <cell r="H71" t="str">
            <v>R</v>
          </cell>
          <cell r="I71" t="str">
            <v>05/27/2024</v>
          </cell>
          <cell r="J71" t="str">
            <v>05/27/2024</v>
          </cell>
          <cell r="K71" t="str">
            <v>06/10/2024</v>
          </cell>
          <cell r="L71">
            <v>5</v>
          </cell>
          <cell r="M71" t="str">
            <v>5/29/2024 12:53:15 PM</v>
          </cell>
          <cell r="N71" t="str">
            <v>24</v>
          </cell>
          <cell r="O71">
            <v>5</v>
          </cell>
          <cell r="P71">
            <v>1.47</v>
          </cell>
        </row>
        <row r="72">
          <cell r="A72" t="str">
            <v>6719799</v>
          </cell>
          <cell r="B72" t="str">
            <v>1117463</v>
          </cell>
          <cell r="C72" t="str">
            <v>6355-560-551</v>
          </cell>
          <cell r="D72" t="str">
            <v>6355</v>
          </cell>
          <cell r="E72" t="str">
            <v>6355 SPRNGFLD OPR X300  STX TAC FDE RH</v>
          </cell>
          <cell r="F72" t="str">
            <v>DG-HOLSTER-H</v>
          </cell>
          <cell r="G72" t="str">
            <v>1420-210-FG</v>
          </cell>
          <cell r="H72" t="str">
            <v>R</v>
          </cell>
          <cell r="I72" t="str">
            <v>05/27/2024</v>
          </cell>
          <cell r="J72" t="str">
            <v>05/27/2024</v>
          </cell>
          <cell r="K72" t="str">
            <v>06/10/2024</v>
          </cell>
          <cell r="L72">
            <v>5</v>
          </cell>
          <cell r="M72" t="str">
            <v>5/29/2024 12:53:15 PM</v>
          </cell>
          <cell r="N72" t="str">
            <v>24</v>
          </cell>
          <cell r="O72">
            <v>5</v>
          </cell>
          <cell r="P72">
            <v>2.06</v>
          </cell>
        </row>
        <row r="73">
          <cell r="A73" t="str">
            <v>6719646</v>
          </cell>
          <cell r="B73" t="str">
            <v>1177442</v>
          </cell>
          <cell r="C73" t="str">
            <v>6360-292-61</v>
          </cell>
          <cell r="D73" t="str">
            <v>6360</v>
          </cell>
          <cell r="E73" t="str">
            <v>6360 CZ P07 PLN BLK RH</v>
          </cell>
          <cell r="F73" t="str">
            <v>DG-HOLSTER</v>
          </cell>
          <cell r="G73" t="str">
            <v>1420-210-FG</v>
          </cell>
          <cell r="H73" t="str">
            <v>R</v>
          </cell>
          <cell r="I73" t="str">
            <v>05/27/2024</v>
          </cell>
          <cell r="J73" t="str">
            <v>05/27/2024</v>
          </cell>
          <cell r="K73" t="str">
            <v>06/10/2024</v>
          </cell>
          <cell r="L73">
            <v>5</v>
          </cell>
          <cell r="M73" t="str">
            <v>5/29/2024 12:51:40 PM</v>
          </cell>
          <cell r="N73" t="str">
            <v>24</v>
          </cell>
          <cell r="O73">
            <v>5</v>
          </cell>
          <cell r="P73">
            <v>1.22</v>
          </cell>
        </row>
        <row r="74">
          <cell r="A74" t="str">
            <v>6721703</v>
          </cell>
          <cell r="B74" t="str">
            <v>1208501</v>
          </cell>
          <cell r="C74" t="str">
            <v>6360-8325-491</v>
          </cell>
          <cell r="D74" t="str">
            <v>6360</v>
          </cell>
          <cell r="E74" t="str">
            <v>6360 GLOCK 17 GEN5 X300U STX HGS BLK RH</v>
          </cell>
          <cell r="F74" t="str">
            <v>DG-HOLSTER-DTC</v>
          </cell>
          <cell r="G74" t="str">
            <v>1420-210-FG</v>
          </cell>
          <cell r="H74" t="str">
            <v>R</v>
          </cell>
          <cell r="I74" t="str">
            <v>05/28/2024</v>
          </cell>
          <cell r="J74" t="str">
            <v>05/30/2024</v>
          </cell>
          <cell r="K74" t="str">
            <v>06/10/2024</v>
          </cell>
          <cell r="L74">
            <v>10</v>
          </cell>
          <cell r="M74" t="str">
            <v>5/29/2024 1:19:28 PM</v>
          </cell>
          <cell r="N74" t="str">
            <v>24</v>
          </cell>
          <cell r="O74">
            <v>10</v>
          </cell>
          <cell r="P74">
            <v>3.23</v>
          </cell>
        </row>
        <row r="75">
          <cell r="A75" t="str">
            <v>6721711</v>
          </cell>
          <cell r="B75" t="str">
            <v>1208990</v>
          </cell>
          <cell r="C75" t="str">
            <v>6360-28325-412</v>
          </cell>
          <cell r="D75" t="str">
            <v>6360</v>
          </cell>
          <cell r="E75" t="str">
            <v>6360 GLOCK 19 GEN5 X300U STX PLN BLK LH</v>
          </cell>
          <cell r="F75" t="str">
            <v>DG-HOLSTER-DTC</v>
          </cell>
          <cell r="G75" t="str">
            <v>1420-210-FG</v>
          </cell>
          <cell r="H75" t="str">
            <v>R</v>
          </cell>
          <cell r="I75" t="str">
            <v>05/28/2024</v>
          </cell>
          <cell r="J75" t="str">
            <v>05/29/2024</v>
          </cell>
          <cell r="K75" t="str">
            <v>06/10/2024</v>
          </cell>
          <cell r="L75">
            <v>5</v>
          </cell>
          <cell r="M75" t="str">
            <v>5/29/2024 1:12:13 PM</v>
          </cell>
          <cell r="N75" t="str">
            <v>24</v>
          </cell>
          <cell r="O75">
            <v>5</v>
          </cell>
          <cell r="P75">
            <v>1.44</v>
          </cell>
        </row>
        <row r="76">
          <cell r="A76" t="str">
            <v>6721710</v>
          </cell>
          <cell r="B76" t="str">
            <v>1208989</v>
          </cell>
          <cell r="C76" t="str">
            <v>6360-28325-411</v>
          </cell>
          <cell r="D76" t="str">
            <v>6360</v>
          </cell>
          <cell r="E76" t="str">
            <v>6360 GLOCK 19 GEN5 X300U STX PLN BLK RH</v>
          </cell>
          <cell r="F76" t="str">
            <v>DG-HOLSTER-DTC</v>
          </cell>
          <cell r="G76" t="str">
            <v>1420-210-FG</v>
          </cell>
          <cell r="H76" t="str">
            <v>R</v>
          </cell>
          <cell r="I76" t="str">
            <v>05/28/2024</v>
          </cell>
          <cell r="J76" t="str">
            <v>05/29/2024</v>
          </cell>
          <cell r="K76" t="str">
            <v>06/10/2024</v>
          </cell>
          <cell r="L76">
            <v>15</v>
          </cell>
          <cell r="M76" t="str">
            <v>5/29/2024 1:12:13 PM</v>
          </cell>
          <cell r="N76" t="str">
            <v>24</v>
          </cell>
          <cell r="O76">
            <v>15</v>
          </cell>
          <cell r="P76">
            <v>4.34</v>
          </cell>
        </row>
        <row r="77">
          <cell r="A77" t="str">
            <v>6721615</v>
          </cell>
          <cell r="B77" t="str">
            <v>1185855</v>
          </cell>
          <cell r="C77" t="str">
            <v>6360-4502-92</v>
          </cell>
          <cell r="D77" t="str">
            <v>6360</v>
          </cell>
          <cell r="E77" t="str">
            <v>6360 SIG P320 X300U HGS BLK LH</v>
          </cell>
          <cell r="F77" t="str">
            <v>DG-HOLSTER</v>
          </cell>
          <cell r="G77" t="str">
            <v>1420-210-FG</v>
          </cell>
          <cell r="H77" t="str">
            <v>R</v>
          </cell>
          <cell r="I77" t="str">
            <v>05/28/2024</v>
          </cell>
          <cell r="J77" t="str">
            <v>06/03/2024</v>
          </cell>
          <cell r="K77" t="str">
            <v>06/10/2024</v>
          </cell>
          <cell r="L77">
            <v>19</v>
          </cell>
          <cell r="M77" t="str">
            <v>5/29/2024 1:12:13 PM</v>
          </cell>
          <cell r="N77" t="str">
            <v>24</v>
          </cell>
          <cell r="O77">
            <v>19</v>
          </cell>
          <cell r="P77">
            <v>6.33</v>
          </cell>
        </row>
        <row r="78">
          <cell r="A78" t="str">
            <v>6721611</v>
          </cell>
          <cell r="B78" t="str">
            <v>1182919</v>
          </cell>
          <cell r="C78" t="str">
            <v>6360-4502-411</v>
          </cell>
          <cell r="D78" t="str">
            <v>6360</v>
          </cell>
          <cell r="E78" t="str">
            <v>6360 SIG P320 X300U STX PLN BLK RH</v>
          </cell>
          <cell r="F78" t="str">
            <v>DG-HOLSTER</v>
          </cell>
          <cell r="G78" t="str">
            <v>1420-210-FG</v>
          </cell>
          <cell r="H78" t="str">
            <v>R</v>
          </cell>
          <cell r="I78" t="str">
            <v>05/28/2024</v>
          </cell>
          <cell r="J78" t="str">
            <v>05/31/2024</v>
          </cell>
          <cell r="K78" t="str">
            <v>06/10/2024</v>
          </cell>
          <cell r="L78">
            <v>5</v>
          </cell>
          <cell r="M78" t="str">
            <v>5/29/2024 1:12:13 PM</v>
          </cell>
          <cell r="N78" t="str">
            <v>24</v>
          </cell>
          <cell r="O78">
            <v>5</v>
          </cell>
          <cell r="P78">
            <v>1.61</v>
          </cell>
        </row>
        <row r="79">
          <cell r="A79" t="str">
            <v>6721620</v>
          </cell>
          <cell r="B79" t="str">
            <v>1204431</v>
          </cell>
          <cell r="C79" t="str">
            <v>6360-2222-91</v>
          </cell>
          <cell r="D79" t="str">
            <v>6360</v>
          </cell>
          <cell r="E79" t="str">
            <v>6360 SW MP 2.0 9MM X300U HGS BLK RH</v>
          </cell>
          <cell r="F79" t="str">
            <v>DG-HOLSTER</v>
          </cell>
          <cell r="G79" t="str">
            <v>1420-210-FG</v>
          </cell>
          <cell r="H79" t="str">
            <v>R</v>
          </cell>
          <cell r="I79" t="str">
            <v>05/28/2024</v>
          </cell>
          <cell r="J79" t="str">
            <v>06/03/2024</v>
          </cell>
          <cell r="K79" t="str">
            <v>06/10/2024</v>
          </cell>
          <cell r="L79">
            <v>9</v>
          </cell>
          <cell r="M79" t="str">
            <v>5/29/2024 1:12:13 PM</v>
          </cell>
          <cell r="N79" t="str">
            <v>24</v>
          </cell>
          <cell r="O79">
            <v>9</v>
          </cell>
          <cell r="P79">
            <v>2.69</v>
          </cell>
        </row>
        <row r="80">
          <cell r="A80" t="str">
            <v>6720371</v>
          </cell>
          <cell r="B80" t="str">
            <v>1336682</v>
          </cell>
          <cell r="C80" t="str">
            <v>6360RDS-2582-741</v>
          </cell>
          <cell r="D80" t="str">
            <v>6360RDS</v>
          </cell>
          <cell r="E80" t="str">
            <v>6360RDS 2011 STCC 5" X300U COR CYTB RH</v>
          </cell>
          <cell r="F80" t="str">
            <v>DG-HOLSTER-RDS-DTC</v>
          </cell>
          <cell r="G80" t="str">
            <v>1420-210-FG</v>
          </cell>
          <cell r="H80" t="str">
            <v>R</v>
          </cell>
          <cell r="I80" t="str">
            <v>05/27/2024</v>
          </cell>
          <cell r="J80" t="str">
            <v>05/27/2024</v>
          </cell>
          <cell r="K80" t="str">
            <v>06/10/2024</v>
          </cell>
          <cell r="L80">
            <v>2</v>
          </cell>
          <cell r="M80" t="str">
            <v>5/29/2024 2:43:22 PM</v>
          </cell>
          <cell r="N80" t="str">
            <v>24</v>
          </cell>
          <cell r="O80">
            <v>2</v>
          </cell>
          <cell r="P80">
            <v>0.8</v>
          </cell>
        </row>
        <row r="81">
          <cell r="A81" t="str">
            <v>6723870</v>
          </cell>
          <cell r="B81" t="str">
            <v>1333212</v>
          </cell>
          <cell r="C81" t="str">
            <v>6360RDS-832-61</v>
          </cell>
          <cell r="D81" t="str">
            <v>6360RDS</v>
          </cell>
          <cell r="E81" t="str">
            <v>6360RDS GLOCK 17MOS X300U PLN BLK RH</v>
          </cell>
          <cell r="F81" t="str">
            <v>DG-HOLSTER-RDS-DTC</v>
          </cell>
          <cell r="G81" t="str">
            <v>1420-210-FG</v>
          </cell>
          <cell r="H81" t="str">
            <v>F</v>
          </cell>
          <cell r="I81" t="str">
            <v>06/03/2024</v>
          </cell>
          <cell r="J81" t="str">
            <v>06/03/2024</v>
          </cell>
          <cell r="K81" t="str">
            <v>06/10/2024</v>
          </cell>
          <cell r="L81">
            <v>5</v>
          </cell>
          <cell r="M81" t="str">
            <v/>
          </cell>
          <cell r="N81" t="str">
            <v>24</v>
          </cell>
          <cell r="O81">
            <v>5</v>
          </cell>
          <cell r="P81">
            <v>2.17</v>
          </cell>
        </row>
        <row r="82">
          <cell r="A82" t="str">
            <v>6723746</v>
          </cell>
          <cell r="B82" t="str">
            <v>1204133</v>
          </cell>
          <cell r="C82" t="str">
            <v>6360RDS-2832-132</v>
          </cell>
          <cell r="D82" t="str">
            <v>6360RDS</v>
          </cell>
          <cell r="E82" t="str">
            <v>6360RDS GLOCK 19MOS X300U STX TAC BLK LH</v>
          </cell>
          <cell r="F82" t="str">
            <v>DG-HOLSTER-RDS-DTC</v>
          </cell>
          <cell r="G82" t="str">
            <v>1420-210-FG</v>
          </cell>
          <cell r="H82" t="str">
            <v>F</v>
          </cell>
          <cell r="I82" t="str">
            <v>06/03/2024</v>
          </cell>
          <cell r="J82" t="str">
            <v>06/03/2024</v>
          </cell>
          <cell r="K82" t="str">
            <v>06/10/2024</v>
          </cell>
          <cell r="L82">
            <v>25</v>
          </cell>
          <cell r="M82" t="str">
            <v/>
          </cell>
          <cell r="N82" t="str">
            <v>24</v>
          </cell>
          <cell r="O82">
            <v>25</v>
          </cell>
          <cell r="P82">
            <v>10.83</v>
          </cell>
        </row>
        <row r="83">
          <cell r="A83" t="str">
            <v>6720099</v>
          </cell>
          <cell r="B83" t="str">
            <v>1334654</v>
          </cell>
          <cell r="C83" t="str">
            <v>6360RDS-5932-702</v>
          </cell>
          <cell r="D83" t="str">
            <v>6360RDS</v>
          </cell>
          <cell r="E83" t="str">
            <v>6360RDS H&amp;K VP9 X300U CORD MLTCM LH</v>
          </cell>
          <cell r="F83" t="str">
            <v>DG-HOLSTER-RDS</v>
          </cell>
          <cell r="G83" t="str">
            <v>1420-210-FG</v>
          </cell>
          <cell r="H83" t="str">
            <v>R</v>
          </cell>
          <cell r="I83" t="str">
            <v>05/27/2024</v>
          </cell>
          <cell r="J83" t="str">
            <v>05/27/2024</v>
          </cell>
          <cell r="K83" t="str">
            <v>06/10/2024</v>
          </cell>
          <cell r="L83">
            <v>5</v>
          </cell>
          <cell r="M83" t="str">
            <v>5/29/2024 2:43:22 PM</v>
          </cell>
          <cell r="N83" t="str">
            <v>24</v>
          </cell>
          <cell r="O83">
            <v>5</v>
          </cell>
          <cell r="P83">
            <v>2</v>
          </cell>
        </row>
        <row r="84">
          <cell r="A84" t="str">
            <v>6721895</v>
          </cell>
          <cell r="B84" t="str">
            <v>1336506</v>
          </cell>
          <cell r="C84" t="str">
            <v>6360RDS-4842-132</v>
          </cell>
          <cell r="D84" t="str">
            <v>6360RDS</v>
          </cell>
          <cell r="E84" t="str">
            <v>6360RDS WLTHRPDP 4"  X300U STXTAC BLK LH</v>
          </cell>
          <cell r="F84" t="str">
            <v>DG-HOLSTER-RDS-DTC</v>
          </cell>
          <cell r="G84" t="str">
            <v>1420-210-FG</v>
          </cell>
          <cell r="H84" t="str">
            <v>R</v>
          </cell>
          <cell r="I84" t="str">
            <v>05/28/2024</v>
          </cell>
          <cell r="J84" t="str">
            <v>06/03/2024</v>
          </cell>
          <cell r="K84" t="str">
            <v>06/10/2024</v>
          </cell>
          <cell r="L84">
            <v>2</v>
          </cell>
          <cell r="M84" t="str">
            <v>5/29/2024 2:35:13 PM</v>
          </cell>
          <cell r="N84" t="str">
            <v>24</v>
          </cell>
          <cell r="O84">
            <v>2</v>
          </cell>
          <cell r="P84">
            <v>0.87</v>
          </cell>
        </row>
        <row r="85">
          <cell r="A85" t="str">
            <v>6719654</v>
          </cell>
          <cell r="B85" t="str">
            <v>1203874</v>
          </cell>
          <cell r="C85" t="str">
            <v>6365-4502-411</v>
          </cell>
          <cell r="D85" t="str">
            <v>6365</v>
          </cell>
          <cell r="E85" t="str">
            <v>6365 SIG P320 X300U STX PLN BLK RH</v>
          </cell>
          <cell r="F85" t="str">
            <v>DG-HOLSTER</v>
          </cell>
          <cell r="G85" t="str">
            <v>1420-210-FG</v>
          </cell>
          <cell r="H85" t="str">
            <v>R</v>
          </cell>
          <cell r="I85" t="str">
            <v>05/27/2024</v>
          </cell>
          <cell r="J85" t="str">
            <v>05/27/2024</v>
          </cell>
          <cell r="K85" t="str">
            <v>06/10/2024</v>
          </cell>
          <cell r="L85">
            <v>12</v>
          </cell>
          <cell r="M85" t="str">
            <v>5/29/2024 1:12:13 PM</v>
          </cell>
          <cell r="N85" t="str">
            <v>24</v>
          </cell>
          <cell r="O85">
            <v>12</v>
          </cell>
          <cell r="P85">
            <v>3.87</v>
          </cell>
        </row>
        <row r="86">
          <cell r="A86" t="str">
            <v>6723484</v>
          </cell>
          <cell r="B86" t="str">
            <v>1170695</v>
          </cell>
          <cell r="C86" t="str">
            <v>6367-283-411</v>
          </cell>
          <cell r="D86" t="str">
            <v>6367</v>
          </cell>
          <cell r="E86" t="str">
            <v>6367 GLOCK 19/23 STX PLN BLK RH</v>
          </cell>
          <cell r="F86" t="str">
            <v>DG-HOLSTER-DTC</v>
          </cell>
          <cell r="G86" t="str">
            <v>1420-210-FG</v>
          </cell>
          <cell r="H86" t="str">
            <v>R</v>
          </cell>
          <cell r="I86" t="str">
            <v>06/03/2024</v>
          </cell>
          <cell r="J86" t="str">
            <v>06/03/2024</v>
          </cell>
          <cell r="K86" t="str">
            <v>06/10/2024</v>
          </cell>
          <cell r="L86">
            <v>2</v>
          </cell>
          <cell r="M86" t="str">
            <v>6/11/2024 12:41:20 PM</v>
          </cell>
          <cell r="N86" t="str">
            <v>24</v>
          </cell>
          <cell r="O86">
            <v>2</v>
          </cell>
          <cell r="P86">
            <v>0.53</v>
          </cell>
        </row>
        <row r="87">
          <cell r="A87" t="str">
            <v>6719767</v>
          </cell>
          <cell r="B87" t="str">
            <v>1130088</v>
          </cell>
          <cell r="C87" t="str">
            <v>6367-283-132</v>
          </cell>
          <cell r="D87" t="str">
            <v>6367</v>
          </cell>
          <cell r="E87" t="str">
            <v>6367 GLOCK 19/23 STX TAC BLK LH</v>
          </cell>
          <cell r="F87" t="str">
            <v>DG-HOLSTER-DTC</v>
          </cell>
          <cell r="G87" t="str">
            <v>1420-210-FG</v>
          </cell>
          <cell r="H87" t="str">
            <v>R</v>
          </cell>
          <cell r="I87" t="str">
            <v>05/27/2024</v>
          </cell>
          <cell r="J87" t="str">
            <v>05/27/2024</v>
          </cell>
          <cell r="K87" t="str">
            <v>06/10/2024</v>
          </cell>
          <cell r="L87">
            <v>20</v>
          </cell>
          <cell r="M87" t="str">
            <v>5/29/2024 1:06:42 PM</v>
          </cell>
          <cell r="N87" t="str">
            <v>24</v>
          </cell>
          <cell r="O87">
            <v>20</v>
          </cell>
          <cell r="P87">
            <v>5.31</v>
          </cell>
        </row>
        <row r="88">
          <cell r="A88" t="str">
            <v>6721684</v>
          </cell>
          <cell r="B88" t="str">
            <v>1132017</v>
          </cell>
          <cell r="C88" t="str">
            <v>6378-53-552</v>
          </cell>
          <cell r="D88" t="str">
            <v>6378</v>
          </cell>
          <cell r="E88" t="str">
            <v>6378 COLT 1911 STX TAC FDE LH</v>
          </cell>
          <cell r="F88" t="str">
            <v>DG-HOLSTER-DTC</v>
          </cell>
          <cell r="G88" t="str">
            <v>1420-210-FG</v>
          </cell>
          <cell r="H88" t="str">
            <v>R</v>
          </cell>
          <cell r="I88" t="str">
            <v>05/28/2024</v>
          </cell>
          <cell r="J88" t="str">
            <v>06/03/2024</v>
          </cell>
          <cell r="K88" t="str">
            <v>06/10/2024</v>
          </cell>
          <cell r="L88">
            <v>1</v>
          </cell>
          <cell r="M88" t="str">
            <v>5/29/2024 1:15:01 PM</v>
          </cell>
          <cell r="N88" t="str">
            <v>24</v>
          </cell>
          <cell r="O88">
            <v>1</v>
          </cell>
          <cell r="P88">
            <v>0.41</v>
          </cell>
        </row>
        <row r="89">
          <cell r="A89" t="str">
            <v>6720041</v>
          </cell>
          <cell r="B89" t="str">
            <v>1329523</v>
          </cell>
          <cell r="C89" t="str">
            <v>6378RDS-2712-132</v>
          </cell>
          <cell r="D89" t="str">
            <v>6378RDS</v>
          </cell>
          <cell r="E89" t="str">
            <v>6378RDS FN509T 4.5IN X300U STX TACBLK lH</v>
          </cell>
          <cell r="F89" t="str">
            <v>DG-HOLSTER-RDS</v>
          </cell>
          <cell r="G89" t="str">
            <v>1420-210-FG</v>
          </cell>
          <cell r="H89" t="str">
            <v>R</v>
          </cell>
          <cell r="I89" t="str">
            <v>05/27/2024</v>
          </cell>
          <cell r="J89" t="str">
            <v>05/27/2024</v>
          </cell>
          <cell r="K89" t="str">
            <v>06/10/2024</v>
          </cell>
          <cell r="L89">
            <v>5</v>
          </cell>
          <cell r="M89" t="str">
            <v>5/29/2024 2:25:54 PM</v>
          </cell>
          <cell r="N89" t="str">
            <v>24</v>
          </cell>
          <cell r="O89">
            <v>5</v>
          </cell>
          <cell r="P89">
            <v>2</v>
          </cell>
        </row>
        <row r="90">
          <cell r="A90" t="str">
            <v>6719961</v>
          </cell>
          <cell r="B90" t="str">
            <v>1321508</v>
          </cell>
          <cell r="C90" t="str">
            <v>6378RDS-7502-702</v>
          </cell>
          <cell r="D90" t="str">
            <v>6378RDS</v>
          </cell>
          <cell r="E90" t="str">
            <v>6378RDS SIG 320CRX X300U COR MLTCM LH</v>
          </cell>
          <cell r="F90" t="str">
            <v>DG-HOLSTER-RDS</v>
          </cell>
          <cell r="G90" t="str">
            <v>1420-210-FG</v>
          </cell>
          <cell r="H90" t="str">
            <v>R</v>
          </cell>
          <cell r="I90" t="str">
            <v>05/27/2024</v>
          </cell>
          <cell r="J90" t="str">
            <v>05/27/2024</v>
          </cell>
          <cell r="K90" t="str">
            <v>06/10/2024</v>
          </cell>
          <cell r="L90">
            <v>5</v>
          </cell>
          <cell r="M90" t="str">
            <v>5/29/2024 2:39:21 PM</v>
          </cell>
          <cell r="N90" t="str">
            <v>24</v>
          </cell>
          <cell r="O90">
            <v>5</v>
          </cell>
          <cell r="P90">
            <v>2</v>
          </cell>
        </row>
        <row r="91">
          <cell r="A91" t="str">
            <v>6720409</v>
          </cell>
          <cell r="B91" t="str">
            <v>1159997</v>
          </cell>
          <cell r="C91" t="str">
            <v>6378USN-2832-701</v>
          </cell>
          <cell r="D91" t="str">
            <v>6378USN</v>
          </cell>
          <cell r="E91" t="str">
            <v>6378USN GLK 19/23 W/X300 CORD MUL CAM RH</v>
          </cell>
          <cell r="F91" t="str">
            <v>DG-HOLSTER-USN-DTC</v>
          </cell>
          <cell r="G91" t="str">
            <v>1420-210-FG</v>
          </cell>
          <cell r="H91" t="str">
            <v>R</v>
          </cell>
          <cell r="I91" t="str">
            <v>05/27/2024</v>
          </cell>
          <cell r="J91" t="str">
            <v>05/27/2024</v>
          </cell>
          <cell r="K91" t="str">
            <v>06/10/2024</v>
          </cell>
          <cell r="L91">
            <v>5</v>
          </cell>
          <cell r="M91" t="str">
            <v>5/29/2024 2:39:21 PM</v>
          </cell>
          <cell r="N91" t="str">
            <v>24</v>
          </cell>
          <cell r="O91">
            <v>5</v>
          </cell>
          <cell r="P91">
            <v>1.86</v>
          </cell>
        </row>
        <row r="92">
          <cell r="A92" t="str">
            <v>6720071</v>
          </cell>
          <cell r="B92" t="str">
            <v>1333529</v>
          </cell>
          <cell r="C92" t="str">
            <v>6390RDS-27027-701</v>
          </cell>
          <cell r="D92" t="str">
            <v>6390RDS</v>
          </cell>
          <cell r="E92" t="str">
            <v>6390RDS FN 509 TLR-7 COR MLTCM RH</v>
          </cell>
          <cell r="F92" t="str">
            <v>DG-HOLSTER-RDS</v>
          </cell>
          <cell r="G92" t="str">
            <v>1420-210-FG</v>
          </cell>
          <cell r="H92" t="str">
            <v>R</v>
          </cell>
          <cell r="I92" t="str">
            <v>05/27/2024</v>
          </cell>
          <cell r="J92" t="str">
            <v>05/27/2024</v>
          </cell>
          <cell r="K92" t="str">
            <v>06/10/2024</v>
          </cell>
          <cell r="L92">
            <v>5</v>
          </cell>
          <cell r="M92" t="str">
            <v>5/29/2024 2:43:22 PM</v>
          </cell>
          <cell r="N92" t="str">
            <v>24</v>
          </cell>
          <cell r="O92">
            <v>5</v>
          </cell>
          <cell r="P92">
            <v>2</v>
          </cell>
        </row>
        <row r="93">
          <cell r="A93" t="str">
            <v>6720268</v>
          </cell>
          <cell r="B93" t="str">
            <v>1326977</v>
          </cell>
          <cell r="C93" t="str">
            <v>6390RDS-832-562</v>
          </cell>
          <cell r="D93" t="str">
            <v>6390RDS</v>
          </cell>
          <cell r="E93" t="str">
            <v>6390RDS GLOCK 17MOS X300U STX TAC ODG LH</v>
          </cell>
          <cell r="F93" t="str">
            <v>DG-HOLSTER-RDS-DTC</v>
          </cell>
          <cell r="G93" t="str">
            <v>1420-210-FG</v>
          </cell>
          <cell r="H93" t="str">
            <v>R</v>
          </cell>
          <cell r="I93" t="str">
            <v>05/27/2024</v>
          </cell>
          <cell r="J93" t="str">
            <v>05/27/2024</v>
          </cell>
          <cell r="K93" t="str">
            <v>06/10/2024</v>
          </cell>
          <cell r="L93">
            <v>5</v>
          </cell>
          <cell r="M93" t="str">
            <v>5/29/2024 2:29:56 PM</v>
          </cell>
          <cell r="N93" t="str">
            <v>24</v>
          </cell>
          <cell r="O93">
            <v>5</v>
          </cell>
          <cell r="P93">
            <v>2.17</v>
          </cell>
        </row>
        <row r="94">
          <cell r="A94" t="str">
            <v>6720376</v>
          </cell>
          <cell r="B94" t="str">
            <v>1336841</v>
          </cell>
          <cell r="C94" t="str">
            <v>6390RDS-28252-131</v>
          </cell>
          <cell r="D94" t="str">
            <v>6390RDS</v>
          </cell>
          <cell r="E94" t="str">
            <v>6390RDS GLOCK23 GEN5 X300U STXTAC BLK RH</v>
          </cell>
          <cell r="F94" t="str">
            <v>DG-HOLSTER-RDS-DTC</v>
          </cell>
          <cell r="G94" t="str">
            <v>1420-210-FG</v>
          </cell>
          <cell r="H94" t="str">
            <v>R</v>
          </cell>
          <cell r="I94" t="str">
            <v>05/27/2024</v>
          </cell>
          <cell r="J94" t="str">
            <v>05/27/2024</v>
          </cell>
          <cell r="K94" t="str">
            <v>06/10/2024</v>
          </cell>
          <cell r="L94">
            <v>1</v>
          </cell>
          <cell r="M94" t="str">
            <v>5/29/2024 2:35:13 PM</v>
          </cell>
          <cell r="N94" t="str">
            <v>24</v>
          </cell>
          <cell r="O94">
            <v>1</v>
          </cell>
          <cell r="P94">
            <v>0.4</v>
          </cell>
        </row>
        <row r="95">
          <cell r="A95" t="str">
            <v>6723779</v>
          </cell>
          <cell r="B95" t="str">
            <v>1335063</v>
          </cell>
          <cell r="C95" t="str">
            <v>6390RDS-572-131</v>
          </cell>
          <cell r="D95" t="str">
            <v>6390RDS</v>
          </cell>
          <cell r="E95" t="str">
            <v>6390RDS SA ECHELON X300U STX TAC BLK RH</v>
          </cell>
          <cell r="F95" t="str">
            <v>DG-HOLSTER-RDS-DTC</v>
          </cell>
          <cell r="G95" t="str">
            <v>1420-210-FG</v>
          </cell>
          <cell r="H95" t="str">
            <v>F</v>
          </cell>
          <cell r="I95" t="str">
            <v>06/03/2024</v>
          </cell>
          <cell r="J95" t="str">
            <v>06/03/2024</v>
          </cell>
          <cell r="K95" t="str">
            <v>06/10/2024</v>
          </cell>
          <cell r="L95">
            <v>30</v>
          </cell>
          <cell r="M95" t="str">
            <v/>
          </cell>
          <cell r="N95" t="str">
            <v>24</v>
          </cell>
          <cell r="O95">
            <v>30</v>
          </cell>
          <cell r="P95">
            <v>12</v>
          </cell>
        </row>
        <row r="96">
          <cell r="A96" t="str">
            <v>6721893</v>
          </cell>
          <cell r="B96" t="str">
            <v>1336498</v>
          </cell>
          <cell r="C96" t="str">
            <v>6390RDS-4842-132</v>
          </cell>
          <cell r="D96" t="str">
            <v>6390RDS</v>
          </cell>
          <cell r="E96" t="str">
            <v>6390RDS WLTHRPDP 4"  X300U STXTAC BLK LH</v>
          </cell>
          <cell r="F96" t="str">
            <v>DG-HOLSTER-RDS-DTC</v>
          </cell>
          <cell r="G96" t="str">
            <v>1420-210-FG</v>
          </cell>
          <cell r="H96" t="str">
            <v>R</v>
          </cell>
          <cell r="I96" t="str">
            <v>05/28/2024</v>
          </cell>
          <cell r="J96" t="str">
            <v>06/03/2024</v>
          </cell>
          <cell r="K96" t="str">
            <v>06/10/2024</v>
          </cell>
          <cell r="L96">
            <v>2</v>
          </cell>
          <cell r="M96" t="str">
            <v>5/29/2024 2:35:13 PM</v>
          </cell>
          <cell r="N96" t="str">
            <v>24</v>
          </cell>
          <cell r="O96">
            <v>2</v>
          </cell>
          <cell r="P96">
            <v>0.86</v>
          </cell>
        </row>
        <row r="97">
          <cell r="A97" t="str">
            <v>6721891</v>
          </cell>
          <cell r="B97" t="str">
            <v>1336411</v>
          </cell>
          <cell r="C97" t="str">
            <v>6390RDS-5842-552</v>
          </cell>
          <cell r="D97" t="str">
            <v>6390RDS</v>
          </cell>
          <cell r="E97" t="str">
            <v>6390RDS WLTHRPDP 4.5 X300U STXTAC FDE LH</v>
          </cell>
          <cell r="F97" t="str">
            <v>DG-HOLSTER-RDS-DTC</v>
          </cell>
          <cell r="G97" t="str">
            <v>1420-210-FG</v>
          </cell>
          <cell r="H97" t="str">
            <v>R</v>
          </cell>
          <cell r="I97" t="str">
            <v>05/28/2024</v>
          </cell>
          <cell r="J97" t="str">
            <v>06/03/2024</v>
          </cell>
          <cell r="K97" t="str">
            <v>06/10/2024</v>
          </cell>
          <cell r="L97">
            <v>1</v>
          </cell>
          <cell r="M97" t="str">
            <v>5/29/2024 2:35:13 PM</v>
          </cell>
          <cell r="N97" t="str">
            <v>24</v>
          </cell>
          <cell r="O97">
            <v>1</v>
          </cell>
          <cell r="P97">
            <v>0.43</v>
          </cell>
        </row>
        <row r="98">
          <cell r="A98" t="str">
            <v>6723947</v>
          </cell>
          <cell r="B98" t="str">
            <v>1122669</v>
          </cell>
          <cell r="C98" t="str">
            <v>77-83-49</v>
          </cell>
          <cell r="D98" t="str">
            <v>77</v>
          </cell>
          <cell r="E98" t="str">
            <v>77 GLOCK 17/22 STX HI GLS BLK</v>
          </cell>
          <cell r="F98" t="str">
            <v>DG-POUCH-F1</v>
          </cell>
          <cell r="G98" t="str">
            <v>1420-210-FG</v>
          </cell>
          <cell r="H98" t="str">
            <v>R</v>
          </cell>
          <cell r="I98" t="str">
            <v>06/03/2024</v>
          </cell>
          <cell r="J98" t="str">
            <v>06/03/2024</v>
          </cell>
          <cell r="K98" t="str">
            <v>06/10/2024</v>
          </cell>
          <cell r="L98">
            <v>5</v>
          </cell>
          <cell r="M98" t="str">
            <v>6/3/2024 3:41:13 PM</v>
          </cell>
          <cell r="N98" t="str">
            <v>24</v>
          </cell>
          <cell r="O98">
            <v>5</v>
          </cell>
          <cell r="P98">
            <v>1.94</v>
          </cell>
        </row>
        <row r="99">
          <cell r="A99" t="str">
            <v>6719535</v>
          </cell>
          <cell r="B99" t="str">
            <v>1102896</v>
          </cell>
          <cell r="C99" t="str">
            <v>87-48-8</v>
          </cell>
          <cell r="D99" t="str">
            <v>87</v>
          </cell>
          <cell r="E99" t="str">
            <v>87 SZ48 BSK BLK</v>
          </cell>
          <cell r="F99" t="str">
            <v>DG-BELT</v>
          </cell>
          <cell r="G99" t="str">
            <v>1420-210-FG</v>
          </cell>
          <cell r="H99" t="str">
            <v>R</v>
          </cell>
          <cell r="I99" t="str">
            <v>05/27/2024</v>
          </cell>
          <cell r="J99" t="str">
            <v>05/27/2024</v>
          </cell>
          <cell r="K99" t="str">
            <v>06/10/2024</v>
          </cell>
          <cell r="L99">
            <v>5</v>
          </cell>
          <cell r="M99" t="str">
            <v>5/28/2024 10:51:05 AM</v>
          </cell>
          <cell r="N99" t="str">
            <v>24</v>
          </cell>
          <cell r="O99">
            <v>5</v>
          </cell>
          <cell r="P99">
            <v>2</v>
          </cell>
        </row>
        <row r="100">
          <cell r="A100" t="str">
            <v>6719536</v>
          </cell>
          <cell r="B100" t="str">
            <v>1102909</v>
          </cell>
          <cell r="C100" t="str">
            <v>87-50-8</v>
          </cell>
          <cell r="D100" t="str">
            <v>87</v>
          </cell>
          <cell r="E100" t="str">
            <v>87 SZ50 BSK BLK</v>
          </cell>
          <cell r="F100" t="str">
            <v>DG-BELT</v>
          </cell>
          <cell r="G100" t="str">
            <v>1420-210-FG</v>
          </cell>
          <cell r="H100" t="str">
            <v>R</v>
          </cell>
          <cell r="I100" t="str">
            <v>05/27/2024</v>
          </cell>
          <cell r="J100" t="str">
            <v>05/27/2024</v>
          </cell>
          <cell r="K100" t="str">
            <v>06/10/2024</v>
          </cell>
          <cell r="L100">
            <v>5</v>
          </cell>
          <cell r="M100" t="str">
            <v>5/28/2024 10:51:05 AM</v>
          </cell>
          <cell r="N100" t="str">
            <v>24</v>
          </cell>
          <cell r="O100">
            <v>5</v>
          </cell>
          <cell r="P100">
            <v>2</v>
          </cell>
        </row>
        <row r="101">
          <cell r="A101" t="str">
            <v>6723227</v>
          </cell>
          <cell r="B101" t="str">
            <v>1103490</v>
          </cell>
          <cell r="C101" t="str">
            <v>94-42-4</v>
          </cell>
          <cell r="D101" t="str">
            <v>94</v>
          </cell>
          <cell r="E101" t="str">
            <v>94 SZ42 BSK BLK</v>
          </cell>
          <cell r="F101" t="str">
            <v>DG-BELT</v>
          </cell>
          <cell r="G101" t="str">
            <v>1420-210-FG</v>
          </cell>
          <cell r="H101" t="str">
            <v>R</v>
          </cell>
          <cell r="I101" t="str">
            <v>06/03/2024</v>
          </cell>
          <cell r="J101" t="str">
            <v>06/03/2024</v>
          </cell>
          <cell r="K101" t="str">
            <v>06/10/2024</v>
          </cell>
          <cell r="L101">
            <v>10</v>
          </cell>
          <cell r="M101" t="str">
            <v>6/5/2024 2:55:33 PM</v>
          </cell>
          <cell r="N101" t="str">
            <v>24</v>
          </cell>
          <cell r="O101">
            <v>10</v>
          </cell>
          <cell r="P101">
            <v>5.35</v>
          </cell>
        </row>
        <row r="102">
          <cell r="A102" t="str">
            <v>6721920</v>
          </cell>
          <cell r="B102" t="str">
            <v>1126997</v>
          </cell>
          <cell r="C102" t="str">
            <v>6287-5621-61</v>
          </cell>
          <cell r="D102" t="str">
            <v>6287</v>
          </cell>
          <cell r="E102" t="str">
            <v>BELT HOLSTER</v>
          </cell>
          <cell r="F102" t="str">
            <v>DG-HOLSTER-SEW</v>
          </cell>
          <cell r="G102" t="str">
            <v>1420-210-FG</v>
          </cell>
          <cell r="H102" t="str">
            <v>R</v>
          </cell>
          <cell r="I102" t="str">
            <v>05/28/2024</v>
          </cell>
          <cell r="J102" t="str">
            <v>06/03/2024</v>
          </cell>
          <cell r="K102" t="str">
            <v>06/10/2024</v>
          </cell>
          <cell r="L102">
            <v>1</v>
          </cell>
          <cell r="M102" t="str">
            <v>5/29/2024 1:06:42 PM</v>
          </cell>
          <cell r="N102" t="str">
            <v>24</v>
          </cell>
          <cell r="O102">
            <v>1</v>
          </cell>
          <cell r="P102">
            <v>0.43</v>
          </cell>
        </row>
        <row r="103">
          <cell r="A103" t="str">
            <v>6719550</v>
          </cell>
          <cell r="B103" t="str">
            <v>1113702</v>
          </cell>
          <cell r="C103" t="str">
            <v>4325-4-4</v>
          </cell>
          <cell r="D103" t="str">
            <v>4325</v>
          </cell>
          <cell r="E103" t="str">
            <v xml:space="preserve">BLT INR PNT REVRS VEL XLRG NP </v>
          </cell>
          <cell r="F103" t="str">
            <v>DG-BELT</v>
          </cell>
          <cell r="G103" t="str">
            <v>1420-210-FG</v>
          </cell>
          <cell r="H103" t="str">
            <v>R</v>
          </cell>
          <cell r="I103" t="str">
            <v>05/27/2024</v>
          </cell>
          <cell r="J103" t="str">
            <v>05/27/2024</v>
          </cell>
          <cell r="K103" t="str">
            <v>06/10/2024</v>
          </cell>
          <cell r="L103">
            <v>10</v>
          </cell>
          <cell r="M103" t="str">
            <v>5/28/2024 10:51:05 AM</v>
          </cell>
          <cell r="N103" t="str">
            <v>24</v>
          </cell>
          <cell r="O103">
            <v>10</v>
          </cell>
          <cell r="P103">
            <v>2.65</v>
          </cell>
        </row>
        <row r="104">
          <cell r="A104" t="str">
            <v>6723292</v>
          </cell>
          <cell r="B104" t="str">
            <v>1130428</v>
          </cell>
          <cell r="C104" t="str">
            <v>3004-1-55</v>
          </cell>
          <cell r="D104" t="str">
            <v>3004</v>
          </cell>
          <cell r="E104" t="str">
            <v>DBL ACCSY LEG STRAP</v>
          </cell>
          <cell r="F104" t="str">
            <v>DG-HARNESS-DTC</v>
          </cell>
          <cell r="G104" t="str">
            <v>1420-210-FG</v>
          </cell>
          <cell r="H104" t="str">
            <v>F</v>
          </cell>
          <cell r="I104" t="str">
            <v>06/03/2024</v>
          </cell>
          <cell r="J104" t="str">
            <v>06/03/2024</v>
          </cell>
          <cell r="K104" t="str">
            <v>06/10/2024</v>
          </cell>
          <cell r="L104">
            <v>50</v>
          </cell>
          <cell r="M104" t="str">
            <v/>
          </cell>
          <cell r="N104" t="str">
            <v>24</v>
          </cell>
          <cell r="O104">
            <v>50</v>
          </cell>
          <cell r="P104">
            <v>2.75</v>
          </cell>
        </row>
        <row r="105">
          <cell r="A105" t="str">
            <v>6719425</v>
          </cell>
          <cell r="B105" t="str">
            <v>1183937</v>
          </cell>
          <cell r="C105" t="str">
            <v>H3084-BLK</v>
          </cell>
          <cell r="D105" t="str">
            <v>H3084</v>
          </cell>
          <cell r="E105" t="str">
            <v>H3084 BLACK WRAP HARNESS</v>
          </cell>
          <cell r="F105" t="str">
            <v>DG-HOLSTER</v>
          </cell>
          <cell r="G105" t="str">
            <v>1420-210-SB</v>
          </cell>
          <cell r="H105" t="str">
            <v>R</v>
          </cell>
          <cell r="I105" t="str">
            <v>05/27/2024</v>
          </cell>
          <cell r="J105" t="str">
            <v>05/27/2024</v>
          </cell>
          <cell r="K105" t="str">
            <v>06/10/2024</v>
          </cell>
          <cell r="L105">
            <v>2</v>
          </cell>
          <cell r="M105" t="str">
            <v>5/29/2024 1:22:33 PM</v>
          </cell>
          <cell r="N105" t="str">
            <v>24</v>
          </cell>
          <cell r="O105">
            <v>2</v>
          </cell>
          <cell r="P105">
            <v>0.27</v>
          </cell>
        </row>
        <row r="106">
          <cell r="A106" t="str">
            <v>6723943</v>
          </cell>
          <cell r="B106" t="str">
            <v>1103276</v>
          </cell>
          <cell r="C106" t="str">
            <v>90H-4</v>
          </cell>
          <cell r="D106" t="str">
            <v>90H</v>
          </cell>
          <cell r="E106" t="str">
            <v>HANDCUFF POUCHTOP FLAP</v>
          </cell>
          <cell r="F106" t="str">
            <v>DG-POUCH-F1</v>
          </cell>
          <cell r="G106" t="str">
            <v>1420-210-FG</v>
          </cell>
          <cell r="H106" t="str">
            <v>R</v>
          </cell>
          <cell r="I106" t="str">
            <v>06/03/2024</v>
          </cell>
          <cell r="J106" t="str">
            <v>06/03/2024</v>
          </cell>
          <cell r="K106" t="str">
            <v>06/10/2024</v>
          </cell>
          <cell r="L106">
            <v>10</v>
          </cell>
          <cell r="M106" t="str">
            <v>6/3/2024 3:41:13 PM</v>
          </cell>
          <cell r="N106" t="str">
            <v>24</v>
          </cell>
          <cell r="O106">
            <v>10</v>
          </cell>
          <cell r="P106">
            <v>3.56</v>
          </cell>
        </row>
        <row r="107">
          <cell r="A107" t="str">
            <v>6720589</v>
          </cell>
          <cell r="B107" t="str">
            <v>1103279</v>
          </cell>
          <cell r="C107" t="str">
            <v>90H-4HS</v>
          </cell>
          <cell r="D107" t="str">
            <v>90H</v>
          </cell>
          <cell r="E107" t="str">
            <v>HANDCUFF POUCHTOP FLAP</v>
          </cell>
          <cell r="F107" t="str">
            <v>DG-POUCH-F1</v>
          </cell>
          <cell r="G107" t="str">
            <v>1420-210-FG</v>
          </cell>
          <cell r="H107" t="str">
            <v>R</v>
          </cell>
          <cell r="I107" t="str">
            <v>05/27/2024</v>
          </cell>
          <cell r="J107" t="str">
            <v>05/27/2024</v>
          </cell>
          <cell r="K107" t="str">
            <v>06/10/2024</v>
          </cell>
          <cell r="L107">
            <v>50</v>
          </cell>
          <cell r="M107" t="str">
            <v>5/29/2024 3:29:07 PM</v>
          </cell>
          <cell r="N107" t="str">
            <v>24</v>
          </cell>
          <cell r="O107">
            <v>50</v>
          </cell>
          <cell r="P107">
            <v>18.010000000000002</v>
          </cell>
        </row>
        <row r="108">
          <cell r="A108" t="str">
            <v>6723286</v>
          </cell>
          <cell r="B108" t="str">
            <v>1120807</v>
          </cell>
          <cell r="C108" t="str">
            <v>6004-27-2</v>
          </cell>
          <cell r="D108" t="str">
            <v>6004</v>
          </cell>
          <cell r="E108" t="str">
            <v>SMALL TACTICAL PLATE W/DFA QLS RECEIVER</v>
          </cell>
          <cell r="F108" t="str">
            <v>DG-HARNESS-DTC</v>
          </cell>
          <cell r="G108" t="str">
            <v>1420-210-FG</v>
          </cell>
          <cell r="H108" t="str">
            <v>R</v>
          </cell>
          <cell r="I108" t="str">
            <v>06/03/2024</v>
          </cell>
          <cell r="J108" t="str">
            <v>06/03/2024</v>
          </cell>
          <cell r="K108" t="str">
            <v>06/10/2024</v>
          </cell>
          <cell r="L108">
            <v>100</v>
          </cell>
          <cell r="M108" t="str">
            <v>6/13/2024 8:15:32 AM</v>
          </cell>
          <cell r="N108" t="str">
            <v>24</v>
          </cell>
          <cell r="O108">
            <v>100</v>
          </cell>
          <cell r="P108">
            <v>5.71</v>
          </cell>
        </row>
        <row r="109">
          <cell r="A109" t="str">
            <v>6723287</v>
          </cell>
          <cell r="B109" t="str">
            <v>1120807</v>
          </cell>
          <cell r="C109" t="str">
            <v>6004-27-2</v>
          </cell>
          <cell r="D109" t="str">
            <v>6004</v>
          </cell>
          <cell r="E109" t="str">
            <v>SMALL TACTICAL PLATE W/DFA QLS RECEIVER</v>
          </cell>
          <cell r="F109" t="str">
            <v>DG-HARNESS-DTC</v>
          </cell>
          <cell r="G109" t="str">
            <v>1420-210-FG</v>
          </cell>
          <cell r="H109" t="str">
            <v>R</v>
          </cell>
          <cell r="I109" t="str">
            <v>06/03/2024</v>
          </cell>
          <cell r="J109" t="str">
            <v>06/03/2024</v>
          </cell>
          <cell r="K109" t="str">
            <v>06/10/2024</v>
          </cell>
          <cell r="L109">
            <v>100</v>
          </cell>
          <cell r="M109" t="str">
            <v>6/13/2024 8:20:33 AM</v>
          </cell>
          <cell r="N109" t="str">
            <v>24</v>
          </cell>
          <cell r="O109">
            <v>100</v>
          </cell>
          <cell r="P109">
            <v>5.71</v>
          </cell>
        </row>
        <row r="110">
          <cell r="A110" t="str">
            <v>6724529</v>
          </cell>
          <cell r="B110" t="str">
            <v>1164069</v>
          </cell>
          <cell r="C110" t="str">
            <v>LCE-20866BKA-01</v>
          </cell>
          <cell r="D110" t="str">
            <v/>
          </cell>
          <cell r="E110" t="str">
            <v>20866 LIGHT CAP EXTENDED:EXT ABS BLK</v>
          </cell>
          <cell r="F110" t="str">
            <v>DG-MOLDING</v>
          </cell>
          <cell r="G110" t="str">
            <v>1420-210-SB</v>
          </cell>
          <cell r="H110" t="str">
            <v>F</v>
          </cell>
          <cell r="I110" t="str">
            <v>06/04/2024</v>
          </cell>
          <cell r="J110" t="str">
            <v>06/04/2024</v>
          </cell>
          <cell r="K110" t="str">
            <v>06/11/2024</v>
          </cell>
          <cell r="L110">
            <v>1500</v>
          </cell>
          <cell r="M110" t="str">
            <v/>
          </cell>
          <cell r="N110" t="str">
            <v>24</v>
          </cell>
          <cell r="O110">
            <v>1500</v>
          </cell>
          <cell r="P110">
            <v>5.25</v>
          </cell>
        </row>
        <row r="111">
          <cell r="A111" t="str">
            <v>6724530</v>
          </cell>
          <cell r="B111" t="str">
            <v>1164069</v>
          </cell>
          <cell r="C111" t="str">
            <v>LCE-20866BKA-01</v>
          </cell>
          <cell r="D111" t="str">
            <v/>
          </cell>
          <cell r="E111" t="str">
            <v>20866 LIGHT CAP EXTENDED:EXT ABS BLK</v>
          </cell>
          <cell r="F111" t="str">
            <v>DG-MOLDING</v>
          </cell>
          <cell r="G111" t="str">
            <v>1420-210-SB</v>
          </cell>
          <cell r="H111" t="str">
            <v>F</v>
          </cell>
          <cell r="I111" t="str">
            <v>06/04/2024</v>
          </cell>
          <cell r="J111" t="str">
            <v>06/04/2024</v>
          </cell>
          <cell r="K111" t="str">
            <v>06/11/2024</v>
          </cell>
          <cell r="L111">
            <v>1500</v>
          </cell>
          <cell r="M111" t="str">
            <v/>
          </cell>
          <cell r="N111" t="str">
            <v>24</v>
          </cell>
          <cell r="O111">
            <v>1500</v>
          </cell>
          <cell r="P111">
            <v>5.25</v>
          </cell>
        </row>
        <row r="112">
          <cell r="A112" t="str">
            <v>6724531</v>
          </cell>
          <cell r="B112" t="str">
            <v>1164069</v>
          </cell>
          <cell r="C112" t="str">
            <v>LCE-20866BKA-01</v>
          </cell>
          <cell r="D112" t="str">
            <v/>
          </cell>
          <cell r="E112" t="str">
            <v>20866 LIGHT CAP EXTENDED:EXT ABS BLK</v>
          </cell>
          <cell r="F112" t="str">
            <v>DG-MOLDING</v>
          </cell>
          <cell r="G112" t="str">
            <v>1420-210-SB</v>
          </cell>
          <cell r="H112" t="str">
            <v>F</v>
          </cell>
          <cell r="I112" t="str">
            <v>06/04/2024</v>
          </cell>
          <cell r="J112" t="str">
            <v>06/04/2024</v>
          </cell>
          <cell r="K112" t="str">
            <v>06/11/2024</v>
          </cell>
          <cell r="L112">
            <v>1500</v>
          </cell>
          <cell r="M112" t="str">
            <v/>
          </cell>
          <cell r="N112" t="str">
            <v>24</v>
          </cell>
          <cell r="O112">
            <v>1500</v>
          </cell>
          <cell r="P112">
            <v>5.25</v>
          </cell>
        </row>
        <row r="113">
          <cell r="A113" t="str">
            <v>6724532</v>
          </cell>
          <cell r="B113" t="str">
            <v>1164069</v>
          </cell>
          <cell r="C113" t="str">
            <v>LCE-20866BKA-01</v>
          </cell>
          <cell r="D113" t="str">
            <v/>
          </cell>
          <cell r="E113" t="str">
            <v>20866 LIGHT CAP EXTENDED:EXT ABS BLK</v>
          </cell>
          <cell r="F113" t="str">
            <v>DG-MOLDING</v>
          </cell>
          <cell r="G113" t="str">
            <v>1420-210-SB</v>
          </cell>
          <cell r="H113" t="str">
            <v>F</v>
          </cell>
          <cell r="I113" t="str">
            <v>06/04/2024</v>
          </cell>
          <cell r="J113" t="str">
            <v>06/04/2024</v>
          </cell>
          <cell r="K113" t="str">
            <v>06/11/2024</v>
          </cell>
          <cell r="L113">
            <v>1500</v>
          </cell>
          <cell r="M113" t="str">
            <v/>
          </cell>
          <cell r="N113" t="str">
            <v>24</v>
          </cell>
          <cell r="O113">
            <v>1500</v>
          </cell>
          <cell r="P113">
            <v>5.25</v>
          </cell>
        </row>
        <row r="114">
          <cell r="A114" t="str">
            <v>6724533</v>
          </cell>
          <cell r="B114" t="str">
            <v>1164069</v>
          </cell>
          <cell r="C114" t="str">
            <v>LCE-20866BKA-01</v>
          </cell>
          <cell r="D114" t="str">
            <v/>
          </cell>
          <cell r="E114" t="str">
            <v>20866 LIGHT CAP EXTENDED:EXT ABS BLK</v>
          </cell>
          <cell r="F114" t="str">
            <v>DG-MOLDING</v>
          </cell>
          <cell r="G114" t="str">
            <v>1420-210-SB</v>
          </cell>
          <cell r="H114" t="str">
            <v>F</v>
          </cell>
          <cell r="I114" t="str">
            <v>06/04/2024</v>
          </cell>
          <cell r="J114" t="str">
            <v>06/04/2024</v>
          </cell>
          <cell r="K114" t="str">
            <v>06/11/2024</v>
          </cell>
          <cell r="L114">
            <v>1500</v>
          </cell>
          <cell r="M114" t="str">
            <v/>
          </cell>
          <cell r="N114" t="str">
            <v>24</v>
          </cell>
          <cell r="O114">
            <v>1500</v>
          </cell>
          <cell r="P114">
            <v>5.25</v>
          </cell>
        </row>
        <row r="115">
          <cell r="A115" t="str">
            <v>6724534</v>
          </cell>
          <cell r="B115" t="str">
            <v>1164069</v>
          </cell>
          <cell r="C115" t="str">
            <v>LCE-20866BKA-01</v>
          </cell>
          <cell r="D115" t="str">
            <v/>
          </cell>
          <cell r="E115" t="str">
            <v>20866 LIGHT CAP EXTENDED:EXT ABS BLK</v>
          </cell>
          <cell r="F115" t="str">
            <v>DG-MOLDING</v>
          </cell>
          <cell r="G115" t="str">
            <v>1420-210-SB</v>
          </cell>
          <cell r="H115" t="str">
            <v>F</v>
          </cell>
          <cell r="I115" t="str">
            <v>06/04/2024</v>
          </cell>
          <cell r="J115" t="str">
            <v>06/04/2024</v>
          </cell>
          <cell r="K115" t="str">
            <v>06/11/2024</v>
          </cell>
          <cell r="L115">
            <v>1500</v>
          </cell>
          <cell r="M115" t="str">
            <v/>
          </cell>
          <cell r="N115" t="str">
            <v>24</v>
          </cell>
          <cell r="O115">
            <v>1500</v>
          </cell>
          <cell r="P115">
            <v>5.25</v>
          </cell>
        </row>
        <row r="116">
          <cell r="A116" t="str">
            <v>6724535</v>
          </cell>
          <cell r="B116" t="str">
            <v>1164069</v>
          </cell>
          <cell r="C116" t="str">
            <v>LCE-20866BKA-01</v>
          </cell>
          <cell r="D116" t="str">
            <v/>
          </cell>
          <cell r="E116" t="str">
            <v>20866 LIGHT CAP EXTENDED:EXT ABS BLK</v>
          </cell>
          <cell r="F116" t="str">
            <v>DG-MOLDING</v>
          </cell>
          <cell r="G116" t="str">
            <v>1420-210-SB</v>
          </cell>
          <cell r="H116" t="str">
            <v>F</v>
          </cell>
          <cell r="I116" t="str">
            <v>06/04/2024</v>
          </cell>
          <cell r="J116" t="str">
            <v>06/04/2024</v>
          </cell>
          <cell r="K116" t="str">
            <v>06/11/2024</v>
          </cell>
          <cell r="L116">
            <v>1500</v>
          </cell>
          <cell r="M116" t="str">
            <v/>
          </cell>
          <cell r="N116" t="str">
            <v>24</v>
          </cell>
          <cell r="O116">
            <v>1500</v>
          </cell>
          <cell r="P116">
            <v>5.25</v>
          </cell>
        </row>
        <row r="117">
          <cell r="A117" t="str">
            <v>6724536</v>
          </cell>
          <cell r="B117" t="str">
            <v>1164069</v>
          </cell>
          <cell r="C117" t="str">
            <v>LCE-20866BKA-01</v>
          </cell>
          <cell r="D117" t="str">
            <v/>
          </cell>
          <cell r="E117" t="str">
            <v>20866 LIGHT CAP EXTENDED:EXT ABS BLK</v>
          </cell>
          <cell r="F117" t="str">
            <v>DG-MOLDING</v>
          </cell>
          <cell r="G117" t="str">
            <v>1420-210-SB</v>
          </cell>
          <cell r="H117" t="str">
            <v>F</v>
          </cell>
          <cell r="I117" t="str">
            <v>06/04/2024</v>
          </cell>
          <cell r="J117" t="str">
            <v>06/04/2024</v>
          </cell>
          <cell r="K117" t="str">
            <v>06/11/2024</v>
          </cell>
          <cell r="L117">
            <v>1500</v>
          </cell>
          <cell r="M117" t="str">
            <v/>
          </cell>
          <cell r="N117" t="str">
            <v>24</v>
          </cell>
          <cell r="O117">
            <v>1500</v>
          </cell>
          <cell r="P117">
            <v>5.25</v>
          </cell>
        </row>
        <row r="118">
          <cell r="A118" t="str">
            <v>6723794</v>
          </cell>
          <cell r="B118" t="str">
            <v>1335139</v>
          </cell>
          <cell r="C118" t="str">
            <v>6354RDS-2582-711-MS19</v>
          </cell>
          <cell r="D118" t="str">
            <v>6354RDS</v>
          </cell>
          <cell r="E118" t="str">
            <v>6354RDS 2011 STCC 5" X300U COR BKMCAM RH</v>
          </cell>
          <cell r="F118" t="str">
            <v>DG-HOLSTER-RDS-DTC</v>
          </cell>
          <cell r="G118" t="str">
            <v>1420-210-FG</v>
          </cell>
          <cell r="H118" t="str">
            <v>F</v>
          </cell>
          <cell r="I118" t="str">
            <v>06/03/2024</v>
          </cell>
          <cell r="J118" t="str">
            <v>06/03/2024</v>
          </cell>
          <cell r="K118" t="str">
            <v>06/11/2024</v>
          </cell>
          <cell r="L118">
            <v>20</v>
          </cell>
          <cell r="M118" t="str">
            <v/>
          </cell>
          <cell r="N118" t="str">
            <v>24</v>
          </cell>
          <cell r="O118">
            <v>20</v>
          </cell>
          <cell r="P118">
            <v>8</v>
          </cell>
        </row>
        <row r="119">
          <cell r="A119" t="str">
            <v>6724357</v>
          </cell>
          <cell r="B119" t="str">
            <v>1335321</v>
          </cell>
          <cell r="C119" t="str">
            <v>6354RDS-8972-E991-MS19</v>
          </cell>
          <cell r="D119" t="str">
            <v>6354RDS</v>
          </cell>
          <cell r="E119" t="str">
            <v>6354RDS GLOCK 47 X300U CR KTK HLD RH</v>
          </cell>
          <cell r="F119" t="str">
            <v>DG-HOLSTER-RDS</v>
          </cell>
          <cell r="G119" t="str">
            <v>1420-210-FG</v>
          </cell>
          <cell r="H119" t="str">
            <v>F</v>
          </cell>
          <cell r="I119" t="str">
            <v>06/04/2024</v>
          </cell>
          <cell r="J119" t="str">
            <v>06/04/2024</v>
          </cell>
          <cell r="K119" t="str">
            <v>06/11/2024</v>
          </cell>
          <cell r="L119">
            <v>5</v>
          </cell>
          <cell r="M119" t="str">
            <v/>
          </cell>
          <cell r="N119" t="str">
            <v>24</v>
          </cell>
          <cell r="O119">
            <v>5</v>
          </cell>
          <cell r="P119">
            <v>2</v>
          </cell>
        </row>
        <row r="120">
          <cell r="A120" t="str">
            <v>6723645</v>
          </cell>
          <cell r="B120" t="str">
            <v>1324687</v>
          </cell>
          <cell r="C120" t="str">
            <v>6354RDS-1582-131</v>
          </cell>
          <cell r="D120" t="str">
            <v>6354RDS</v>
          </cell>
          <cell r="E120" t="str">
            <v>6354RDS STI STACC P 4.4" X300U STXBLK RH</v>
          </cell>
          <cell r="F120" t="str">
            <v>DG-HOLSTER-RDS</v>
          </cell>
          <cell r="G120" t="str">
            <v>1420-210-FG</v>
          </cell>
          <cell r="H120" t="str">
            <v>F</v>
          </cell>
          <cell r="I120" t="str">
            <v>06/03/2024</v>
          </cell>
          <cell r="J120" t="str">
            <v>06/03/2024</v>
          </cell>
          <cell r="K120" t="str">
            <v>06/11/2024</v>
          </cell>
          <cell r="L120">
            <v>5</v>
          </cell>
          <cell r="M120" t="str">
            <v/>
          </cell>
          <cell r="N120" t="str">
            <v>24</v>
          </cell>
          <cell r="O120">
            <v>5</v>
          </cell>
          <cell r="P120">
            <v>2</v>
          </cell>
        </row>
        <row r="121">
          <cell r="A121" t="str">
            <v>6723796</v>
          </cell>
          <cell r="B121" t="str">
            <v>1335197</v>
          </cell>
          <cell r="C121" t="str">
            <v>6354RDSO-2582-131-MS19</v>
          </cell>
          <cell r="D121" t="str">
            <v>6354RDSO</v>
          </cell>
          <cell r="E121" t="str">
            <v>6354RDSO 2011 STCC 5"X300U STX TAC BLKRH</v>
          </cell>
          <cell r="F121" t="str">
            <v>DG-HOLSTER-RDS-DTC</v>
          </cell>
          <cell r="G121" t="str">
            <v>1420-210-FG</v>
          </cell>
          <cell r="H121" t="str">
            <v>F</v>
          </cell>
          <cell r="I121" t="str">
            <v>06/03/2024</v>
          </cell>
          <cell r="J121" t="str">
            <v>06/03/2024</v>
          </cell>
          <cell r="K121" t="str">
            <v>06/11/2024</v>
          </cell>
          <cell r="L121">
            <v>50</v>
          </cell>
          <cell r="M121" t="str">
            <v/>
          </cell>
          <cell r="N121" t="str">
            <v>24</v>
          </cell>
          <cell r="O121">
            <v>50</v>
          </cell>
          <cell r="P121">
            <v>20</v>
          </cell>
        </row>
        <row r="122">
          <cell r="A122" t="str">
            <v>6724388</v>
          </cell>
          <cell r="B122" t="str">
            <v>1335266</v>
          </cell>
          <cell r="C122" t="str">
            <v>6354RDSO-8972-E991-MS19</v>
          </cell>
          <cell r="D122" t="str">
            <v>6354RDSO</v>
          </cell>
          <cell r="E122" t="str">
            <v>6354RDSO GLOCK 47 X300U CR KTK HLD RH</v>
          </cell>
          <cell r="F122" t="str">
            <v>DG-HOLSTER-RDS-DTC</v>
          </cell>
          <cell r="G122" t="str">
            <v>1420-210-FG</v>
          </cell>
          <cell r="H122" t="str">
            <v>F</v>
          </cell>
          <cell r="I122" t="str">
            <v>06/04/2024</v>
          </cell>
          <cell r="J122" t="str">
            <v>06/04/2024</v>
          </cell>
          <cell r="K122" t="str">
            <v>06/11/2024</v>
          </cell>
          <cell r="L122">
            <v>5</v>
          </cell>
          <cell r="M122" t="str">
            <v/>
          </cell>
          <cell r="N122" t="str">
            <v>24</v>
          </cell>
          <cell r="O122">
            <v>5</v>
          </cell>
          <cell r="P122">
            <v>2.17</v>
          </cell>
        </row>
        <row r="123">
          <cell r="A123" t="str">
            <v>6723805</v>
          </cell>
          <cell r="B123" t="str">
            <v>1335346</v>
          </cell>
          <cell r="C123" t="str">
            <v>6354RDSO-1582-701-MS19</v>
          </cell>
          <cell r="D123" t="str">
            <v>6354RDSO</v>
          </cell>
          <cell r="E123" t="str">
            <v>6354RDSO STI STACCP 4.4"X300U MLTCM RH</v>
          </cell>
          <cell r="F123" t="str">
            <v>DG-HOLSTER-RDS-DTC</v>
          </cell>
          <cell r="G123" t="str">
            <v>1420-210-FG</v>
          </cell>
          <cell r="H123" t="str">
            <v>F</v>
          </cell>
          <cell r="I123" t="str">
            <v>06/03/2024</v>
          </cell>
          <cell r="J123" t="str">
            <v>06/03/2024</v>
          </cell>
          <cell r="K123" t="str">
            <v>06/11/2024</v>
          </cell>
          <cell r="L123">
            <v>25</v>
          </cell>
          <cell r="M123" t="str">
            <v/>
          </cell>
          <cell r="N123" t="str">
            <v>24</v>
          </cell>
          <cell r="O123">
            <v>25</v>
          </cell>
          <cell r="P123">
            <v>10</v>
          </cell>
        </row>
        <row r="124">
          <cell r="A124" t="str">
            <v>6724294</v>
          </cell>
          <cell r="B124" t="str">
            <v>1121590</v>
          </cell>
          <cell r="C124" t="str">
            <v>6360-383-131</v>
          </cell>
          <cell r="D124" t="str">
            <v>6360</v>
          </cell>
          <cell r="E124" t="str">
            <v>6360 GLOCK 20/21 STX TAC BLK RH</v>
          </cell>
          <cell r="F124" t="str">
            <v>DG-HOLSTER</v>
          </cell>
          <cell r="G124" t="str">
            <v>1420-210-FG</v>
          </cell>
          <cell r="H124" t="str">
            <v>F</v>
          </cell>
          <cell r="I124" t="str">
            <v>06/04/2024</v>
          </cell>
          <cell r="J124" t="str">
            <v>06/04/2024</v>
          </cell>
          <cell r="K124" t="str">
            <v>06/11/2024</v>
          </cell>
          <cell r="L124">
            <v>10</v>
          </cell>
          <cell r="M124" t="str">
            <v/>
          </cell>
          <cell r="N124" t="str">
            <v>24</v>
          </cell>
          <cell r="O124">
            <v>10</v>
          </cell>
          <cell r="P124">
            <v>2.34</v>
          </cell>
        </row>
        <row r="125">
          <cell r="A125" t="str">
            <v>6724309</v>
          </cell>
          <cell r="B125" t="str">
            <v>1121670</v>
          </cell>
          <cell r="C125" t="str">
            <v>6360-219-131</v>
          </cell>
          <cell r="D125" t="str">
            <v>6360</v>
          </cell>
          <cell r="E125" t="str">
            <v>6360 S&amp;W M&amp;P9/40 1.0 STX TAC BLK RH</v>
          </cell>
          <cell r="F125" t="str">
            <v>DG-HOLSTER</v>
          </cell>
          <cell r="G125" t="str">
            <v>1420-210-FG</v>
          </cell>
          <cell r="H125" t="str">
            <v>F</v>
          </cell>
          <cell r="I125" t="str">
            <v>06/04/2024</v>
          </cell>
          <cell r="J125" t="str">
            <v>06/04/2024</v>
          </cell>
          <cell r="K125" t="str">
            <v>06/11/2024</v>
          </cell>
          <cell r="L125">
            <v>25</v>
          </cell>
          <cell r="M125" t="str">
            <v/>
          </cell>
          <cell r="N125" t="str">
            <v>24</v>
          </cell>
          <cell r="O125">
            <v>25</v>
          </cell>
          <cell r="P125">
            <v>5.84</v>
          </cell>
        </row>
        <row r="126">
          <cell r="A126" t="str">
            <v>6724349</v>
          </cell>
          <cell r="B126" t="str">
            <v>1327895</v>
          </cell>
          <cell r="C126" t="str">
            <v>6365RDS-8182-411</v>
          </cell>
          <cell r="D126" t="str">
            <v>6365RDS</v>
          </cell>
          <cell r="E126" t="str">
            <v>6365RDS MP 2.0 9MM X300U STX PLN BLK RH</v>
          </cell>
          <cell r="F126" t="str">
            <v>DG-HOLSTER-RDS</v>
          </cell>
          <cell r="G126" t="str">
            <v>1420-210-FG</v>
          </cell>
          <cell r="H126" t="str">
            <v>F</v>
          </cell>
          <cell r="I126" t="str">
            <v>06/04/2024</v>
          </cell>
          <cell r="J126" t="str">
            <v>06/04/2024</v>
          </cell>
          <cell r="K126" t="str">
            <v>06/11/2024</v>
          </cell>
          <cell r="L126">
            <v>5</v>
          </cell>
          <cell r="M126" t="str">
            <v/>
          </cell>
          <cell r="N126" t="str">
            <v>24</v>
          </cell>
          <cell r="O126">
            <v>5</v>
          </cell>
          <cell r="P126">
            <v>2</v>
          </cell>
        </row>
        <row r="127">
          <cell r="A127" t="str">
            <v>6724301</v>
          </cell>
          <cell r="B127" t="str">
            <v>1160133</v>
          </cell>
          <cell r="C127" t="str">
            <v>6395-53-131</v>
          </cell>
          <cell r="D127" t="str">
            <v>6395</v>
          </cell>
          <cell r="E127" t="str">
            <v>6395 COLT 1911 STX TAC BLK RH</v>
          </cell>
          <cell r="F127" t="str">
            <v>DG-HOLSTER</v>
          </cell>
          <cell r="G127" t="str">
            <v>1420-210-FG</v>
          </cell>
          <cell r="H127" t="str">
            <v>F</v>
          </cell>
          <cell r="I127" t="str">
            <v>06/04/2024</v>
          </cell>
          <cell r="J127" t="str">
            <v>06/04/2024</v>
          </cell>
          <cell r="K127" t="str">
            <v>06/11/2024</v>
          </cell>
          <cell r="L127">
            <v>5</v>
          </cell>
          <cell r="M127" t="str">
            <v/>
          </cell>
          <cell r="N127" t="str">
            <v>24</v>
          </cell>
          <cell r="O127">
            <v>5</v>
          </cell>
          <cell r="P127">
            <v>1.1599999999999999</v>
          </cell>
        </row>
        <row r="128">
          <cell r="A128" t="str">
            <v>6723627</v>
          </cell>
          <cell r="B128" t="str">
            <v>1321378</v>
          </cell>
          <cell r="C128" t="str">
            <v>6395RDS-8182-131</v>
          </cell>
          <cell r="D128" t="str">
            <v>6395RDS</v>
          </cell>
          <cell r="E128" t="str">
            <v>6395RDS MP 2.0 9MM X300U STX TAC BLK RH</v>
          </cell>
          <cell r="F128" t="str">
            <v>DG-HOLSTER-RDS</v>
          </cell>
          <cell r="G128" t="str">
            <v>1420-210-FG</v>
          </cell>
          <cell r="H128" t="str">
            <v>F</v>
          </cell>
          <cell r="I128" t="str">
            <v>06/03/2024</v>
          </cell>
          <cell r="J128" t="str">
            <v>06/03/2024</v>
          </cell>
          <cell r="K128" t="str">
            <v>06/11/2024</v>
          </cell>
          <cell r="L128">
            <v>5</v>
          </cell>
          <cell r="M128" t="str">
            <v/>
          </cell>
          <cell r="N128" t="str">
            <v>24</v>
          </cell>
          <cell r="O128">
            <v>5</v>
          </cell>
          <cell r="P128">
            <v>2</v>
          </cell>
        </row>
        <row r="129">
          <cell r="A129" t="str">
            <v>6724413</v>
          </cell>
          <cell r="B129" t="str">
            <v>1138501</v>
          </cell>
          <cell r="C129" t="str">
            <v>777-83-4B</v>
          </cell>
          <cell r="D129" t="str">
            <v>777</v>
          </cell>
          <cell r="E129" t="str">
            <v>777 GLOCK 17/22 BSK BLK</v>
          </cell>
          <cell r="F129" t="str">
            <v>DG-POUCH-F1</v>
          </cell>
          <cell r="G129" t="str">
            <v>1420-210-FG</v>
          </cell>
          <cell r="H129" t="str">
            <v>R</v>
          </cell>
          <cell r="I129" t="str">
            <v>06/04/2024</v>
          </cell>
          <cell r="J129" t="str">
            <v>06/04/2024</v>
          </cell>
          <cell r="K129" t="str">
            <v>06/11/2024</v>
          </cell>
          <cell r="L129">
            <v>10</v>
          </cell>
          <cell r="M129" t="str">
            <v>6/5/2024 3:03:18 PM</v>
          </cell>
          <cell r="N129" t="str">
            <v>24</v>
          </cell>
          <cell r="O129">
            <v>10</v>
          </cell>
          <cell r="P129">
            <v>5.36</v>
          </cell>
        </row>
        <row r="130">
          <cell r="A130" t="str">
            <v>6724284</v>
          </cell>
          <cell r="B130" t="str">
            <v>1102597</v>
          </cell>
          <cell r="C130" t="str">
            <v>87-36-6B</v>
          </cell>
          <cell r="D130" t="str">
            <v>87</v>
          </cell>
          <cell r="E130" t="str">
            <v>87 SZ36 PLN BLK</v>
          </cell>
          <cell r="F130" t="str">
            <v>DG-BELT</v>
          </cell>
          <cell r="G130" t="str">
            <v>1420-210-FG</v>
          </cell>
          <cell r="H130" t="str">
            <v>R</v>
          </cell>
          <cell r="I130" t="str">
            <v>06/04/2024</v>
          </cell>
          <cell r="J130" t="str">
            <v>06/04/2024</v>
          </cell>
          <cell r="K130" t="str">
            <v>06/11/2024</v>
          </cell>
          <cell r="L130">
            <v>10</v>
          </cell>
          <cell r="M130" t="str">
            <v>6/5/2024 2:55:33 PM</v>
          </cell>
          <cell r="N130" t="str">
            <v>24</v>
          </cell>
          <cell r="O130">
            <v>10</v>
          </cell>
          <cell r="P130">
            <v>3.84</v>
          </cell>
        </row>
        <row r="131">
          <cell r="A131" t="str">
            <v>6724285</v>
          </cell>
          <cell r="B131" t="str">
            <v>1102746</v>
          </cell>
          <cell r="C131" t="str">
            <v>87-42-6B</v>
          </cell>
          <cell r="D131" t="str">
            <v>87</v>
          </cell>
          <cell r="E131" t="str">
            <v>87 SZ42 PLN BLK</v>
          </cell>
          <cell r="F131" t="str">
            <v>DG-BELT</v>
          </cell>
          <cell r="G131" t="str">
            <v>1420-210-FG</v>
          </cell>
          <cell r="H131" t="str">
            <v>R</v>
          </cell>
          <cell r="I131" t="str">
            <v>06/04/2024</v>
          </cell>
          <cell r="J131" t="str">
            <v>06/04/2024</v>
          </cell>
          <cell r="K131" t="str">
            <v>06/11/2024</v>
          </cell>
          <cell r="L131">
            <v>5</v>
          </cell>
          <cell r="M131" t="str">
            <v>6/5/2024 2:55:33 PM</v>
          </cell>
          <cell r="N131" t="str">
            <v>24</v>
          </cell>
          <cell r="O131">
            <v>5</v>
          </cell>
          <cell r="P131">
            <v>1.92</v>
          </cell>
        </row>
        <row r="132">
          <cell r="A132" t="str">
            <v>6724283</v>
          </cell>
          <cell r="B132" t="str">
            <v>1102296</v>
          </cell>
          <cell r="C132" t="str">
            <v>875-34-6</v>
          </cell>
          <cell r="D132" t="str">
            <v>875</v>
          </cell>
          <cell r="E132" t="str">
            <v>875 SZ34 PLN BLK</v>
          </cell>
          <cell r="F132" t="str">
            <v>DG-BELT</v>
          </cell>
          <cell r="G132" t="str">
            <v>1420-210-FG</v>
          </cell>
          <cell r="H132" t="str">
            <v>R</v>
          </cell>
          <cell r="I132" t="str">
            <v>06/04/2024</v>
          </cell>
          <cell r="J132" t="str">
            <v>06/04/2024</v>
          </cell>
          <cell r="K132" t="str">
            <v>06/11/2024</v>
          </cell>
          <cell r="L132">
            <v>5</v>
          </cell>
          <cell r="M132" t="str">
            <v>6/5/2024 2:55:33 PM</v>
          </cell>
          <cell r="N132" t="str">
            <v>24</v>
          </cell>
          <cell r="O132">
            <v>5</v>
          </cell>
          <cell r="P132">
            <v>2.14</v>
          </cell>
        </row>
        <row r="133">
          <cell r="A133" t="str">
            <v>6724509</v>
          </cell>
          <cell r="B133" t="str">
            <v>1166708</v>
          </cell>
          <cell r="C133" t="str">
            <v>MH6005-FDE</v>
          </cell>
          <cell r="D133" t="str">
            <v>MH6005</v>
          </cell>
          <cell r="E133" t="str">
            <v>DETACHABLE HRNSS /DOUBLE ELSTIC 6005 FDE</v>
          </cell>
          <cell r="F133" t="str">
            <v>DG-HARNESS</v>
          </cell>
          <cell r="G133" t="str">
            <v>1420-210-SB</v>
          </cell>
          <cell r="H133" t="str">
            <v>R</v>
          </cell>
          <cell r="I133" t="str">
            <v>06/04/2024</v>
          </cell>
          <cell r="J133" t="str">
            <v>06/04/2024</v>
          </cell>
          <cell r="K133" t="str">
            <v>06/11/2024</v>
          </cell>
          <cell r="L133">
            <v>15</v>
          </cell>
          <cell r="M133" t="str">
            <v>6/13/2024 8:22:47 AM</v>
          </cell>
          <cell r="N133" t="str">
            <v>24</v>
          </cell>
          <cell r="O133">
            <v>15</v>
          </cell>
          <cell r="P133">
            <v>4.28</v>
          </cell>
        </row>
        <row r="134">
          <cell r="A134" t="str">
            <v>6724481</v>
          </cell>
          <cell r="B134" t="str">
            <v>1167165</v>
          </cell>
          <cell r="C134" t="str">
            <v>MH6005-10-BLK</v>
          </cell>
          <cell r="D134" t="str">
            <v>MH6005</v>
          </cell>
          <cell r="E134" t="str">
            <v>DTCBL HRNSS /SNGL ELSTC FOR 6005-10 BKA</v>
          </cell>
          <cell r="F134" t="str">
            <v>DG-HARNESS</v>
          </cell>
          <cell r="G134" t="str">
            <v>1420-210-SB</v>
          </cell>
          <cell r="H134" t="str">
            <v>F</v>
          </cell>
          <cell r="I134" t="str">
            <v>06/04/2024</v>
          </cell>
          <cell r="J134" t="str">
            <v>06/04/2024</v>
          </cell>
          <cell r="K134" t="str">
            <v>06/11/2024</v>
          </cell>
          <cell r="L134">
            <v>116</v>
          </cell>
          <cell r="M134" t="str">
            <v/>
          </cell>
          <cell r="N134" t="str">
            <v>24</v>
          </cell>
          <cell r="O134">
            <v>116</v>
          </cell>
          <cell r="P134">
            <v>16.46</v>
          </cell>
        </row>
        <row r="135">
          <cell r="A135" t="str">
            <v>6724478</v>
          </cell>
          <cell r="B135" t="str">
            <v>1166089</v>
          </cell>
          <cell r="C135" t="str">
            <v>MH6004-BLK</v>
          </cell>
          <cell r="D135" t="str">
            <v>MH6004</v>
          </cell>
          <cell r="E135" t="str">
            <v>HARNES W/DOUBLE ELASTIC FOR 6004 BLK</v>
          </cell>
          <cell r="F135" t="str">
            <v>DG-HARNESS</v>
          </cell>
          <cell r="G135" t="str">
            <v>1420-210-SB</v>
          </cell>
          <cell r="H135" t="str">
            <v>F</v>
          </cell>
          <cell r="I135" t="str">
            <v>06/04/2024</v>
          </cell>
          <cell r="J135" t="str">
            <v>06/04/2024</v>
          </cell>
          <cell r="K135" t="str">
            <v>06/11/2024</v>
          </cell>
          <cell r="L135">
            <v>346</v>
          </cell>
          <cell r="M135" t="str">
            <v/>
          </cell>
          <cell r="N135" t="str">
            <v>24</v>
          </cell>
          <cell r="O135">
            <v>346</v>
          </cell>
          <cell r="P135">
            <v>85.18</v>
          </cell>
        </row>
        <row r="136">
          <cell r="A136" t="str">
            <v>6724479</v>
          </cell>
          <cell r="B136" t="str">
            <v>1166707</v>
          </cell>
          <cell r="C136" t="str">
            <v>MH6004-FDE</v>
          </cell>
          <cell r="D136" t="str">
            <v>MH6004</v>
          </cell>
          <cell r="E136" t="str">
            <v>HARNES W/DOUBLE ELASTIC FOR 6004 FDE</v>
          </cell>
          <cell r="F136" t="str">
            <v>DG-HARNESS</v>
          </cell>
          <cell r="G136" t="str">
            <v>1420-210-SB</v>
          </cell>
          <cell r="H136" t="str">
            <v>F</v>
          </cell>
          <cell r="I136" t="str">
            <v>06/04/2024</v>
          </cell>
          <cell r="J136" t="str">
            <v>06/04/2024</v>
          </cell>
          <cell r="K136" t="str">
            <v>06/11/2024</v>
          </cell>
          <cell r="L136">
            <v>42</v>
          </cell>
          <cell r="M136" t="str">
            <v/>
          </cell>
          <cell r="N136" t="str">
            <v>24</v>
          </cell>
          <cell r="O136">
            <v>42</v>
          </cell>
          <cell r="P136">
            <v>10.34</v>
          </cell>
        </row>
        <row r="137">
          <cell r="A137" t="str">
            <v>6724480</v>
          </cell>
          <cell r="B137" t="str">
            <v>1166707</v>
          </cell>
          <cell r="C137" t="str">
            <v>MH6004-FDE</v>
          </cell>
          <cell r="D137" t="str">
            <v>MH6004</v>
          </cell>
          <cell r="E137" t="str">
            <v>HARNES W/DOUBLE ELASTIC FOR 6004 FDE</v>
          </cell>
          <cell r="F137" t="str">
            <v>DG-HARNESS</v>
          </cell>
          <cell r="G137" t="str">
            <v>1420-210-SB</v>
          </cell>
          <cell r="H137" t="str">
            <v>F</v>
          </cell>
          <cell r="I137" t="str">
            <v>06/04/2024</v>
          </cell>
          <cell r="J137" t="str">
            <v>06/04/2024</v>
          </cell>
          <cell r="K137" t="str">
            <v>06/11/2024</v>
          </cell>
          <cell r="L137">
            <v>42</v>
          </cell>
          <cell r="M137" t="str">
            <v/>
          </cell>
          <cell r="N137" t="str">
            <v>24</v>
          </cell>
          <cell r="O137">
            <v>42</v>
          </cell>
          <cell r="P137">
            <v>10.34</v>
          </cell>
        </row>
        <row r="138">
          <cell r="A138" t="str">
            <v>6724508</v>
          </cell>
          <cell r="B138" t="str">
            <v>1165685</v>
          </cell>
          <cell r="C138" t="str">
            <v>MH6005VE-7-ODG</v>
          </cell>
          <cell r="D138" t="str">
            <v>H6005VE</v>
          </cell>
          <cell r="E138" t="str">
            <v>HARNESS 6005VE - ODG</v>
          </cell>
          <cell r="F138" t="str">
            <v>DG-HARNESS</v>
          </cell>
          <cell r="G138" t="str">
            <v>1420-210-SB</v>
          </cell>
          <cell r="H138" t="str">
            <v>R</v>
          </cell>
          <cell r="I138" t="str">
            <v>06/04/2024</v>
          </cell>
          <cell r="J138" t="str">
            <v>06/04/2024</v>
          </cell>
          <cell r="K138" t="str">
            <v>06/11/2024</v>
          </cell>
          <cell r="L138">
            <v>1</v>
          </cell>
          <cell r="M138" t="str">
            <v>6/6/2024 3:41:01 PM</v>
          </cell>
          <cell r="N138" t="str">
            <v>24</v>
          </cell>
          <cell r="O138">
            <v>1</v>
          </cell>
          <cell r="P138">
            <v>0.09</v>
          </cell>
        </row>
        <row r="139">
          <cell r="A139" t="str">
            <v>6724512</v>
          </cell>
          <cell r="B139" t="str">
            <v>1318146</v>
          </cell>
          <cell r="C139" t="str">
            <v>MH6004-10-CYB</v>
          </cell>
          <cell r="D139" t="str">
            <v>MH6004</v>
          </cell>
          <cell r="E139" t="str">
            <v>HARNESS W/SINGLE ELASTIC FOR 6004-10 CYB</v>
          </cell>
          <cell r="F139" t="str">
            <v>DG-HARNESS</v>
          </cell>
          <cell r="G139" t="str">
            <v>1420-210-SB</v>
          </cell>
          <cell r="H139" t="str">
            <v>R</v>
          </cell>
          <cell r="I139" t="str">
            <v>06/04/2024</v>
          </cell>
          <cell r="J139" t="str">
            <v>06/04/2024</v>
          </cell>
          <cell r="K139" t="str">
            <v>06/11/2024</v>
          </cell>
          <cell r="L139">
            <v>1</v>
          </cell>
          <cell r="M139" t="str">
            <v>6/6/2024 3:45:23 PM</v>
          </cell>
          <cell r="N139" t="str">
            <v>24</v>
          </cell>
          <cell r="O139">
            <v>1</v>
          </cell>
          <cell r="P139">
            <v>0.13</v>
          </cell>
        </row>
        <row r="140">
          <cell r="A140" t="str">
            <v>6724504</v>
          </cell>
          <cell r="B140" t="str">
            <v>1317757</v>
          </cell>
          <cell r="C140" t="str">
            <v>MH6004-25-CYB</v>
          </cell>
          <cell r="D140" t="str">
            <v>MH6004-25</v>
          </cell>
          <cell r="E140" t="str">
            <v>MH6004-25  W/ELAST/FEMALE BCKLE/WRPV CYB</v>
          </cell>
          <cell r="F140" t="str">
            <v>DG-HARNESS</v>
          </cell>
          <cell r="G140" t="str">
            <v>1420-210-SB</v>
          </cell>
          <cell r="H140" t="str">
            <v>F</v>
          </cell>
          <cell r="I140" t="str">
            <v>06/04/2024</v>
          </cell>
          <cell r="J140" t="str">
            <v>06/04/2024</v>
          </cell>
          <cell r="K140" t="str">
            <v>06/11/2024</v>
          </cell>
          <cell r="L140">
            <v>32</v>
          </cell>
          <cell r="M140" t="str">
            <v/>
          </cell>
          <cell r="N140" t="str">
            <v>24</v>
          </cell>
          <cell r="O140">
            <v>32</v>
          </cell>
          <cell r="P140">
            <v>0.71</v>
          </cell>
        </row>
        <row r="141">
          <cell r="A141" t="str">
            <v>6724483</v>
          </cell>
          <cell r="B141" t="str">
            <v>1317751</v>
          </cell>
          <cell r="C141" t="str">
            <v>MH6004-25-BLK</v>
          </cell>
          <cell r="D141" t="str">
            <v>MH6004-25</v>
          </cell>
          <cell r="E141" t="str">
            <v>MH6004-25 W/ELAST/FEMALE BCKLE/WRPV BLK</v>
          </cell>
          <cell r="F141" t="str">
            <v>DG-HARNESS</v>
          </cell>
          <cell r="G141" t="str">
            <v>1420-210-SB</v>
          </cell>
          <cell r="H141" t="str">
            <v>F</v>
          </cell>
          <cell r="I141" t="str">
            <v>06/04/2024</v>
          </cell>
          <cell r="J141" t="str">
            <v>06/04/2024</v>
          </cell>
          <cell r="K141" t="str">
            <v>06/11/2024</v>
          </cell>
          <cell r="L141">
            <v>931</v>
          </cell>
          <cell r="M141" t="str">
            <v/>
          </cell>
          <cell r="N141" t="str">
            <v>24</v>
          </cell>
          <cell r="O141">
            <v>931</v>
          </cell>
          <cell r="P141">
            <v>36.68</v>
          </cell>
        </row>
        <row r="142">
          <cell r="A142" t="str">
            <v>6724484</v>
          </cell>
          <cell r="B142" t="str">
            <v>1317751</v>
          </cell>
          <cell r="C142" t="str">
            <v>MH6004-25-BLK</v>
          </cell>
          <cell r="D142" t="str">
            <v>MH6004-25</v>
          </cell>
          <cell r="E142" t="str">
            <v>MH6004-25 W/ELAST/FEMALE BCKLE/WRPV BLK</v>
          </cell>
          <cell r="F142" t="str">
            <v>DG-HARNESS</v>
          </cell>
          <cell r="G142" t="str">
            <v>1420-210-SB</v>
          </cell>
          <cell r="H142" t="str">
            <v>R</v>
          </cell>
          <cell r="I142" t="str">
            <v>06/04/2024</v>
          </cell>
          <cell r="J142" t="str">
            <v>06/04/2024</v>
          </cell>
          <cell r="K142" t="str">
            <v>06/11/2024</v>
          </cell>
          <cell r="L142">
            <v>100</v>
          </cell>
          <cell r="M142" t="str">
            <v>6/13/2024 8:22:47 AM</v>
          </cell>
          <cell r="N142" t="str">
            <v>24</v>
          </cell>
          <cell r="O142">
            <v>100</v>
          </cell>
          <cell r="P142">
            <v>3.94</v>
          </cell>
        </row>
        <row r="143">
          <cell r="A143" t="str">
            <v>6724485</v>
          </cell>
          <cell r="B143" t="str">
            <v>1317751</v>
          </cell>
          <cell r="C143" t="str">
            <v>MH6004-25-BLK</v>
          </cell>
          <cell r="D143" t="str">
            <v>MH6004-25</v>
          </cell>
          <cell r="E143" t="str">
            <v>MH6004-25 W/ELAST/FEMALE BCKLE/WRPV BLK</v>
          </cell>
          <cell r="F143" t="str">
            <v>DG-HARNESS</v>
          </cell>
          <cell r="G143" t="str">
            <v>1420-210-SB</v>
          </cell>
          <cell r="H143" t="str">
            <v>F</v>
          </cell>
          <cell r="I143" t="str">
            <v>06/04/2024</v>
          </cell>
          <cell r="J143" t="str">
            <v>06/04/2024</v>
          </cell>
          <cell r="K143" t="str">
            <v>06/11/2024</v>
          </cell>
          <cell r="L143">
            <v>100</v>
          </cell>
          <cell r="M143" t="str">
            <v/>
          </cell>
          <cell r="N143" t="str">
            <v>24</v>
          </cell>
          <cell r="O143">
            <v>100</v>
          </cell>
          <cell r="P143">
            <v>3.94</v>
          </cell>
        </row>
        <row r="144">
          <cell r="A144" t="str">
            <v>6724486</v>
          </cell>
          <cell r="B144" t="str">
            <v>1317751</v>
          </cell>
          <cell r="C144" t="str">
            <v>MH6004-25-BLK</v>
          </cell>
          <cell r="D144" t="str">
            <v>MH6004-25</v>
          </cell>
          <cell r="E144" t="str">
            <v>MH6004-25 W/ELAST/FEMALE BCKLE/WRPV BLK</v>
          </cell>
          <cell r="F144" t="str">
            <v>DG-HARNESS</v>
          </cell>
          <cell r="G144" t="str">
            <v>1420-210-SB</v>
          </cell>
          <cell r="H144" t="str">
            <v>F</v>
          </cell>
          <cell r="I144" t="str">
            <v>06/04/2024</v>
          </cell>
          <cell r="J144" t="str">
            <v>06/04/2024</v>
          </cell>
          <cell r="K144" t="str">
            <v>06/11/2024</v>
          </cell>
          <cell r="L144">
            <v>100</v>
          </cell>
          <cell r="M144" t="str">
            <v/>
          </cell>
          <cell r="N144" t="str">
            <v>24</v>
          </cell>
          <cell r="O144">
            <v>100</v>
          </cell>
          <cell r="P144">
            <v>3.94</v>
          </cell>
        </row>
        <row r="145">
          <cell r="A145" t="str">
            <v>6724487</v>
          </cell>
          <cell r="B145" t="str">
            <v>1317751</v>
          </cell>
          <cell r="C145" t="str">
            <v>MH6004-25-BLK</v>
          </cell>
          <cell r="D145" t="str">
            <v>MH6004-25</v>
          </cell>
          <cell r="E145" t="str">
            <v>MH6004-25 W/ELAST/FEMALE BCKLE/WRPV BLK</v>
          </cell>
          <cell r="F145" t="str">
            <v>DG-HARNESS</v>
          </cell>
          <cell r="G145" t="str">
            <v>1420-210-SB</v>
          </cell>
          <cell r="H145" t="str">
            <v>F</v>
          </cell>
          <cell r="I145" t="str">
            <v>06/04/2024</v>
          </cell>
          <cell r="J145" t="str">
            <v>06/04/2024</v>
          </cell>
          <cell r="K145" t="str">
            <v>06/11/2024</v>
          </cell>
          <cell r="L145">
            <v>100</v>
          </cell>
          <cell r="M145" t="str">
            <v/>
          </cell>
          <cell r="N145" t="str">
            <v>24</v>
          </cell>
          <cell r="O145">
            <v>100</v>
          </cell>
          <cell r="P145">
            <v>3.94</v>
          </cell>
        </row>
        <row r="146">
          <cell r="A146" t="str">
            <v>6724488</v>
          </cell>
          <cell r="B146" t="str">
            <v>1317751</v>
          </cell>
          <cell r="C146" t="str">
            <v>MH6004-25-BLK</v>
          </cell>
          <cell r="D146" t="str">
            <v>MH6004-25</v>
          </cell>
          <cell r="E146" t="str">
            <v>MH6004-25 W/ELAST/FEMALE BCKLE/WRPV BLK</v>
          </cell>
          <cell r="F146" t="str">
            <v>DG-HARNESS</v>
          </cell>
          <cell r="G146" t="str">
            <v>1420-210-SB</v>
          </cell>
          <cell r="H146" t="str">
            <v>F</v>
          </cell>
          <cell r="I146" t="str">
            <v>06/04/2024</v>
          </cell>
          <cell r="J146" t="str">
            <v>06/04/2024</v>
          </cell>
          <cell r="K146" t="str">
            <v>06/11/2024</v>
          </cell>
          <cell r="L146">
            <v>100</v>
          </cell>
          <cell r="M146" t="str">
            <v/>
          </cell>
          <cell r="N146" t="str">
            <v>24</v>
          </cell>
          <cell r="O146">
            <v>100</v>
          </cell>
          <cell r="P146">
            <v>3.94</v>
          </cell>
        </row>
        <row r="147">
          <cell r="A147" t="str">
            <v>6724489</v>
          </cell>
          <cell r="B147" t="str">
            <v>1317751</v>
          </cell>
          <cell r="C147" t="str">
            <v>MH6004-25-BLK</v>
          </cell>
          <cell r="D147" t="str">
            <v>MH6004-25</v>
          </cell>
          <cell r="E147" t="str">
            <v>MH6004-25 W/ELAST/FEMALE BCKLE/WRPV BLK</v>
          </cell>
          <cell r="F147" t="str">
            <v>DG-HARNESS</v>
          </cell>
          <cell r="G147" t="str">
            <v>1420-210-SB</v>
          </cell>
          <cell r="H147" t="str">
            <v>F</v>
          </cell>
          <cell r="I147" t="str">
            <v>06/04/2024</v>
          </cell>
          <cell r="J147" t="str">
            <v>06/04/2024</v>
          </cell>
          <cell r="K147" t="str">
            <v>06/11/2024</v>
          </cell>
          <cell r="L147">
            <v>100</v>
          </cell>
          <cell r="M147" t="str">
            <v/>
          </cell>
          <cell r="N147" t="str">
            <v>24</v>
          </cell>
          <cell r="O147">
            <v>100</v>
          </cell>
          <cell r="P147">
            <v>3.94</v>
          </cell>
        </row>
        <row r="148">
          <cell r="A148" t="str">
            <v>6724490</v>
          </cell>
          <cell r="B148" t="str">
            <v>1317751</v>
          </cell>
          <cell r="C148" t="str">
            <v>MH6004-25-BLK</v>
          </cell>
          <cell r="D148" t="str">
            <v>MH6004-25</v>
          </cell>
          <cell r="E148" t="str">
            <v>MH6004-25 W/ELAST/FEMALE BCKLE/WRPV BLK</v>
          </cell>
          <cell r="F148" t="str">
            <v>DG-HARNESS</v>
          </cell>
          <cell r="G148" t="str">
            <v>1420-210-SB</v>
          </cell>
          <cell r="H148" t="str">
            <v>F</v>
          </cell>
          <cell r="I148" t="str">
            <v>06/04/2024</v>
          </cell>
          <cell r="J148" t="str">
            <v>06/04/2024</v>
          </cell>
          <cell r="K148" t="str">
            <v>06/11/2024</v>
          </cell>
          <cell r="L148">
            <v>100</v>
          </cell>
          <cell r="M148" t="str">
            <v/>
          </cell>
          <cell r="N148" t="str">
            <v>24</v>
          </cell>
          <cell r="O148">
            <v>100</v>
          </cell>
          <cell r="P148">
            <v>3.94</v>
          </cell>
        </row>
        <row r="149">
          <cell r="A149" t="str">
            <v>6724491</v>
          </cell>
          <cell r="B149" t="str">
            <v>1317751</v>
          </cell>
          <cell r="C149" t="str">
            <v>MH6004-25-BLK</v>
          </cell>
          <cell r="D149" t="str">
            <v>MH6004-25</v>
          </cell>
          <cell r="E149" t="str">
            <v>MH6004-25 W/ELAST/FEMALE BCKLE/WRPV BLK</v>
          </cell>
          <cell r="F149" t="str">
            <v>DG-HARNESS</v>
          </cell>
          <cell r="G149" t="str">
            <v>1420-210-SB</v>
          </cell>
          <cell r="H149" t="str">
            <v>F</v>
          </cell>
          <cell r="I149" t="str">
            <v>06/04/2024</v>
          </cell>
          <cell r="J149" t="str">
            <v>06/04/2024</v>
          </cell>
          <cell r="K149" t="str">
            <v>06/11/2024</v>
          </cell>
          <cell r="L149">
            <v>100</v>
          </cell>
          <cell r="M149" t="str">
            <v/>
          </cell>
          <cell r="N149" t="str">
            <v>24</v>
          </cell>
          <cell r="O149">
            <v>100</v>
          </cell>
          <cell r="P149">
            <v>3.94</v>
          </cell>
        </row>
        <row r="150">
          <cell r="A150" t="str">
            <v>6724492</v>
          </cell>
          <cell r="B150" t="str">
            <v>1317751</v>
          </cell>
          <cell r="C150" t="str">
            <v>MH6004-25-BLK</v>
          </cell>
          <cell r="D150" t="str">
            <v>MH6004-25</v>
          </cell>
          <cell r="E150" t="str">
            <v>MH6004-25 W/ELAST/FEMALE BCKLE/WRPV BLK</v>
          </cell>
          <cell r="F150" t="str">
            <v>DG-HARNESS</v>
          </cell>
          <cell r="G150" t="str">
            <v>1420-210-SB</v>
          </cell>
          <cell r="H150" t="str">
            <v>F</v>
          </cell>
          <cell r="I150" t="str">
            <v>06/04/2024</v>
          </cell>
          <cell r="J150" t="str">
            <v>06/04/2024</v>
          </cell>
          <cell r="K150" t="str">
            <v>06/11/2024</v>
          </cell>
          <cell r="L150">
            <v>100</v>
          </cell>
          <cell r="M150" t="str">
            <v/>
          </cell>
          <cell r="N150" t="str">
            <v>24</v>
          </cell>
          <cell r="O150">
            <v>100</v>
          </cell>
          <cell r="P150">
            <v>3.94</v>
          </cell>
        </row>
        <row r="151">
          <cell r="A151" t="str">
            <v>6724493</v>
          </cell>
          <cell r="B151" t="str">
            <v>1317751</v>
          </cell>
          <cell r="C151" t="str">
            <v>MH6004-25-BLK</v>
          </cell>
          <cell r="D151" t="str">
            <v>MH6004-25</v>
          </cell>
          <cell r="E151" t="str">
            <v>MH6004-25 W/ELAST/FEMALE BCKLE/WRPV BLK</v>
          </cell>
          <cell r="F151" t="str">
            <v>DG-HARNESS</v>
          </cell>
          <cell r="G151" t="str">
            <v>1420-210-SB</v>
          </cell>
          <cell r="H151" t="str">
            <v>F</v>
          </cell>
          <cell r="I151" t="str">
            <v>06/04/2024</v>
          </cell>
          <cell r="J151" t="str">
            <v>06/04/2024</v>
          </cell>
          <cell r="K151" t="str">
            <v>06/11/2024</v>
          </cell>
          <cell r="L151">
            <v>100</v>
          </cell>
          <cell r="M151" t="str">
            <v/>
          </cell>
          <cell r="N151" t="str">
            <v>24</v>
          </cell>
          <cell r="O151">
            <v>100</v>
          </cell>
          <cell r="P151">
            <v>3.94</v>
          </cell>
        </row>
        <row r="152">
          <cell r="A152" t="str">
            <v>6724494</v>
          </cell>
          <cell r="B152" t="str">
            <v>1317751</v>
          </cell>
          <cell r="C152" t="str">
            <v>MH6004-25-BLK</v>
          </cell>
          <cell r="D152" t="str">
            <v>MH6004-25</v>
          </cell>
          <cell r="E152" t="str">
            <v>MH6004-25 W/ELAST/FEMALE BCKLE/WRPV BLK</v>
          </cell>
          <cell r="F152" t="str">
            <v>DG-HARNESS</v>
          </cell>
          <cell r="G152" t="str">
            <v>1420-210-SB</v>
          </cell>
          <cell r="H152" t="str">
            <v>F</v>
          </cell>
          <cell r="I152" t="str">
            <v>06/04/2024</v>
          </cell>
          <cell r="J152" t="str">
            <v>06/04/2024</v>
          </cell>
          <cell r="K152" t="str">
            <v>06/11/2024</v>
          </cell>
          <cell r="L152">
            <v>100</v>
          </cell>
          <cell r="M152" t="str">
            <v/>
          </cell>
          <cell r="N152" t="str">
            <v>24</v>
          </cell>
          <cell r="O152">
            <v>100</v>
          </cell>
          <cell r="P152">
            <v>3.94</v>
          </cell>
        </row>
        <row r="153">
          <cell r="A153" t="str">
            <v>6724495</v>
          </cell>
          <cell r="B153" t="str">
            <v>1317751</v>
          </cell>
          <cell r="C153" t="str">
            <v>MH6004-25-BLK</v>
          </cell>
          <cell r="D153" t="str">
            <v>MH6004-25</v>
          </cell>
          <cell r="E153" t="str">
            <v>MH6004-25 W/ELAST/FEMALE BCKLE/WRPV BLK</v>
          </cell>
          <cell r="F153" t="str">
            <v>DG-HARNESS</v>
          </cell>
          <cell r="G153" t="str">
            <v>1420-210-SB</v>
          </cell>
          <cell r="H153" t="str">
            <v>F</v>
          </cell>
          <cell r="I153" t="str">
            <v>06/04/2024</v>
          </cell>
          <cell r="J153" t="str">
            <v>06/04/2024</v>
          </cell>
          <cell r="K153" t="str">
            <v>06/11/2024</v>
          </cell>
          <cell r="L153">
            <v>100</v>
          </cell>
          <cell r="M153" t="str">
            <v/>
          </cell>
          <cell r="N153" t="str">
            <v>24</v>
          </cell>
          <cell r="O153">
            <v>100</v>
          </cell>
          <cell r="P153">
            <v>3.94</v>
          </cell>
        </row>
        <row r="154">
          <cell r="A154" t="str">
            <v>6724496</v>
          </cell>
          <cell r="B154" t="str">
            <v>1317751</v>
          </cell>
          <cell r="C154" t="str">
            <v>MH6004-25-BLK</v>
          </cell>
          <cell r="D154" t="str">
            <v>MH6004-25</v>
          </cell>
          <cell r="E154" t="str">
            <v>MH6004-25 W/ELAST/FEMALE BCKLE/WRPV BLK</v>
          </cell>
          <cell r="F154" t="str">
            <v>DG-HARNESS</v>
          </cell>
          <cell r="G154" t="str">
            <v>1420-210-SB</v>
          </cell>
          <cell r="H154" t="str">
            <v>F</v>
          </cell>
          <cell r="I154" t="str">
            <v>06/04/2024</v>
          </cell>
          <cell r="J154" t="str">
            <v>06/04/2024</v>
          </cell>
          <cell r="K154" t="str">
            <v>06/11/2024</v>
          </cell>
          <cell r="L154">
            <v>100</v>
          </cell>
          <cell r="M154" t="str">
            <v/>
          </cell>
          <cell r="N154" t="str">
            <v>24</v>
          </cell>
          <cell r="O154">
            <v>100</v>
          </cell>
          <cell r="P154">
            <v>3.94</v>
          </cell>
        </row>
        <row r="155">
          <cell r="A155" t="str">
            <v>6724497</v>
          </cell>
          <cell r="B155" t="str">
            <v>1317751</v>
          </cell>
          <cell r="C155" t="str">
            <v>MH6004-25-BLK</v>
          </cell>
          <cell r="D155" t="str">
            <v>MH6004-25</v>
          </cell>
          <cell r="E155" t="str">
            <v>MH6004-25 W/ELAST/FEMALE BCKLE/WRPV BLK</v>
          </cell>
          <cell r="F155" t="str">
            <v>DG-HARNESS</v>
          </cell>
          <cell r="G155" t="str">
            <v>1420-210-SB</v>
          </cell>
          <cell r="H155" t="str">
            <v>F</v>
          </cell>
          <cell r="I155" t="str">
            <v>06/04/2024</v>
          </cell>
          <cell r="J155" t="str">
            <v>06/04/2024</v>
          </cell>
          <cell r="K155" t="str">
            <v>06/11/2024</v>
          </cell>
          <cell r="L155">
            <v>100</v>
          </cell>
          <cell r="M155" t="str">
            <v/>
          </cell>
          <cell r="N155" t="str">
            <v>24</v>
          </cell>
          <cell r="O155">
            <v>100</v>
          </cell>
          <cell r="P155">
            <v>3.94</v>
          </cell>
        </row>
        <row r="156">
          <cell r="A156" t="str">
            <v>6724498</v>
          </cell>
          <cell r="B156" t="str">
            <v>1317751</v>
          </cell>
          <cell r="C156" t="str">
            <v>MH6004-25-BLK</v>
          </cell>
          <cell r="D156" t="str">
            <v>MH6004-25</v>
          </cell>
          <cell r="E156" t="str">
            <v>MH6004-25 W/ELAST/FEMALE BCKLE/WRPV BLK</v>
          </cell>
          <cell r="F156" t="str">
            <v>DG-HARNESS</v>
          </cell>
          <cell r="G156" t="str">
            <v>1420-210-SB</v>
          </cell>
          <cell r="H156" t="str">
            <v>F</v>
          </cell>
          <cell r="I156" t="str">
            <v>06/04/2024</v>
          </cell>
          <cell r="J156" t="str">
            <v>06/04/2024</v>
          </cell>
          <cell r="K156" t="str">
            <v>06/11/2024</v>
          </cell>
          <cell r="L156">
            <v>100</v>
          </cell>
          <cell r="M156" t="str">
            <v/>
          </cell>
          <cell r="N156" t="str">
            <v>24</v>
          </cell>
          <cell r="O156">
            <v>100</v>
          </cell>
          <cell r="P156">
            <v>3.94</v>
          </cell>
        </row>
        <row r="157">
          <cell r="A157" t="str">
            <v>6724499</v>
          </cell>
          <cell r="B157" t="str">
            <v>1317751</v>
          </cell>
          <cell r="C157" t="str">
            <v>MH6004-25-BLK</v>
          </cell>
          <cell r="D157" t="str">
            <v>MH6004-25</v>
          </cell>
          <cell r="E157" t="str">
            <v>MH6004-25 W/ELAST/FEMALE BCKLE/WRPV BLK</v>
          </cell>
          <cell r="F157" t="str">
            <v>DG-HARNESS</v>
          </cell>
          <cell r="G157" t="str">
            <v>1420-210-SB</v>
          </cell>
          <cell r="H157" t="str">
            <v>F</v>
          </cell>
          <cell r="I157" t="str">
            <v>06/04/2024</v>
          </cell>
          <cell r="J157" t="str">
            <v>06/04/2024</v>
          </cell>
          <cell r="K157" t="str">
            <v>06/11/2024</v>
          </cell>
          <cell r="L157">
            <v>100</v>
          </cell>
          <cell r="M157" t="str">
            <v/>
          </cell>
          <cell r="N157" t="str">
            <v>24</v>
          </cell>
          <cell r="O157">
            <v>100</v>
          </cell>
          <cell r="P157">
            <v>3.94</v>
          </cell>
        </row>
        <row r="158">
          <cell r="A158" t="str">
            <v>6724500</v>
          </cell>
          <cell r="B158" t="str">
            <v>1317751</v>
          </cell>
          <cell r="C158" t="str">
            <v>MH6004-25-BLK</v>
          </cell>
          <cell r="D158" t="str">
            <v>MH6004-25</v>
          </cell>
          <cell r="E158" t="str">
            <v>MH6004-25 W/ELAST/FEMALE BCKLE/WRPV BLK</v>
          </cell>
          <cell r="F158" t="str">
            <v>DG-HARNESS</v>
          </cell>
          <cell r="G158" t="str">
            <v>1420-210-SB</v>
          </cell>
          <cell r="H158" t="str">
            <v>F</v>
          </cell>
          <cell r="I158" t="str">
            <v>06/04/2024</v>
          </cell>
          <cell r="J158" t="str">
            <v>06/04/2024</v>
          </cell>
          <cell r="K158" t="str">
            <v>06/11/2024</v>
          </cell>
          <cell r="L158">
            <v>100</v>
          </cell>
          <cell r="M158" t="str">
            <v/>
          </cell>
          <cell r="N158" t="str">
            <v>24</v>
          </cell>
          <cell r="O158">
            <v>100</v>
          </cell>
          <cell r="P158">
            <v>3.94</v>
          </cell>
        </row>
        <row r="159">
          <cell r="A159" t="str">
            <v>6724501</v>
          </cell>
          <cell r="B159" t="str">
            <v>1317751</v>
          </cell>
          <cell r="C159" t="str">
            <v>MH6004-25-BLK</v>
          </cell>
          <cell r="D159" t="str">
            <v>MH6004-25</v>
          </cell>
          <cell r="E159" t="str">
            <v>MH6004-25 W/ELAST/FEMALE BCKLE/WRPV BLK</v>
          </cell>
          <cell r="F159" t="str">
            <v>DG-HARNESS</v>
          </cell>
          <cell r="G159" t="str">
            <v>1420-210-SB</v>
          </cell>
          <cell r="H159" t="str">
            <v>F</v>
          </cell>
          <cell r="I159" t="str">
            <v>06/04/2024</v>
          </cell>
          <cell r="J159" t="str">
            <v>06/04/2024</v>
          </cell>
          <cell r="K159" t="str">
            <v>06/11/2024</v>
          </cell>
          <cell r="L159">
            <v>100</v>
          </cell>
          <cell r="M159" t="str">
            <v/>
          </cell>
          <cell r="N159" t="str">
            <v>24</v>
          </cell>
          <cell r="O159">
            <v>100</v>
          </cell>
          <cell r="P159">
            <v>3.94</v>
          </cell>
        </row>
        <row r="160">
          <cell r="A160" t="str">
            <v>6724502</v>
          </cell>
          <cell r="B160" t="str">
            <v>1317751</v>
          </cell>
          <cell r="C160" t="str">
            <v>MH6004-25-BLK</v>
          </cell>
          <cell r="D160" t="str">
            <v>MH6004-25</v>
          </cell>
          <cell r="E160" t="str">
            <v>MH6004-25 W/ELAST/FEMALE BCKLE/WRPV BLK</v>
          </cell>
          <cell r="F160" t="str">
            <v>DG-HARNESS</v>
          </cell>
          <cell r="G160" t="str">
            <v>1420-210-SB</v>
          </cell>
          <cell r="H160" t="str">
            <v>F</v>
          </cell>
          <cell r="I160" t="str">
            <v>06/04/2024</v>
          </cell>
          <cell r="J160" t="str">
            <v>06/04/2024</v>
          </cell>
          <cell r="K160" t="str">
            <v>06/11/2024</v>
          </cell>
          <cell r="L160">
            <v>100</v>
          </cell>
          <cell r="M160" t="str">
            <v/>
          </cell>
          <cell r="N160" t="str">
            <v>24</v>
          </cell>
          <cell r="O160">
            <v>100</v>
          </cell>
          <cell r="P160">
            <v>3.94</v>
          </cell>
        </row>
        <row r="161">
          <cell r="A161" t="str">
            <v>6724510</v>
          </cell>
          <cell r="B161" t="str">
            <v>1317751</v>
          </cell>
          <cell r="C161" t="str">
            <v>MH6004-25-BLK</v>
          </cell>
          <cell r="D161" t="str">
            <v>MH6004-25</v>
          </cell>
          <cell r="E161" t="str">
            <v>MH6004-25 W/ELAST/FEMALE BCKLE/WRPV BLK</v>
          </cell>
          <cell r="F161" t="str">
            <v>DG-HARNESS</v>
          </cell>
          <cell r="G161" t="str">
            <v>1420-210-SB</v>
          </cell>
          <cell r="H161" t="str">
            <v>F</v>
          </cell>
          <cell r="I161" t="str">
            <v>06/04/2024</v>
          </cell>
          <cell r="J161" t="str">
            <v>06/04/2024</v>
          </cell>
          <cell r="K161" t="str">
            <v>06/11/2024</v>
          </cell>
          <cell r="L161">
            <v>57</v>
          </cell>
          <cell r="M161" t="str">
            <v/>
          </cell>
          <cell r="N161" t="str">
            <v>24</v>
          </cell>
          <cell r="O161">
            <v>57</v>
          </cell>
          <cell r="P161">
            <v>2.25</v>
          </cell>
        </row>
        <row r="162">
          <cell r="A162" t="str">
            <v>6724503</v>
          </cell>
          <cell r="B162" t="str">
            <v>1317752</v>
          </cell>
          <cell r="C162" t="str">
            <v>MH6004-25-FDE</v>
          </cell>
          <cell r="D162" t="str">
            <v>MH6004-25</v>
          </cell>
          <cell r="E162" t="str">
            <v>MH6004-25 W/ELAST/FEMALE BCKLE/WRPV FDE</v>
          </cell>
          <cell r="F162" t="str">
            <v>DG-HARNESS</v>
          </cell>
          <cell r="G162" t="str">
            <v>1420-210-SB</v>
          </cell>
          <cell r="H162" t="str">
            <v>F</v>
          </cell>
          <cell r="I162" t="str">
            <v>06/04/2024</v>
          </cell>
          <cell r="J162" t="str">
            <v>06/04/2024</v>
          </cell>
          <cell r="K162" t="str">
            <v>06/11/2024</v>
          </cell>
          <cell r="L162">
            <v>128</v>
          </cell>
          <cell r="M162" t="str">
            <v/>
          </cell>
          <cell r="N162" t="str">
            <v>24</v>
          </cell>
          <cell r="O162">
            <v>128</v>
          </cell>
          <cell r="P162">
            <v>2.84</v>
          </cell>
        </row>
        <row r="163">
          <cell r="A163" t="str">
            <v>6724505</v>
          </cell>
          <cell r="B163" t="str">
            <v>1321988</v>
          </cell>
          <cell r="C163" t="str">
            <v>SA-RGR-UBL-55</v>
          </cell>
          <cell r="D163" t="str">
            <v>SA</v>
          </cell>
          <cell r="E163" t="str">
            <v>RGR STRP FOR UBL PLN FDE</v>
          </cell>
          <cell r="F163" t="str">
            <v>DG-HARNESS</v>
          </cell>
          <cell r="G163" t="str">
            <v>1420-210-SB</v>
          </cell>
          <cell r="H163" t="str">
            <v>R</v>
          </cell>
          <cell r="I163" t="str">
            <v>06/04/2024</v>
          </cell>
          <cell r="J163" t="str">
            <v>06/04/2024</v>
          </cell>
          <cell r="K163" t="str">
            <v>06/11/2024</v>
          </cell>
          <cell r="L163">
            <v>30</v>
          </cell>
          <cell r="M163" t="str">
            <v>6/6/2024 3:45:23 PM</v>
          </cell>
          <cell r="N163" t="str">
            <v>24</v>
          </cell>
          <cell r="O163">
            <v>30</v>
          </cell>
          <cell r="P163">
            <v>4</v>
          </cell>
        </row>
        <row r="164">
          <cell r="A164" t="str">
            <v>6724506</v>
          </cell>
          <cell r="B164" t="str">
            <v>1321988</v>
          </cell>
          <cell r="C164" t="str">
            <v>SA-RGR-UBL-55</v>
          </cell>
          <cell r="D164" t="str">
            <v>SA</v>
          </cell>
          <cell r="E164" t="str">
            <v>RGR STRP FOR UBL PLN FDE</v>
          </cell>
          <cell r="F164" t="str">
            <v>DG-HARNESS</v>
          </cell>
          <cell r="G164" t="str">
            <v>1420-210-SB</v>
          </cell>
          <cell r="H164" t="str">
            <v>R</v>
          </cell>
          <cell r="I164" t="str">
            <v>06/04/2024</v>
          </cell>
          <cell r="J164" t="str">
            <v>06/04/2024</v>
          </cell>
          <cell r="K164" t="str">
            <v>06/11/2024</v>
          </cell>
          <cell r="L164">
            <v>30</v>
          </cell>
          <cell r="M164" t="str">
            <v>6/13/2024 10:37:08 AM</v>
          </cell>
          <cell r="N164" t="str">
            <v>24</v>
          </cell>
          <cell r="O164">
            <v>30</v>
          </cell>
          <cell r="P164">
            <v>4</v>
          </cell>
        </row>
        <row r="165">
          <cell r="A165" t="str">
            <v>6724507</v>
          </cell>
          <cell r="B165" t="str">
            <v>1321988</v>
          </cell>
          <cell r="C165" t="str">
            <v>SA-RGR-UBL-55</v>
          </cell>
          <cell r="D165" t="str">
            <v>SA</v>
          </cell>
          <cell r="E165" t="str">
            <v>RGR STRP FOR UBL PLN FDE</v>
          </cell>
          <cell r="F165" t="str">
            <v>DG-HARNESS</v>
          </cell>
          <cell r="G165" t="str">
            <v>1420-210-SB</v>
          </cell>
          <cell r="H165" t="str">
            <v>R</v>
          </cell>
          <cell r="I165" t="str">
            <v>06/04/2024</v>
          </cell>
          <cell r="J165" t="str">
            <v>06/04/2024</v>
          </cell>
          <cell r="K165" t="str">
            <v>06/11/2024</v>
          </cell>
          <cell r="L165">
            <v>30</v>
          </cell>
          <cell r="M165" t="str">
            <v>6/6/2024 3:45:23 PM</v>
          </cell>
          <cell r="N165" t="str">
            <v>24</v>
          </cell>
          <cell r="O165">
            <v>30</v>
          </cell>
          <cell r="P165">
            <v>4</v>
          </cell>
        </row>
        <row r="166">
          <cell r="A166" t="str">
            <v>6726566</v>
          </cell>
          <cell r="B166" t="str">
            <v>1097145</v>
          </cell>
          <cell r="C166" t="str">
            <v>146-38-2</v>
          </cell>
          <cell r="D166" t="str">
            <v>146</v>
          </cell>
          <cell r="E166" t="str">
            <v>146 BORDER PATROL BLT PLN BLK SZ38 CH</v>
          </cell>
          <cell r="F166" t="str">
            <v>DG-BELT</v>
          </cell>
          <cell r="G166" t="str">
            <v>1420-210-FG</v>
          </cell>
          <cell r="H166" t="str">
            <v>R</v>
          </cell>
          <cell r="I166" t="str">
            <v>06/10/2024</v>
          </cell>
          <cell r="J166" t="str">
            <v>06/10/2024</v>
          </cell>
          <cell r="K166" t="str">
            <v>06/12/2024</v>
          </cell>
          <cell r="L166">
            <v>10</v>
          </cell>
          <cell r="M166" t="str">
            <v>6/10/2024 9:47:33 AM</v>
          </cell>
          <cell r="N166" t="str">
            <v>24</v>
          </cell>
          <cell r="O166">
            <v>10</v>
          </cell>
          <cell r="P166">
            <v>4.83</v>
          </cell>
        </row>
        <row r="167">
          <cell r="A167" t="str">
            <v>6723460</v>
          </cell>
          <cell r="B167" t="str">
            <v>1153961</v>
          </cell>
          <cell r="C167" t="str">
            <v>6354DO-832-702-MS19</v>
          </cell>
          <cell r="D167" t="str">
            <v>6354DO</v>
          </cell>
          <cell r="E167" t="str">
            <v>6354DO GLOCK 17/22 X300U CORD MTCM LH</v>
          </cell>
          <cell r="F167" t="str">
            <v>DG-HOLSTER-DO-DTC</v>
          </cell>
          <cell r="G167" t="str">
            <v>1420-210-FG</v>
          </cell>
          <cell r="H167" t="str">
            <v>F</v>
          </cell>
          <cell r="I167" t="str">
            <v>06/03/2024</v>
          </cell>
          <cell r="J167" t="str">
            <v>06/03/2024</v>
          </cell>
          <cell r="K167" t="str">
            <v>06/12/2024</v>
          </cell>
          <cell r="L167">
            <v>5</v>
          </cell>
          <cell r="M167" t="str">
            <v/>
          </cell>
          <cell r="N167" t="str">
            <v>24</v>
          </cell>
          <cell r="O167">
            <v>5</v>
          </cell>
          <cell r="P167">
            <v>3.08</v>
          </cell>
        </row>
        <row r="168">
          <cell r="A168" t="str">
            <v>6723775</v>
          </cell>
          <cell r="B168" t="str">
            <v>1334858</v>
          </cell>
          <cell r="C168" t="str">
            <v>6354RDSO-2832-711-MS19</v>
          </cell>
          <cell r="D168" t="str">
            <v>6354RDSO</v>
          </cell>
          <cell r="E168" t="str">
            <v>6354RDSO GLK 19MOS X300U CR BLK MCAM RH</v>
          </cell>
          <cell r="F168" t="str">
            <v>DG-HOLSTER-RDS-DTC</v>
          </cell>
          <cell r="G168" t="str">
            <v>1420-210-FG</v>
          </cell>
          <cell r="H168" t="str">
            <v>F</v>
          </cell>
          <cell r="I168" t="str">
            <v>06/03/2024</v>
          </cell>
          <cell r="J168" t="str">
            <v>06/03/2024</v>
          </cell>
          <cell r="K168" t="str">
            <v>06/12/2024</v>
          </cell>
          <cell r="L168">
            <v>10</v>
          </cell>
          <cell r="M168" t="str">
            <v/>
          </cell>
          <cell r="N168" t="str">
            <v>24</v>
          </cell>
          <cell r="O168">
            <v>10</v>
          </cell>
          <cell r="P168">
            <v>4.33</v>
          </cell>
        </row>
        <row r="169">
          <cell r="A169" t="str">
            <v>6723877</v>
          </cell>
          <cell r="B169" t="str">
            <v>1334859</v>
          </cell>
          <cell r="C169" t="str">
            <v>6354RDSO-2832-781-MS19</v>
          </cell>
          <cell r="D169" t="str">
            <v>6354RDSO</v>
          </cell>
          <cell r="E169" t="str">
            <v>6354RDSO GLOCK 19MOS X300U COR BLK RH</v>
          </cell>
          <cell r="F169" t="str">
            <v>DG-HOLSTER-RDS-DTC</v>
          </cell>
          <cell r="G169" t="str">
            <v>1420-210-FG</v>
          </cell>
          <cell r="H169" t="str">
            <v>F</v>
          </cell>
          <cell r="I169" t="str">
            <v>06/03/2024</v>
          </cell>
          <cell r="J169" t="str">
            <v>06/03/2024</v>
          </cell>
          <cell r="K169" t="str">
            <v>06/12/2024</v>
          </cell>
          <cell r="L169">
            <v>5</v>
          </cell>
          <cell r="M169" t="str">
            <v/>
          </cell>
          <cell r="N169" t="str">
            <v>24</v>
          </cell>
          <cell r="O169">
            <v>5</v>
          </cell>
          <cell r="P169">
            <v>2.17</v>
          </cell>
        </row>
        <row r="170">
          <cell r="A170" t="str">
            <v>6728516</v>
          </cell>
          <cell r="B170" t="str">
            <v>1185854</v>
          </cell>
          <cell r="C170" t="str">
            <v>6360-4502-91</v>
          </cell>
          <cell r="D170" t="str">
            <v>6360</v>
          </cell>
          <cell r="E170" t="str">
            <v>6360 SIG P320 X300U HGS BLK RH</v>
          </cell>
          <cell r="F170" t="str">
            <v>DG-HOLSTER</v>
          </cell>
          <cell r="G170" t="str">
            <v>1420-210-FG</v>
          </cell>
          <cell r="H170" t="str">
            <v>R</v>
          </cell>
          <cell r="I170" t="str">
            <v>06/12/2024</v>
          </cell>
          <cell r="J170" t="str">
            <v>06/12/2024</v>
          </cell>
          <cell r="K170" t="str">
            <v>06/12/2024</v>
          </cell>
          <cell r="L170">
            <v>5</v>
          </cell>
          <cell r="M170" t="str">
            <v>6/12/2024 12:49:35 AM</v>
          </cell>
          <cell r="N170" t="str">
            <v>24</v>
          </cell>
          <cell r="O170">
            <v>5</v>
          </cell>
          <cell r="P170">
            <v>1.66</v>
          </cell>
        </row>
        <row r="171">
          <cell r="A171" t="str">
            <v>6723834</v>
          </cell>
          <cell r="B171" t="str">
            <v>1206668</v>
          </cell>
          <cell r="C171" t="str">
            <v>6378RDS-2832-781</v>
          </cell>
          <cell r="D171" t="str">
            <v>6378RDS</v>
          </cell>
          <cell r="E171" t="str">
            <v>6378RDS GLOCK 19MOS X300U CORD BLK RH</v>
          </cell>
          <cell r="F171" t="str">
            <v>DG-HOLSTER-RDS-DTC</v>
          </cell>
          <cell r="G171" t="str">
            <v>1420-210-FG</v>
          </cell>
          <cell r="H171" t="str">
            <v>R</v>
          </cell>
          <cell r="I171" t="str">
            <v>06/03/2024</v>
          </cell>
          <cell r="J171" t="str">
            <v>06/03/2024</v>
          </cell>
          <cell r="K171" t="str">
            <v>06/12/2024</v>
          </cell>
          <cell r="L171">
            <v>5</v>
          </cell>
          <cell r="M171" t="str">
            <v>6/11/2024 4:52:23 PM</v>
          </cell>
          <cell r="N171" t="str">
            <v>24</v>
          </cell>
          <cell r="O171">
            <v>5</v>
          </cell>
          <cell r="P171">
            <v>2</v>
          </cell>
        </row>
        <row r="172">
          <cell r="A172" t="str">
            <v>6728517</v>
          </cell>
          <cell r="B172" t="str">
            <v>1159066</v>
          </cell>
          <cell r="C172" t="str">
            <v>6378USN-283-701</v>
          </cell>
          <cell r="D172" t="str">
            <v>6378USN</v>
          </cell>
          <cell r="E172" t="str">
            <v>6378USN GLOCK 19/23 CORD MUL CAM RH</v>
          </cell>
          <cell r="F172" t="str">
            <v>DG-HOLSTER-USN-DTC</v>
          </cell>
          <cell r="G172" t="str">
            <v>1420-210-FG</v>
          </cell>
          <cell r="H172" t="str">
            <v>R</v>
          </cell>
          <cell r="I172" t="str">
            <v>06/12/2024</v>
          </cell>
          <cell r="J172" t="str">
            <v>05/27/2024</v>
          </cell>
          <cell r="K172" t="str">
            <v>06/12/2024</v>
          </cell>
          <cell r="L172">
            <v>1</v>
          </cell>
          <cell r="M172" t="str">
            <v>6/12/2024 2:26:57 AM</v>
          </cell>
          <cell r="N172" t="str">
            <v>24</v>
          </cell>
          <cell r="O172">
            <v>1</v>
          </cell>
          <cell r="P172">
            <v>0.28999999999999998</v>
          </cell>
        </row>
        <row r="173">
          <cell r="A173" t="str">
            <v>6725047</v>
          </cell>
          <cell r="B173" t="str">
            <v>1209205</v>
          </cell>
          <cell r="C173" t="str">
            <v>6390-28325-131</v>
          </cell>
          <cell r="D173" t="str">
            <v>6390</v>
          </cell>
          <cell r="E173" t="str">
            <v>6390 GLOCK 19 GEN5 X300U STX TAC BLK RH</v>
          </cell>
          <cell r="F173" t="str">
            <v>DG-HOLSTER-DTC</v>
          </cell>
          <cell r="G173" t="str">
            <v>1420-210-FG</v>
          </cell>
          <cell r="H173" t="str">
            <v>F</v>
          </cell>
          <cell r="I173" t="str">
            <v>06/05/2024</v>
          </cell>
          <cell r="J173" t="str">
            <v>06/05/2024</v>
          </cell>
          <cell r="K173" t="str">
            <v>06/12/2024</v>
          </cell>
          <cell r="L173">
            <v>5</v>
          </cell>
          <cell r="M173" t="str">
            <v/>
          </cell>
          <cell r="N173" t="str">
            <v>24</v>
          </cell>
          <cell r="O173">
            <v>5</v>
          </cell>
          <cell r="P173">
            <v>1.44</v>
          </cell>
        </row>
        <row r="174">
          <cell r="A174" t="str">
            <v>6723757</v>
          </cell>
          <cell r="B174" t="str">
            <v>1204219</v>
          </cell>
          <cell r="C174" t="str">
            <v>6390RDS-2832-132</v>
          </cell>
          <cell r="D174" t="str">
            <v>6390RDS</v>
          </cell>
          <cell r="E174" t="str">
            <v>6390RDS GLOCK 19MOS X300U STX TAC BLK LH</v>
          </cell>
          <cell r="F174" t="str">
            <v>DG-HOLSTER-RDS-DTC</v>
          </cell>
          <cell r="G174" t="str">
            <v>1420-210-FG</v>
          </cell>
          <cell r="H174" t="str">
            <v>F</v>
          </cell>
          <cell r="I174" t="str">
            <v>06/03/2024</v>
          </cell>
          <cell r="J174" t="str">
            <v>06/03/2024</v>
          </cell>
          <cell r="K174" t="str">
            <v>06/12/2024</v>
          </cell>
          <cell r="L174">
            <v>12</v>
          </cell>
          <cell r="M174" t="str">
            <v/>
          </cell>
          <cell r="N174" t="str">
            <v>24</v>
          </cell>
          <cell r="O174">
            <v>12</v>
          </cell>
          <cell r="P174">
            <v>4.8</v>
          </cell>
        </row>
        <row r="175">
          <cell r="A175" t="str">
            <v>6723886</v>
          </cell>
          <cell r="B175" t="str">
            <v>1335070</v>
          </cell>
          <cell r="C175" t="str">
            <v>6390RDSO-572-711</v>
          </cell>
          <cell r="D175" t="str">
            <v>6390RDSO</v>
          </cell>
          <cell r="E175" t="str">
            <v>6390RDSO SA ECHELON X300U COR BKMCAM RH</v>
          </cell>
          <cell r="F175" t="str">
            <v>DG-HOLSTER-RDS-DTC</v>
          </cell>
          <cell r="G175" t="str">
            <v>1420-210-FG</v>
          </cell>
          <cell r="H175" t="str">
            <v>F</v>
          </cell>
          <cell r="I175" t="str">
            <v>06/03/2024</v>
          </cell>
          <cell r="J175" t="str">
            <v>06/03/2024</v>
          </cell>
          <cell r="K175" t="str">
            <v>06/12/2024</v>
          </cell>
          <cell r="L175">
            <v>5</v>
          </cell>
          <cell r="M175" t="str">
            <v/>
          </cell>
          <cell r="N175" t="str">
            <v>24</v>
          </cell>
          <cell r="O175">
            <v>5</v>
          </cell>
          <cell r="P175">
            <v>2</v>
          </cell>
        </row>
        <row r="176">
          <cell r="A176" t="str">
            <v>6723224</v>
          </cell>
          <cell r="B176" t="str">
            <v>1103438</v>
          </cell>
          <cell r="C176" t="str">
            <v>94-40-9</v>
          </cell>
          <cell r="D176" t="str">
            <v>94</v>
          </cell>
          <cell r="E176" t="str">
            <v>94 SZ40 HGS BLK</v>
          </cell>
          <cell r="F176" t="str">
            <v>DG-BELT</v>
          </cell>
          <cell r="G176" t="str">
            <v>1420-210-FG</v>
          </cell>
          <cell r="H176" t="str">
            <v>R</v>
          </cell>
          <cell r="I176" t="str">
            <v>06/03/2024</v>
          </cell>
          <cell r="J176" t="str">
            <v>06/03/2024</v>
          </cell>
          <cell r="K176" t="str">
            <v>06/12/2024</v>
          </cell>
          <cell r="L176">
            <v>5</v>
          </cell>
          <cell r="M176" t="str">
            <v>6/5/2024 2:55:33 PM</v>
          </cell>
          <cell r="N176" t="str">
            <v>24</v>
          </cell>
          <cell r="O176">
            <v>5</v>
          </cell>
          <cell r="P176">
            <v>2.64</v>
          </cell>
        </row>
        <row r="177">
          <cell r="A177" t="str">
            <v>6721195</v>
          </cell>
          <cell r="B177" t="str">
            <v>1017397</v>
          </cell>
          <cell r="C177" t="str">
            <v>22705</v>
          </cell>
          <cell r="D177" t="str">
            <v>7923</v>
          </cell>
          <cell r="E177" t="str">
            <v>ADJUSTABLE RADIO HOLDER BSK BLK SZ 1</v>
          </cell>
          <cell r="F177" t="str">
            <v>BN-POUCH</v>
          </cell>
          <cell r="G177" t="str">
            <v>1420-210-FG</v>
          </cell>
          <cell r="H177" t="str">
            <v>R</v>
          </cell>
          <cell r="I177" t="str">
            <v>05/27/2024</v>
          </cell>
          <cell r="J177" t="str">
            <v>06/03/2024</v>
          </cell>
          <cell r="K177" t="str">
            <v>06/12/2024</v>
          </cell>
          <cell r="L177">
            <v>100</v>
          </cell>
          <cell r="M177" t="str">
            <v>5/28/2024 11:10:38 AM</v>
          </cell>
          <cell r="N177" t="str">
            <v>24</v>
          </cell>
          <cell r="O177">
            <v>100</v>
          </cell>
          <cell r="P177">
            <v>31.55</v>
          </cell>
        </row>
        <row r="178">
          <cell r="A178" t="str">
            <v>6721196</v>
          </cell>
          <cell r="B178" t="str">
            <v>1017398</v>
          </cell>
          <cell r="C178" t="str">
            <v>22706</v>
          </cell>
          <cell r="D178" t="str">
            <v>7923</v>
          </cell>
          <cell r="E178" t="str">
            <v>ADJUSTABLE RADIO HOLDER HI-GLOSS SZ 1</v>
          </cell>
          <cell r="F178" t="str">
            <v>BN-POUCH</v>
          </cell>
          <cell r="G178" t="str">
            <v>1420-210-FG</v>
          </cell>
          <cell r="H178" t="str">
            <v>R</v>
          </cell>
          <cell r="I178" t="str">
            <v>05/27/2024</v>
          </cell>
          <cell r="J178" t="str">
            <v>06/03/2024</v>
          </cell>
          <cell r="K178" t="str">
            <v>06/12/2024</v>
          </cell>
          <cell r="L178">
            <v>26</v>
          </cell>
          <cell r="M178" t="str">
            <v>5/28/2024 12:08:30 PM</v>
          </cell>
          <cell r="N178" t="str">
            <v>24</v>
          </cell>
          <cell r="O178">
            <v>26</v>
          </cell>
          <cell r="P178">
            <v>8.2100000000000009</v>
          </cell>
        </row>
        <row r="179">
          <cell r="A179" t="str">
            <v>6724418</v>
          </cell>
          <cell r="B179" t="str">
            <v>1103247</v>
          </cell>
          <cell r="C179" t="str">
            <v>90-2HS</v>
          </cell>
          <cell r="D179" t="str">
            <v>90</v>
          </cell>
          <cell r="E179" t="str">
            <v>HANDCUFF POUCHTOP FLAP</v>
          </cell>
          <cell r="F179" t="str">
            <v>DG-POUCH-F1</v>
          </cell>
          <cell r="G179" t="str">
            <v>1420-210-FG</v>
          </cell>
          <cell r="H179" t="str">
            <v>R</v>
          </cell>
          <cell r="I179" t="str">
            <v>06/04/2024</v>
          </cell>
          <cell r="J179" t="str">
            <v>06/04/2024</v>
          </cell>
          <cell r="K179" t="str">
            <v>06/12/2024</v>
          </cell>
          <cell r="L179">
            <v>100</v>
          </cell>
          <cell r="M179" t="str">
            <v>6/5/2024 3:03:18 PM</v>
          </cell>
          <cell r="N179" t="str">
            <v>24</v>
          </cell>
          <cell r="O179">
            <v>100</v>
          </cell>
          <cell r="P179">
            <v>32.71</v>
          </cell>
        </row>
        <row r="180">
          <cell r="A180" t="str">
            <v>6721087</v>
          </cell>
          <cell r="B180" t="str">
            <v>1150365</v>
          </cell>
          <cell r="C180" t="str">
            <v>25107</v>
          </cell>
          <cell r="D180" t="str">
            <v>7220</v>
          </cell>
          <cell r="E180" t="str">
            <v>NYLON DUTY BELT BLK SZ LRG 38-44</v>
          </cell>
          <cell r="F180" t="str">
            <v>BN-BELT</v>
          </cell>
          <cell r="G180" t="str">
            <v>1420-210-FG</v>
          </cell>
          <cell r="H180" t="str">
            <v>R</v>
          </cell>
          <cell r="I180" t="str">
            <v>05/27/2024</v>
          </cell>
          <cell r="J180" t="str">
            <v>06/03/2024</v>
          </cell>
          <cell r="K180" t="str">
            <v>06/12/2024</v>
          </cell>
          <cell r="L180">
            <v>63</v>
          </cell>
          <cell r="M180" t="str">
            <v>5/28/2024 11:50:42 AM</v>
          </cell>
          <cell r="N180" t="str">
            <v>24</v>
          </cell>
          <cell r="O180">
            <v>63</v>
          </cell>
          <cell r="P180">
            <v>14.37</v>
          </cell>
        </row>
        <row r="181">
          <cell r="A181" t="str">
            <v>6721092</v>
          </cell>
          <cell r="B181" t="str">
            <v>1170706</v>
          </cell>
          <cell r="C181" t="str">
            <v>25283</v>
          </cell>
          <cell r="D181" t="str">
            <v>7216</v>
          </cell>
          <cell r="E181" t="str">
            <v>NYLON WEB BELT 2IN BLK LG W/DRAG LOOP</v>
          </cell>
          <cell r="F181" t="str">
            <v>BN-BELT</v>
          </cell>
          <cell r="G181" t="str">
            <v>1420-210-FG</v>
          </cell>
          <cell r="H181" t="str">
            <v>R</v>
          </cell>
          <cell r="I181" t="str">
            <v>05/27/2024</v>
          </cell>
          <cell r="J181" t="str">
            <v>05/29/2024</v>
          </cell>
          <cell r="K181" t="str">
            <v>06/12/2024</v>
          </cell>
          <cell r="L181">
            <v>5</v>
          </cell>
          <cell r="M181" t="str">
            <v>5/31/2024 11:04:32 AM</v>
          </cell>
          <cell r="N181" t="str">
            <v>24</v>
          </cell>
          <cell r="O181">
            <v>5</v>
          </cell>
          <cell r="P181">
            <v>2.1</v>
          </cell>
        </row>
        <row r="182">
          <cell r="A182" t="str">
            <v>6722269</v>
          </cell>
          <cell r="B182" t="str">
            <v>1185252</v>
          </cell>
          <cell r="C182" t="str">
            <v>12879</v>
          </cell>
          <cell r="D182" t="str">
            <v>B12</v>
          </cell>
          <cell r="E182" t="str">
            <v>REVERSIBLE SPORT STITCH BELT BLK SZ 38</v>
          </cell>
          <cell r="F182" t="str">
            <v>BN-LEATHER</v>
          </cell>
          <cell r="G182" t="str">
            <v>1420-210-FG</v>
          </cell>
          <cell r="H182" t="str">
            <v>R</v>
          </cell>
          <cell r="I182" t="str">
            <v>05/30/2024</v>
          </cell>
          <cell r="J182" t="str">
            <v>07/04/2024</v>
          </cell>
          <cell r="K182" t="str">
            <v>06/12/2024</v>
          </cell>
          <cell r="L182">
            <v>5</v>
          </cell>
          <cell r="M182" t="str">
            <v>5/30/2024 10:43:01 AM</v>
          </cell>
          <cell r="N182" t="str">
            <v>24</v>
          </cell>
          <cell r="O182">
            <v>5</v>
          </cell>
          <cell r="P182">
            <v>2.81</v>
          </cell>
        </row>
        <row r="183">
          <cell r="A183" t="str">
            <v>6722262</v>
          </cell>
          <cell r="B183" t="str">
            <v>1015521</v>
          </cell>
          <cell r="C183" t="str">
            <v>10245</v>
          </cell>
          <cell r="D183" t="str">
            <v>5BHL</v>
          </cell>
          <cell r="E183" t="str">
            <v>THUMBSNAP TAN RH COLT PYTHON 6IN</v>
          </cell>
          <cell r="F183" t="str">
            <v>BN-LEATHER</v>
          </cell>
          <cell r="G183" t="str">
            <v>1420-210-FG</v>
          </cell>
          <cell r="H183" t="str">
            <v>R</v>
          </cell>
          <cell r="I183" t="str">
            <v>05/30/2024</v>
          </cell>
          <cell r="J183" t="str">
            <v>07/08/2024</v>
          </cell>
          <cell r="K183" t="str">
            <v>06/12/2024</v>
          </cell>
          <cell r="L183">
            <v>20</v>
          </cell>
          <cell r="M183" t="str">
            <v>5/30/2024 10:43:01 AM</v>
          </cell>
          <cell r="N183" t="str">
            <v>24</v>
          </cell>
          <cell r="O183">
            <v>20</v>
          </cell>
          <cell r="P183">
            <v>13.82</v>
          </cell>
        </row>
        <row r="184">
          <cell r="A184" t="str">
            <v>6721164</v>
          </cell>
          <cell r="B184" t="str">
            <v>1016230</v>
          </cell>
          <cell r="C184" t="str">
            <v>18521</v>
          </cell>
          <cell r="D184" t="str">
            <v>7314S</v>
          </cell>
          <cell r="E184" t="str">
            <v>UNIVERSAL RADIO HOLDER WITH SWIVEL BLK</v>
          </cell>
          <cell r="F184" t="str">
            <v>BN-POUCH</v>
          </cell>
          <cell r="G184" t="str">
            <v>1420-210-FG</v>
          </cell>
          <cell r="H184" t="str">
            <v>R</v>
          </cell>
          <cell r="I184" t="str">
            <v>05/27/2024</v>
          </cell>
          <cell r="J184" t="str">
            <v>06/03/2024</v>
          </cell>
          <cell r="K184" t="str">
            <v>06/12/2024</v>
          </cell>
          <cell r="L184">
            <v>100</v>
          </cell>
          <cell r="M184" t="str">
            <v>5/28/2024 1:02:23 PM</v>
          </cell>
          <cell r="N184" t="str">
            <v>24</v>
          </cell>
          <cell r="O184">
            <v>100</v>
          </cell>
          <cell r="P184">
            <v>32</v>
          </cell>
        </row>
        <row r="185">
          <cell r="A185" t="str">
            <v>6718271</v>
          </cell>
          <cell r="B185" t="str">
            <v>1319325</v>
          </cell>
          <cell r="C185" t="str">
            <v>032-42-55</v>
          </cell>
          <cell r="D185" t="str">
            <v>032</v>
          </cell>
          <cell r="E185" t="str">
            <v>032 ELS COMP BLT SZ42 PLN FDE</v>
          </cell>
          <cell r="F185" t="str">
            <v>DG-BELT</v>
          </cell>
          <cell r="G185" t="str">
            <v>1420-210-FG</v>
          </cell>
          <cell r="H185" t="str">
            <v>R</v>
          </cell>
          <cell r="I185" t="str">
            <v>05/22/2024</v>
          </cell>
          <cell r="J185" t="str">
            <v>05/22/2024</v>
          </cell>
          <cell r="K185" t="str">
            <v>06/13/2024</v>
          </cell>
          <cell r="L185">
            <v>9</v>
          </cell>
          <cell r="M185" t="str">
            <v>5/22/2024 1:15:04 PM</v>
          </cell>
          <cell r="N185" t="str">
            <v>24</v>
          </cell>
          <cell r="O185">
            <v>9</v>
          </cell>
          <cell r="P185">
            <v>4.74</v>
          </cell>
        </row>
        <row r="186">
          <cell r="A186" t="str">
            <v>6718264</v>
          </cell>
          <cell r="B186" t="str">
            <v>1336961</v>
          </cell>
          <cell r="C186" t="str">
            <v>032-44-55</v>
          </cell>
          <cell r="D186" t="str">
            <v>032</v>
          </cell>
          <cell r="E186" t="str">
            <v>032 ELS COMP BLT SZ44 PLN FDE</v>
          </cell>
          <cell r="F186" t="str">
            <v>DG-BELT</v>
          </cell>
          <cell r="G186" t="str">
            <v>1420-210-FG</v>
          </cell>
          <cell r="H186" t="str">
            <v>R</v>
          </cell>
          <cell r="I186" t="str">
            <v>05/22/2024</v>
          </cell>
          <cell r="J186" t="str">
            <v>05/22/2024</v>
          </cell>
          <cell r="K186" t="str">
            <v>06/13/2024</v>
          </cell>
          <cell r="L186">
            <v>50</v>
          </cell>
          <cell r="M186" t="str">
            <v>5/22/2024 1:15:04 PM</v>
          </cell>
          <cell r="N186" t="str">
            <v>24</v>
          </cell>
          <cell r="O186">
            <v>50</v>
          </cell>
          <cell r="P186">
            <v>26.38</v>
          </cell>
        </row>
        <row r="187">
          <cell r="A187" t="str">
            <v>6719511</v>
          </cell>
          <cell r="B187" t="str">
            <v>1097289</v>
          </cell>
          <cell r="C187" t="str">
            <v>146-46-4</v>
          </cell>
          <cell r="D187" t="str">
            <v>146</v>
          </cell>
          <cell r="E187" t="str">
            <v>146 BORDER PATROL BLT BSK BLK SZ46 CH</v>
          </cell>
          <cell r="F187" t="str">
            <v>DG-BELT</v>
          </cell>
          <cell r="G187" t="str">
            <v>1420-210-FG</v>
          </cell>
          <cell r="H187" t="str">
            <v>R</v>
          </cell>
          <cell r="I187" t="str">
            <v>05/27/2024</v>
          </cell>
          <cell r="J187" t="str">
            <v>05/27/2024</v>
          </cell>
          <cell r="K187" t="str">
            <v>06/13/2024</v>
          </cell>
          <cell r="L187">
            <v>5</v>
          </cell>
          <cell r="M187" t="str">
            <v>5/28/2024 10:51:05 AM</v>
          </cell>
          <cell r="N187" t="str">
            <v>24</v>
          </cell>
          <cell r="O187">
            <v>5</v>
          </cell>
          <cell r="P187">
            <v>2.6</v>
          </cell>
        </row>
        <row r="188">
          <cell r="A188" t="str">
            <v>6718307</v>
          </cell>
          <cell r="B188" t="str">
            <v>1324593</v>
          </cell>
          <cell r="C188" t="str">
            <v>35-B26-23-NP</v>
          </cell>
          <cell r="D188" t="str">
            <v>35</v>
          </cell>
          <cell r="E188" t="str">
            <v>35 BONOWI 20IN STX TAC BLK</v>
          </cell>
          <cell r="F188" t="str">
            <v>DG-POUCH-F1</v>
          </cell>
          <cell r="G188" t="str">
            <v>1420-210-FG</v>
          </cell>
          <cell r="H188" t="str">
            <v>R</v>
          </cell>
          <cell r="I188" t="str">
            <v>05/22/2024</v>
          </cell>
          <cell r="J188" t="str">
            <v>05/22/2024</v>
          </cell>
          <cell r="K188" t="str">
            <v>06/13/2024</v>
          </cell>
          <cell r="L188">
            <v>20</v>
          </cell>
          <cell r="M188" t="str">
            <v>5/22/2024 12:45:43 PM</v>
          </cell>
          <cell r="N188" t="str">
            <v>24</v>
          </cell>
          <cell r="O188">
            <v>20</v>
          </cell>
          <cell r="P188">
            <v>3.55</v>
          </cell>
        </row>
        <row r="189">
          <cell r="A189" t="str">
            <v>6714477</v>
          </cell>
          <cell r="B189" t="str">
            <v>1125402</v>
          </cell>
          <cell r="C189" t="str">
            <v>38-13HS</v>
          </cell>
          <cell r="D189" t="str">
            <v>38</v>
          </cell>
          <cell r="E189" t="str">
            <v>38 MK4 STX TAC BLK</v>
          </cell>
          <cell r="F189" t="str">
            <v>DG-POUCH-F1</v>
          </cell>
          <cell r="G189" t="str">
            <v>1420-210-FG</v>
          </cell>
          <cell r="H189" t="str">
            <v>R</v>
          </cell>
          <cell r="I189" t="str">
            <v>05/14/2024</v>
          </cell>
          <cell r="J189" t="str">
            <v>05/14/2024</v>
          </cell>
          <cell r="K189" t="str">
            <v>06/13/2024</v>
          </cell>
          <cell r="L189">
            <v>5</v>
          </cell>
          <cell r="M189" t="str">
            <v>5/16/2024 3:49:05 PM</v>
          </cell>
          <cell r="N189" t="str">
            <v>24</v>
          </cell>
          <cell r="O189">
            <v>5</v>
          </cell>
          <cell r="P189">
            <v>1.44</v>
          </cell>
        </row>
        <row r="190">
          <cell r="A190" t="str">
            <v>6721467</v>
          </cell>
          <cell r="B190" t="str">
            <v>1098749</v>
          </cell>
          <cell r="C190" t="str">
            <v>38-13PBL</v>
          </cell>
          <cell r="D190" t="str">
            <v>38</v>
          </cell>
          <cell r="E190" t="str">
            <v>38 MK4 STX TAC BLK</v>
          </cell>
          <cell r="F190" t="str">
            <v>DG-POUCH-F1</v>
          </cell>
          <cell r="G190" t="str">
            <v>1420-210-FG</v>
          </cell>
          <cell r="H190" t="str">
            <v>R</v>
          </cell>
          <cell r="I190" t="str">
            <v>05/28/2024</v>
          </cell>
          <cell r="J190" t="str">
            <v>05/28/2024</v>
          </cell>
          <cell r="K190" t="str">
            <v>06/13/2024</v>
          </cell>
          <cell r="L190">
            <v>30</v>
          </cell>
          <cell r="M190" t="str">
            <v>5/29/2024 3:41:07 PM</v>
          </cell>
          <cell r="N190" t="str">
            <v>24</v>
          </cell>
          <cell r="O190">
            <v>30</v>
          </cell>
          <cell r="P190">
            <v>8.59</v>
          </cell>
        </row>
        <row r="191">
          <cell r="A191" t="str">
            <v>6718680</v>
          </cell>
          <cell r="B191" t="str">
            <v>1208104</v>
          </cell>
          <cell r="C191" t="str">
            <v>4333-2-55</v>
          </cell>
          <cell r="D191" t="str">
            <v>4333</v>
          </cell>
          <cell r="E191" t="str">
            <v>4333 SZ2 PLN FDE</v>
          </cell>
          <cell r="F191" t="str">
            <v>BN-BELT</v>
          </cell>
          <cell r="G191" t="str">
            <v>1420-210-FG</v>
          </cell>
          <cell r="H191" t="str">
            <v>R</v>
          </cell>
          <cell r="I191" t="str">
            <v>05/22/2024</v>
          </cell>
          <cell r="J191" t="str">
            <v>05/30/2024</v>
          </cell>
          <cell r="K191" t="str">
            <v>06/13/2024</v>
          </cell>
          <cell r="L191">
            <v>3</v>
          </cell>
          <cell r="M191" t="str">
            <v>5/22/2024 4:25:09 PM</v>
          </cell>
          <cell r="N191" t="str">
            <v>24</v>
          </cell>
          <cell r="O191">
            <v>3</v>
          </cell>
          <cell r="P191">
            <v>2.2400000000000002</v>
          </cell>
        </row>
        <row r="192">
          <cell r="A192" t="str">
            <v>6725846</v>
          </cell>
          <cell r="B192" t="str">
            <v>1120594</v>
          </cell>
          <cell r="C192" t="str">
            <v>6004-25-2</v>
          </cell>
          <cell r="D192" t="str">
            <v>6004</v>
          </cell>
          <cell r="E192" t="str">
            <v>6004 SNG LEG STRP W/DFA BLK</v>
          </cell>
          <cell r="F192" t="str">
            <v>DG-HARNESS-DTC</v>
          </cell>
          <cell r="G192" t="str">
            <v>1420-210-FG</v>
          </cell>
          <cell r="H192" t="str">
            <v>F</v>
          </cell>
          <cell r="I192" t="str">
            <v>06/06/2024</v>
          </cell>
          <cell r="J192" t="str">
            <v>06/06/2024</v>
          </cell>
          <cell r="K192" t="str">
            <v>06/13/2024</v>
          </cell>
          <cell r="L192">
            <v>100</v>
          </cell>
          <cell r="M192" t="str">
            <v/>
          </cell>
          <cell r="N192" t="str">
            <v>24</v>
          </cell>
          <cell r="O192">
            <v>100</v>
          </cell>
          <cell r="P192">
            <v>10</v>
          </cell>
        </row>
        <row r="193">
          <cell r="A193" t="str">
            <v>6723770</v>
          </cell>
          <cell r="B193" t="str">
            <v>1332479</v>
          </cell>
          <cell r="C193" t="str">
            <v>6354RDS-832-791-MS19</v>
          </cell>
          <cell r="D193" t="str">
            <v>6354RDS</v>
          </cell>
          <cell r="E193" t="str">
            <v>6354RDS GLOCK 17MOS X300U COR TP MCAM RH</v>
          </cell>
          <cell r="F193" t="str">
            <v>DG-HOLSTER-RDS-DTC</v>
          </cell>
          <cell r="G193" t="str">
            <v>1420-210-FG</v>
          </cell>
          <cell r="H193" t="str">
            <v>F</v>
          </cell>
          <cell r="I193" t="str">
            <v>06/03/2024</v>
          </cell>
          <cell r="J193" t="str">
            <v>06/03/2024</v>
          </cell>
          <cell r="K193" t="str">
            <v>06/13/2024</v>
          </cell>
          <cell r="L193">
            <v>34</v>
          </cell>
          <cell r="M193" t="str">
            <v/>
          </cell>
          <cell r="N193" t="str">
            <v>24</v>
          </cell>
          <cell r="O193">
            <v>34</v>
          </cell>
          <cell r="P193">
            <v>14.72</v>
          </cell>
        </row>
        <row r="194">
          <cell r="A194" t="str">
            <v>6725685</v>
          </cell>
          <cell r="B194" t="str">
            <v>1332479</v>
          </cell>
          <cell r="C194" t="str">
            <v>6354RDS-832-791-MS19</v>
          </cell>
          <cell r="D194" t="str">
            <v>6354RDS</v>
          </cell>
          <cell r="E194" t="str">
            <v>6354RDS GLOCK 17MOS X300U COR TP MCAM RH</v>
          </cell>
          <cell r="F194" t="str">
            <v>DG-HOLSTER-RDS-DTC</v>
          </cell>
          <cell r="G194" t="str">
            <v>1420-210-FG</v>
          </cell>
          <cell r="H194" t="str">
            <v>F</v>
          </cell>
          <cell r="I194" t="str">
            <v>06/06/2024</v>
          </cell>
          <cell r="J194" t="str">
            <v>06/06/2024</v>
          </cell>
          <cell r="K194" t="str">
            <v>06/13/2024</v>
          </cell>
          <cell r="L194">
            <v>20</v>
          </cell>
          <cell r="M194" t="str">
            <v/>
          </cell>
          <cell r="N194" t="str">
            <v>24</v>
          </cell>
          <cell r="O194">
            <v>20</v>
          </cell>
          <cell r="P194">
            <v>8.66</v>
          </cell>
        </row>
        <row r="195">
          <cell r="A195" t="str">
            <v>6723769</v>
          </cell>
          <cell r="B195" t="str">
            <v>1330154</v>
          </cell>
          <cell r="C195" t="str">
            <v>6354RDS-832-711-MS19</v>
          </cell>
          <cell r="D195" t="str">
            <v>6354RDS</v>
          </cell>
          <cell r="E195" t="str">
            <v>6354RDS GLOCK  17MOS X300U COR BKMCAM RH</v>
          </cell>
          <cell r="F195" t="str">
            <v>DG-HOLSTER-RDS-DTC</v>
          </cell>
          <cell r="G195" t="str">
            <v>1420-210-FG</v>
          </cell>
          <cell r="H195" t="str">
            <v>F</v>
          </cell>
          <cell r="I195" t="str">
            <v>06/03/2024</v>
          </cell>
          <cell r="J195" t="str">
            <v>06/03/2024</v>
          </cell>
          <cell r="K195" t="str">
            <v>06/13/2024</v>
          </cell>
          <cell r="L195">
            <v>10</v>
          </cell>
          <cell r="M195" t="str">
            <v/>
          </cell>
          <cell r="N195" t="str">
            <v>24</v>
          </cell>
          <cell r="O195">
            <v>10</v>
          </cell>
          <cell r="P195">
            <v>4.33</v>
          </cell>
        </row>
        <row r="196">
          <cell r="A196" t="str">
            <v>6723776</v>
          </cell>
          <cell r="B196" t="str">
            <v>1334860</v>
          </cell>
          <cell r="C196" t="str">
            <v>6354RDSO-2832-131-MS19</v>
          </cell>
          <cell r="D196" t="str">
            <v>6354RDSO</v>
          </cell>
          <cell r="E196" t="str">
            <v>6354RDSO GLK 19MOS X300U STX TAC BLK RH</v>
          </cell>
          <cell r="F196" t="str">
            <v>DG-HOLSTER-RDS-DTC</v>
          </cell>
          <cell r="G196" t="str">
            <v>1420-210-FG</v>
          </cell>
          <cell r="H196" t="str">
            <v>F</v>
          </cell>
          <cell r="I196" t="str">
            <v>06/03/2024</v>
          </cell>
          <cell r="J196" t="str">
            <v>06/03/2024</v>
          </cell>
          <cell r="K196" t="str">
            <v>06/13/2024</v>
          </cell>
          <cell r="L196">
            <v>56</v>
          </cell>
          <cell r="M196" t="str">
            <v/>
          </cell>
          <cell r="N196" t="str">
            <v>24</v>
          </cell>
          <cell r="O196">
            <v>56</v>
          </cell>
          <cell r="P196">
            <v>24.25</v>
          </cell>
        </row>
        <row r="197">
          <cell r="A197" t="str">
            <v>6724373</v>
          </cell>
          <cell r="B197" t="str">
            <v>1334860</v>
          </cell>
          <cell r="C197" t="str">
            <v>6354RDSO-2832-131-MS19</v>
          </cell>
          <cell r="D197" t="str">
            <v>6354RDSO</v>
          </cell>
          <cell r="E197" t="str">
            <v>6354RDSO GLK 19MOS X300U STX TAC BLK RH</v>
          </cell>
          <cell r="F197" t="str">
            <v>DG-HOLSTER-RDS-DTC</v>
          </cell>
          <cell r="G197" t="str">
            <v>1420-210-FG</v>
          </cell>
          <cell r="H197" t="str">
            <v>F</v>
          </cell>
          <cell r="I197" t="str">
            <v>06/04/2024</v>
          </cell>
          <cell r="J197" t="str">
            <v>06/04/2024</v>
          </cell>
          <cell r="K197" t="str">
            <v>06/13/2024</v>
          </cell>
          <cell r="L197">
            <v>30</v>
          </cell>
          <cell r="M197" t="str">
            <v/>
          </cell>
          <cell r="N197" t="str">
            <v>24</v>
          </cell>
          <cell r="O197">
            <v>30</v>
          </cell>
          <cell r="P197">
            <v>12.99</v>
          </cell>
        </row>
        <row r="198">
          <cell r="A198" t="str">
            <v>6723368</v>
          </cell>
          <cell r="B198" t="str">
            <v>1121620</v>
          </cell>
          <cell r="C198" t="str">
            <v>6360-383-91</v>
          </cell>
          <cell r="D198" t="str">
            <v>6360</v>
          </cell>
          <cell r="E198" t="str">
            <v>6360 GLOCK 20/21 HGS BLK RH</v>
          </cell>
          <cell r="F198" t="str">
            <v>DG-HOLSTER</v>
          </cell>
          <cell r="G198" t="str">
            <v>1420-210-FG</v>
          </cell>
          <cell r="H198" t="str">
            <v>F</v>
          </cell>
          <cell r="I198" t="str">
            <v>06/03/2024</v>
          </cell>
          <cell r="J198" t="str">
            <v>06/03/2024</v>
          </cell>
          <cell r="K198" t="str">
            <v>06/13/2024</v>
          </cell>
          <cell r="L198">
            <v>5</v>
          </cell>
          <cell r="M198" t="str">
            <v/>
          </cell>
          <cell r="N198" t="str">
            <v>24</v>
          </cell>
          <cell r="O198">
            <v>5</v>
          </cell>
          <cell r="P198">
            <v>1.44</v>
          </cell>
        </row>
        <row r="199">
          <cell r="A199" t="str">
            <v>6724310</v>
          </cell>
          <cell r="B199" t="str">
            <v>1125642</v>
          </cell>
          <cell r="C199" t="str">
            <v>6360-2192-481</v>
          </cell>
          <cell r="D199" t="str">
            <v>6360</v>
          </cell>
          <cell r="E199" t="str">
            <v>6360 S&amp;W M&amp;P9/40 4IN X300 STX BSK BLK RH</v>
          </cell>
          <cell r="F199" t="str">
            <v>DG-HOLSTER</v>
          </cell>
          <cell r="G199" t="str">
            <v>1420-210-FG</v>
          </cell>
          <cell r="H199" t="str">
            <v>F</v>
          </cell>
          <cell r="I199" t="str">
            <v>06/04/2024</v>
          </cell>
          <cell r="J199" t="str">
            <v>06/04/2024</v>
          </cell>
          <cell r="K199" t="str">
            <v>06/13/2024</v>
          </cell>
          <cell r="L199">
            <v>25</v>
          </cell>
          <cell r="M199" t="str">
            <v/>
          </cell>
          <cell r="N199" t="str">
            <v>24</v>
          </cell>
          <cell r="O199">
            <v>25</v>
          </cell>
          <cell r="P199">
            <v>9.39</v>
          </cell>
        </row>
        <row r="200">
          <cell r="A200" t="str">
            <v>6723397</v>
          </cell>
          <cell r="B200" t="str">
            <v>1141299</v>
          </cell>
          <cell r="C200" t="str">
            <v>6360-750-481</v>
          </cell>
          <cell r="D200" t="str">
            <v>6360</v>
          </cell>
          <cell r="E200" t="str">
            <v>6360 SIG P320C 9/40 STX BSK BLK RH</v>
          </cell>
          <cell r="F200" t="str">
            <v>DG-HOLSTER</v>
          </cell>
          <cell r="G200" t="str">
            <v>1420-210-FG</v>
          </cell>
          <cell r="H200" t="str">
            <v>F</v>
          </cell>
          <cell r="I200" t="str">
            <v>06/03/2024</v>
          </cell>
          <cell r="J200" t="str">
            <v>06/03/2024</v>
          </cell>
          <cell r="K200" t="str">
            <v>06/13/2024</v>
          </cell>
          <cell r="L200">
            <v>5</v>
          </cell>
          <cell r="M200" t="str">
            <v/>
          </cell>
          <cell r="N200" t="str">
            <v>24</v>
          </cell>
          <cell r="O200">
            <v>5</v>
          </cell>
          <cell r="P200">
            <v>1.33</v>
          </cell>
        </row>
        <row r="201">
          <cell r="A201" t="str">
            <v>6723760</v>
          </cell>
          <cell r="B201" t="str">
            <v>1206332</v>
          </cell>
          <cell r="C201" t="str">
            <v>6360RDS-2832-701</v>
          </cell>
          <cell r="D201" t="str">
            <v>6360RDS</v>
          </cell>
          <cell r="E201" t="str">
            <v>6360RDS GLOCK 19MOS X300U CORD MLTCM RH</v>
          </cell>
          <cell r="F201" t="str">
            <v>DG-HOLSTER-RDS-DTC</v>
          </cell>
          <cell r="G201" t="str">
            <v>1420-210-FG</v>
          </cell>
          <cell r="H201" t="str">
            <v>F</v>
          </cell>
          <cell r="I201" t="str">
            <v>06/03/2024</v>
          </cell>
          <cell r="J201" t="str">
            <v>06/03/2024</v>
          </cell>
          <cell r="K201" t="str">
            <v>06/13/2024</v>
          </cell>
          <cell r="L201">
            <v>15</v>
          </cell>
          <cell r="M201" t="str">
            <v/>
          </cell>
          <cell r="N201" t="str">
            <v>24</v>
          </cell>
          <cell r="O201">
            <v>15</v>
          </cell>
          <cell r="P201">
            <v>6</v>
          </cell>
        </row>
        <row r="202">
          <cell r="A202" t="str">
            <v>6723747</v>
          </cell>
          <cell r="B202" t="str">
            <v>1204133</v>
          </cell>
          <cell r="C202" t="str">
            <v>6360RDS-2832-132</v>
          </cell>
          <cell r="D202" t="str">
            <v>6360RDS</v>
          </cell>
          <cell r="E202" t="str">
            <v>6360RDS GLOCK 19MOS X300U STX TAC BLK LH</v>
          </cell>
          <cell r="F202" t="str">
            <v>DG-HOLSTER-RDS-DTC</v>
          </cell>
          <cell r="G202" t="str">
            <v>1420-210-FG</v>
          </cell>
          <cell r="H202" t="str">
            <v>F</v>
          </cell>
          <cell r="I202" t="str">
            <v>06/03/2024</v>
          </cell>
          <cell r="J202" t="str">
            <v>06/03/2024</v>
          </cell>
          <cell r="K202" t="str">
            <v>06/13/2024</v>
          </cell>
          <cell r="L202">
            <v>20</v>
          </cell>
          <cell r="M202" t="str">
            <v/>
          </cell>
          <cell r="N202" t="str">
            <v>24</v>
          </cell>
          <cell r="O202">
            <v>20</v>
          </cell>
          <cell r="P202">
            <v>8.66</v>
          </cell>
        </row>
        <row r="203">
          <cell r="A203" t="str">
            <v>6723569</v>
          </cell>
          <cell r="B203" t="str">
            <v>1326346</v>
          </cell>
          <cell r="C203" t="str">
            <v>6360RDS-582-481</v>
          </cell>
          <cell r="D203" t="str">
            <v>6360RDS</v>
          </cell>
          <cell r="E203" t="str">
            <v>6360RDS PRODIGY 4.25" X300U STX BSK RH</v>
          </cell>
          <cell r="F203" t="str">
            <v>DG-HOLSTER-RDS</v>
          </cell>
          <cell r="G203" t="str">
            <v>1420-210-FG</v>
          </cell>
          <cell r="H203" t="str">
            <v>F</v>
          </cell>
          <cell r="I203" t="str">
            <v>06/03/2024</v>
          </cell>
          <cell r="J203" t="str">
            <v>06/03/2024</v>
          </cell>
          <cell r="K203" t="str">
            <v>06/13/2024</v>
          </cell>
          <cell r="L203">
            <v>10</v>
          </cell>
          <cell r="M203" t="str">
            <v/>
          </cell>
          <cell r="N203" t="str">
            <v>24</v>
          </cell>
          <cell r="O203">
            <v>10</v>
          </cell>
          <cell r="P203">
            <v>4</v>
          </cell>
        </row>
        <row r="204">
          <cell r="A204" t="str">
            <v>6723777</v>
          </cell>
          <cell r="B204" t="str">
            <v>1335062</v>
          </cell>
          <cell r="C204" t="str">
            <v>6360RDS-572-131</v>
          </cell>
          <cell r="D204" t="str">
            <v>6360RDS</v>
          </cell>
          <cell r="E204" t="str">
            <v>6360RDS SA ECHELON X300U STX TAC BLK RH</v>
          </cell>
          <cell r="F204" t="str">
            <v>DG-HOLSTER-RDS-DTC</v>
          </cell>
          <cell r="G204" t="str">
            <v>1420-210-FG</v>
          </cell>
          <cell r="H204" t="str">
            <v>F</v>
          </cell>
          <cell r="I204" t="str">
            <v>06/03/2024</v>
          </cell>
          <cell r="J204" t="str">
            <v>06/03/2024</v>
          </cell>
          <cell r="K204" t="str">
            <v>06/13/2024</v>
          </cell>
          <cell r="L204">
            <v>50</v>
          </cell>
          <cell r="M204" t="str">
            <v/>
          </cell>
          <cell r="N204" t="str">
            <v>24</v>
          </cell>
          <cell r="O204">
            <v>50</v>
          </cell>
          <cell r="P204">
            <v>20</v>
          </cell>
        </row>
        <row r="205">
          <cell r="A205" t="str">
            <v>6724376</v>
          </cell>
          <cell r="B205" t="str">
            <v>1335062</v>
          </cell>
          <cell r="C205" t="str">
            <v>6360RDS-572-131</v>
          </cell>
          <cell r="D205" t="str">
            <v>6360RDS</v>
          </cell>
          <cell r="E205" t="str">
            <v>6360RDS SA ECHELON X300U STX TAC BLK RH</v>
          </cell>
          <cell r="F205" t="str">
            <v>DG-HOLSTER-RDS-DTC</v>
          </cell>
          <cell r="G205" t="str">
            <v>1420-210-FG</v>
          </cell>
          <cell r="H205" t="str">
            <v>F</v>
          </cell>
          <cell r="I205" t="str">
            <v>06/04/2024</v>
          </cell>
          <cell r="J205" t="str">
            <v>06/04/2024</v>
          </cell>
          <cell r="K205" t="str">
            <v>06/13/2024</v>
          </cell>
          <cell r="L205">
            <v>50</v>
          </cell>
          <cell r="M205" t="str">
            <v/>
          </cell>
          <cell r="N205" t="str">
            <v>24</v>
          </cell>
          <cell r="O205">
            <v>50</v>
          </cell>
          <cell r="P205">
            <v>20</v>
          </cell>
        </row>
        <row r="206">
          <cell r="A206" t="str">
            <v>6723755</v>
          </cell>
          <cell r="B206" t="str">
            <v>1204146</v>
          </cell>
          <cell r="C206" t="str">
            <v>6365RDS-2832-131</v>
          </cell>
          <cell r="D206" t="str">
            <v>6365RDS</v>
          </cell>
          <cell r="E206" t="str">
            <v>6365RDS GLOCK 19MOS X300U STX TAC BLK RH</v>
          </cell>
          <cell r="F206" t="str">
            <v>DG-HOLSTER-RDS-DTC</v>
          </cell>
          <cell r="G206" t="str">
            <v>1420-210-FG</v>
          </cell>
          <cell r="H206" t="str">
            <v>F</v>
          </cell>
          <cell r="I206" t="str">
            <v>06/03/2024</v>
          </cell>
          <cell r="J206" t="str">
            <v>06/03/2024</v>
          </cell>
          <cell r="K206" t="str">
            <v>06/13/2024</v>
          </cell>
          <cell r="L206">
            <v>40</v>
          </cell>
          <cell r="M206" t="str">
            <v/>
          </cell>
          <cell r="N206" t="str">
            <v>24</v>
          </cell>
          <cell r="O206">
            <v>40</v>
          </cell>
          <cell r="P206">
            <v>16</v>
          </cell>
        </row>
        <row r="207">
          <cell r="A207" t="str">
            <v>6723736</v>
          </cell>
          <cell r="B207" t="str">
            <v>1200849</v>
          </cell>
          <cell r="C207" t="str">
            <v>6390RDS-832-411</v>
          </cell>
          <cell r="D207" t="str">
            <v>6390RDS</v>
          </cell>
          <cell r="E207" t="str">
            <v>6390RDS GLOCK 17MOS X300U STX PLN BLK RH</v>
          </cell>
          <cell r="F207" t="str">
            <v>DG-HOLSTER-RDS-DTC</v>
          </cell>
          <cell r="G207" t="str">
            <v>1420-210-FG</v>
          </cell>
          <cell r="H207" t="str">
            <v>F</v>
          </cell>
          <cell r="I207" t="str">
            <v>06/03/2024</v>
          </cell>
          <cell r="J207" t="str">
            <v>06/03/2024</v>
          </cell>
          <cell r="K207" t="str">
            <v>06/13/2024</v>
          </cell>
          <cell r="L207">
            <v>30</v>
          </cell>
          <cell r="M207" t="str">
            <v/>
          </cell>
          <cell r="N207" t="str">
            <v>24</v>
          </cell>
          <cell r="O207">
            <v>30</v>
          </cell>
          <cell r="P207">
            <v>12.99</v>
          </cell>
        </row>
        <row r="208">
          <cell r="A208" t="str">
            <v>6723758</v>
          </cell>
          <cell r="B208" t="str">
            <v>1204219</v>
          </cell>
          <cell r="C208" t="str">
            <v>6390RDS-2832-132</v>
          </cell>
          <cell r="D208" t="str">
            <v>6390RDS</v>
          </cell>
          <cell r="E208" t="str">
            <v>6390RDS GLOCK 19MOS X300U STX TAC BLK LH</v>
          </cell>
          <cell r="F208" t="str">
            <v>DG-HOLSTER-RDS-DTC</v>
          </cell>
          <cell r="G208" t="str">
            <v>1420-210-FG</v>
          </cell>
          <cell r="H208" t="str">
            <v>F</v>
          </cell>
          <cell r="I208" t="str">
            <v>06/03/2024</v>
          </cell>
          <cell r="J208" t="str">
            <v>06/03/2024</v>
          </cell>
          <cell r="K208" t="str">
            <v>06/13/2024</v>
          </cell>
          <cell r="L208">
            <v>10</v>
          </cell>
          <cell r="M208" t="str">
            <v/>
          </cell>
          <cell r="N208" t="str">
            <v>24</v>
          </cell>
          <cell r="O208">
            <v>10</v>
          </cell>
          <cell r="P208">
            <v>4</v>
          </cell>
        </row>
        <row r="209">
          <cell r="A209" t="str">
            <v>6723756</v>
          </cell>
          <cell r="B209" t="str">
            <v>1204218</v>
          </cell>
          <cell r="C209" t="str">
            <v>6390RDS-2832-131</v>
          </cell>
          <cell r="D209" t="str">
            <v>6390RDS</v>
          </cell>
          <cell r="E209" t="str">
            <v>6390RDS GLOCK 19MOS X300U STX TAC BLK RH</v>
          </cell>
          <cell r="F209" t="str">
            <v>DG-HOLSTER-RDS-DTC</v>
          </cell>
          <cell r="G209" t="str">
            <v>1420-210-FG</v>
          </cell>
          <cell r="H209" t="str">
            <v>F</v>
          </cell>
          <cell r="I209" t="str">
            <v>06/03/2024</v>
          </cell>
          <cell r="J209" t="str">
            <v>06/03/2024</v>
          </cell>
          <cell r="K209" t="str">
            <v>06/13/2024</v>
          </cell>
          <cell r="L209">
            <v>50</v>
          </cell>
          <cell r="M209" t="str">
            <v/>
          </cell>
          <cell r="N209" t="str">
            <v>24</v>
          </cell>
          <cell r="O209">
            <v>50</v>
          </cell>
          <cell r="P209">
            <v>20</v>
          </cell>
        </row>
        <row r="210">
          <cell r="A210" t="str">
            <v>6723592</v>
          </cell>
          <cell r="B210" t="str">
            <v>1204856</v>
          </cell>
          <cell r="C210" t="str">
            <v>6390RDS-6832-701</v>
          </cell>
          <cell r="D210" t="str">
            <v>6390RDS</v>
          </cell>
          <cell r="E210" t="str">
            <v>6390RDS GLOCK 34/35 X300U COR MLTCM RH</v>
          </cell>
          <cell r="F210" t="str">
            <v>DG-HOLSTER-RDS</v>
          </cell>
          <cell r="G210" t="str">
            <v>1420-210-FG</v>
          </cell>
          <cell r="H210" t="str">
            <v>F</v>
          </cell>
          <cell r="I210" t="str">
            <v>06/03/2024</v>
          </cell>
          <cell r="J210" t="str">
            <v>06/03/2024</v>
          </cell>
          <cell r="K210" t="str">
            <v>06/13/2024</v>
          </cell>
          <cell r="L210">
            <v>5</v>
          </cell>
          <cell r="M210" t="str">
            <v/>
          </cell>
          <cell r="N210" t="str">
            <v>24</v>
          </cell>
          <cell r="O210">
            <v>5</v>
          </cell>
          <cell r="P210">
            <v>2</v>
          </cell>
        </row>
        <row r="211">
          <cell r="A211" t="str">
            <v>6718263</v>
          </cell>
          <cell r="B211" t="str">
            <v>1128279</v>
          </cell>
          <cell r="C211" t="str">
            <v>72-83-4B</v>
          </cell>
          <cell r="D211" t="str">
            <v>72</v>
          </cell>
          <cell r="E211" t="str">
            <v>72 GLOCK 17/22 BSK BLK</v>
          </cell>
          <cell r="F211" t="str">
            <v>DG-POUCH-F1</v>
          </cell>
          <cell r="G211" t="str">
            <v>1420-210-FG</v>
          </cell>
          <cell r="H211" t="str">
            <v>R</v>
          </cell>
          <cell r="I211" t="str">
            <v>05/22/2024</v>
          </cell>
          <cell r="J211" t="str">
            <v>05/30/2024</v>
          </cell>
          <cell r="K211" t="str">
            <v>06/13/2024</v>
          </cell>
          <cell r="L211">
            <v>5</v>
          </cell>
          <cell r="M211" t="str">
            <v>5/22/2024 12:41:21 PM</v>
          </cell>
          <cell r="N211" t="str">
            <v>24</v>
          </cell>
          <cell r="O211">
            <v>5</v>
          </cell>
          <cell r="P211">
            <v>2.2000000000000002</v>
          </cell>
        </row>
        <row r="212">
          <cell r="A212" t="str">
            <v>6717710</v>
          </cell>
          <cell r="B212" t="str">
            <v>1125205</v>
          </cell>
          <cell r="C212" t="str">
            <v>72-83-9</v>
          </cell>
          <cell r="D212" t="str">
            <v>72</v>
          </cell>
          <cell r="E212" t="str">
            <v>72 GLOCK 17/22 HI GLS BLK</v>
          </cell>
          <cell r="F212" t="str">
            <v>DG-POUCH-F1</v>
          </cell>
          <cell r="G212" t="str">
            <v>1420-210-FG</v>
          </cell>
          <cell r="H212" t="str">
            <v>R</v>
          </cell>
          <cell r="I212" t="str">
            <v>05/21/2024</v>
          </cell>
          <cell r="J212" t="str">
            <v>05/21/2024</v>
          </cell>
          <cell r="K212" t="str">
            <v>06/13/2024</v>
          </cell>
          <cell r="L212">
            <v>10</v>
          </cell>
          <cell r="M212" t="str">
            <v>5/22/2024 12:41:21 PM</v>
          </cell>
          <cell r="N212" t="str">
            <v>24</v>
          </cell>
          <cell r="O212">
            <v>10</v>
          </cell>
          <cell r="P212">
            <v>5.04</v>
          </cell>
        </row>
        <row r="213">
          <cell r="A213" t="str">
            <v>6720714</v>
          </cell>
          <cell r="B213" t="str">
            <v>1102473</v>
          </cell>
          <cell r="C213" t="str">
            <v>76-83-23PBL</v>
          </cell>
          <cell r="D213" t="str">
            <v>76</v>
          </cell>
          <cell r="E213" t="str">
            <v>76 GLOCK 17/22 STX BLK</v>
          </cell>
          <cell r="F213" t="str">
            <v>DG-POUCH-F1</v>
          </cell>
          <cell r="G213" t="str">
            <v>1420-210-FG</v>
          </cell>
          <cell r="H213" t="str">
            <v>R</v>
          </cell>
          <cell r="I213" t="str">
            <v>05/27/2024</v>
          </cell>
          <cell r="J213" t="str">
            <v>05/27/2024</v>
          </cell>
          <cell r="K213" t="str">
            <v>06/13/2024</v>
          </cell>
          <cell r="L213">
            <v>10</v>
          </cell>
          <cell r="M213" t="str">
            <v>5/29/2024 3:41:07 PM</v>
          </cell>
          <cell r="N213" t="str">
            <v>24</v>
          </cell>
          <cell r="O213">
            <v>10</v>
          </cell>
          <cell r="P213">
            <v>3.07</v>
          </cell>
        </row>
        <row r="214">
          <cell r="A214" t="str">
            <v>6718440</v>
          </cell>
          <cell r="B214" t="str">
            <v>1101913</v>
          </cell>
          <cell r="C214" t="str">
            <v>77-53-23PBL</v>
          </cell>
          <cell r="D214" t="str">
            <v>77</v>
          </cell>
          <cell r="E214" t="str">
            <v>77 COLT 1911 STX TAC BLK</v>
          </cell>
          <cell r="F214" t="str">
            <v>DG-POUCH-F1</v>
          </cell>
          <cell r="G214" t="str">
            <v>1420-210-FG</v>
          </cell>
          <cell r="H214" t="str">
            <v>R</v>
          </cell>
          <cell r="I214" t="str">
            <v>05/22/2024</v>
          </cell>
          <cell r="J214" t="str">
            <v>05/22/2024</v>
          </cell>
          <cell r="K214" t="str">
            <v>06/13/2024</v>
          </cell>
          <cell r="L214">
            <v>2</v>
          </cell>
          <cell r="M214" t="str">
            <v>5/22/2024 12:48:40 PM</v>
          </cell>
          <cell r="N214" t="str">
            <v>24</v>
          </cell>
          <cell r="O214">
            <v>2</v>
          </cell>
          <cell r="P214">
            <v>0.7</v>
          </cell>
        </row>
        <row r="215">
          <cell r="A215" t="str">
            <v>6721969</v>
          </cell>
          <cell r="B215" t="str">
            <v>1102214</v>
          </cell>
          <cell r="C215" t="str">
            <v>77-83-9HS</v>
          </cell>
          <cell r="D215" t="str">
            <v>77</v>
          </cell>
          <cell r="E215" t="str">
            <v>77 GLOCK 17/22 HI GLS BLK</v>
          </cell>
          <cell r="F215" t="str">
            <v>DG-POUCH-F1</v>
          </cell>
          <cell r="G215" t="str">
            <v>1420-210-FG</v>
          </cell>
          <cell r="H215" t="str">
            <v>R</v>
          </cell>
          <cell r="I215" t="str">
            <v>05/28/2024</v>
          </cell>
          <cell r="J215" t="str">
            <v>05/30/2024</v>
          </cell>
          <cell r="K215" t="str">
            <v>06/13/2024</v>
          </cell>
          <cell r="L215">
            <v>44</v>
          </cell>
          <cell r="M215" t="str">
            <v>5/29/2024 3:36:40 PM</v>
          </cell>
          <cell r="N215" t="str">
            <v>24</v>
          </cell>
          <cell r="O215">
            <v>44</v>
          </cell>
          <cell r="P215">
            <v>23.97</v>
          </cell>
        </row>
        <row r="216">
          <cell r="A216" t="str">
            <v>6724412</v>
          </cell>
          <cell r="B216" t="str">
            <v>1137789</v>
          </cell>
          <cell r="C216" t="str">
            <v>777-83-4PBL</v>
          </cell>
          <cell r="D216" t="str">
            <v>777</v>
          </cell>
          <cell r="E216" t="str">
            <v>777 GLOCK 17/22 BSK BLK</v>
          </cell>
          <cell r="F216" t="str">
            <v>DG-POUCH-F1</v>
          </cell>
          <cell r="G216" t="str">
            <v>1420-210-FG</v>
          </cell>
          <cell r="H216" t="str">
            <v>R</v>
          </cell>
          <cell r="I216" t="str">
            <v>06/04/2024</v>
          </cell>
          <cell r="J216" t="str">
            <v>06/04/2024</v>
          </cell>
          <cell r="K216" t="str">
            <v>06/13/2024</v>
          </cell>
          <cell r="L216">
            <v>10</v>
          </cell>
          <cell r="M216" t="str">
            <v>6/5/2024 3:03:18 PM</v>
          </cell>
          <cell r="N216" t="str">
            <v>24</v>
          </cell>
          <cell r="O216">
            <v>10</v>
          </cell>
          <cell r="P216">
            <v>5.36</v>
          </cell>
        </row>
        <row r="217">
          <cell r="A217" t="str">
            <v>6722331</v>
          </cell>
          <cell r="B217" t="str">
            <v>1141146</v>
          </cell>
          <cell r="C217" t="str">
            <v>78-83-13</v>
          </cell>
          <cell r="D217" t="str">
            <v>78</v>
          </cell>
          <cell r="E217" t="str">
            <v>78 GLOCK 17/22 STX TAC BLK</v>
          </cell>
          <cell r="F217" t="str">
            <v>DG-POUCH-F1</v>
          </cell>
          <cell r="G217" t="str">
            <v>1420-210-FG</v>
          </cell>
          <cell r="H217" t="str">
            <v>R</v>
          </cell>
          <cell r="I217" t="str">
            <v>05/30/2024</v>
          </cell>
          <cell r="J217" t="str">
            <v>05/30/2024</v>
          </cell>
          <cell r="K217" t="str">
            <v>06/13/2024</v>
          </cell>
          <cell r="L217">
            <v>1</v>
          </cell>
          <cell r="M217" t="str">
            <v>5/31/2024 12:46:00 PM</v>
          </cell>
          <cell r="N217" t="str">
            <v>24</v>
          </cell>
          <cell r="O217">
            <v>1</v>
          </cell>
          <cell r="P217">
            <v>0.41</v>
          </cell>
        </row>
        <row r="218">
          <cell r="A218" t="str">
            <v>6719489</v>
          </cell>
          <cell r="B218" t="str">
            <v>1102670</v>
          </cell>
          <cell r="C218" t="str">
            <v>87-38-8</v>
          </cell>
          <cell r="D218" t="str">
            <v>87</v>
          </cell>
          <cell r="E218" t="str">
            <v>87 SZ38 BSK BLK</v>
          </cell>
          <cell r="F218" t="str">
            <v>DG-BELT</v>
          </cell>
          <cell r="G218" t="str">
            <v>1420-210-FG</v>
          </cell>
          <cell r="H218" t="str">
            <v>R</v>
          </cell>
          <cell r="I218" t="str">
            <v>05/27/2024</v>
          </cell>
          <cell r="J218" t="str">
            <v>05/27/2024</v>
          </cell>
          <cell r="K218" t="str">
            <v>06/13/2024</v>
          </cell>
          <cell r="L218">
            <v>20</v>
          </cell>
          <cell r="M218" t="str">
            <v>5/28/2024 10:51:05 AM</v>
          </cell>
          <cell r="N218" t="str">
            <v>24</v>
          </cell>
          <cell r="O218">
            <v>20</v>
          </cell>
          <cell r="P218">
            <v>7.99</v>
          </cell>
        </row>
        <row r="219">
          <cell r="A219" t="str">
            <v>6719532</v>
          </cell>
          <cell r="B219" t="str">
            <v>1102827</v>
          </cell>
          <cell r="C219" t="str">
            <v>87-46-9</v>
          </cell>
          <cell r="D219" t="str">
            <v>87</v>
          </cell>
          <cell r="E219" t="str">
            <v>87 SZ46 HGS BLK</v>
          </cell>
          <cell r="F219" t="str">
            <v>DG-BELT</v>
          </cell>
          <cell r="G219" t="str">
            <v>1420-210-FG</v>
          </cell>
          <cell r="H219" t="str">
            <v>R</v>
          </cell>
          <cell r="I219" t="str">
            <v>05/27/2024</v>
          </cell>
          <cell r="J219" t="str">
            <v>05/27/2024</v>
          </cell>
          <cell r="K219" t="str">
            <v>06/13/2024</v>
          </cell>
          <cell r="L219">
            <v>5</v>
          </cell>
          <cell r="M219" t="str">
            <v>5/28/2024 10:51:05 AM</v>
          </cell>
          <cell r="N219" t="str">
            <v>24</v>
          </cell>
          <cell r="O219">
            <v>5</v>
          </cell>
          <cell r="P219">
            <v>1.95</v>
          </cell>
        </row>
        <row r="220">
          <cell r="A220" t="str">
            <v>6721551</v>
          </cell>
          <cell r="B220" t="str">
            <v>1102823</v>
          </cell>
          <cell r="C220" t="str">
            <v>87-46-6</v>
          </cell>
          <cell r="D220" t="str">
            <v>87</v>
          </cell>
          <cell r="E220" t="str">
            <v>87 SZ46 PLN BLK</v>
          </cell>
          <cell r="F220" t="str">
            <v>DG-BELT</v>
          </cell>
          <cell r="G220" t="str">
            <v>1420-210-FG</v>
          </cell>
          <cell r="H220" t="str">
            <v>R</v>
          </cell>
          <cell r="I220" t="str">
            <v>05/28/2024</v>
          </cell>
          <cell r="J220" t="str">
            <v>05/30/2024</v>
          </cell>
          <cell r="K220" t="str">
            <v>06/13/2024</v>
          </cell>
          <cell r="L220">
            <v>5</v>
          </cell>
          <cell r="M220" t="str">
            <v>5/28/2024 10:51:05 AM</v>
          </cell>
          <cell r="N220" t="str">
            <v>24</v>
          </cell>
          <cell r="O220">
            <v>5</v>
          </cell>
          <cell r="P220">
            <v>1.92</v>
          </cell>
        </row>
        <row r="221">
          <cell r="A221" t="str">
            <v>6721341</v>
          </cell>
          <cell r="B221" t="str">
            <v>1114713</v>
          </cell>
          <cell r="C221" t="str">
            <v>872V-42-6</v>
          </cell>
          <cell r="D221" t="str">
            <v>872V</v>
          </cell>
          <cell r="E221" t="str">
            <v>872V SZ42 PLN BLK</v>
          </cell>
          <cell r="F221" t="str">
            <v>DG-BELT</v>
          </cell>
          <cell r="G221" t="str">
            <v>1420-210-FG</v>
          </cell>
          <cell r="H221" t="str">
            <v>R</v>
          </cell>
          <cell r="I221" t="str">
            <v>05/28/2024</v>
          </cell>
          <cell r="J221" t="str">
            <v>05/28/2024</v>
          </cell>
          <cell r="K221" t="str">
            <v>06/13/2024</v>
          </cell>
          <cell r="L221">
            <v>1</v>
          </cell>
          <cell r="M221" t="str">
            <v>5/28/2024 10:51:05 AM</v>
          </cell>
          <cell r="N221" t="str">
            <v>24</v>
          </cell>
          <cell r="O221">
            <v>1</v>
          </cell>
          <cell r="P221">
            <v>0.21</v>
          </cell>
        </row>
        <row r="222">
          <cell r="A222" t="str">
            <v>6721534</v>
          </cell>
          <cell r="B222" t="str">
            <v>1102369</v>
          </cell>
          <cell r="C222" t="str">
            <v>875-38-6</v>
          </cell>
          <cell r="D222" t="str">
            <v>875</v>
          </cell>
          <cell r="E222" t="str">
            <v>875 SZ38 PLN BLK</v>
          </cell>
          <cell r="F222" t="str">
            <v>DG-BELT</v>
          </cell>
          <cell r="G222" t="str">
            <v>1420-210-FG</v>
          </cell>
          <cell r="H222" t="str">
            <v>R</v>
          </cell>
          <cell r="I222" t="str">
            <v>05/28/2024</v>
          </cell>
          <cell r="J222" t="str">
            <v>05/30/2024</v>
          </cell>
          <cell r="K222" t="str">
            <v>06/13/2024</v>
          </cell>
          <cell r="L222">
            <v>5</v>
          </cell>
          <cell r="M222" t="str">
            <v>5/28/2024 10:51:05 AM</v>
          </cell>
          <cell r="N222" t="str">
            <v>24</v>
          </cell>
          <cell r="O222">
            <v>5</v>
          </cell>
          <cell r="P222">
            <v>2.14</v>
          </cell>
        </row>
        <row r="223">
          <cell r="A223" t="str">
            <v>6721540</v>
          </cell>
          <cell r="B223" t="str">
            <v>1102526</v>
          </cell>
          <cell r="C223" t="str">
            <v>875-46-9</v>
          </cell>
          <cell r="D223" t="str">
            <v>875</v>
          </cell>
          <cell r="E223" t="str">
            <v>875 SZ46 HGS BLK</v>
          </cell>
          <cell r="F223" t="str">
            <v>DG-BELT</v>
          </cell>
          <cell r="G223" t="str">
            <v>1420-210-FG</v>
          </cell>
          <cell r="H223" t="str">
            <v>R</v>
          </cell>
          <cell r="I223" t="str">
            <v>05/28/2024</v>
          </cell>
          <cell r="J223" t="str">
            <v>05/30/2024</v>
          </cell>
          <cell r="K223" t="str">
            <v>06/13/2024</v>
          </cell>
          <cell r="L223">
            <v>5</v>
          </cell>
          <cell r="M223" t="str">
            <v>5/28/2024 10:51:05 AM</v>
          </cell>
          <cell r="N223" t="str">
            <v>24</v>
          </cell>
          <cell r="O223">
            <v>5</v>
          </cell>
          <cell r="P223">
            <v>2.31</v>
          </cell>
        </row>
        <row r="224">
          <cell r="A224" t="str">
            <v>6712274</v>
          </cell>
          <cell r="B224" t="str">
            <v>1102933</v>
          </cell>
          <cell r="C224" t="str">
            <v>87V-36-6</v>
          </cell>
          <cell r="D224" t="str">
            <v>87V</v>
          </cell>
          <cell r="E224" t="str">
            <v>87V SZ36 PLN BLK</v>
          </cell>
          <cell r="F224" t="str">
            <v>DG-BELT</v>
          </cell>
          <cell r="G224" t="str">
            <v>1420-210-FG</v>
          </cell>
          <cell r="H224" t="str">
            <v>R</v>
          </cell>
          <cell r="I224" t="str">
            <v>05/13/2024</v>
          </cell>
          <cell r="J224" t="str">
            <v>05/13/2024</v>
          </cell>
          <cell r="K224" t="str">
            <v>06/13/2024</v>
          </cell>
          <cell r="L224">
            <v>5</v>
          </cell>
          <cell r="M224" t="str">
            <v>5/17/2024 9:50:21 AM</v>
          </cell>
          <cell r="N224" t="str">
            <v>24</v>
          </cell>
          <cell r="O224">
            <v>5</v>
          </cell>
          <cell r="P224">
            <v>2.11</v>
          </cell>
        </row>
        <row r="225">
          <cell r="A225" t="str">
            <v>6721345</v>
          </cell>
          <cell r="B225" t="str">
            <v>1135496</v>
          </cell>
          <cell r="C225" t="str">
            <v>87V-38-26B</v>
          </cell>
          <cell r="D225" t="str">
            <v>87V</v>
          </cell>
          <cell r="E225" t="str">
            <v>87V SZ38 NYL BLK</v>
          </cell>
          <cell r="F225" t="str">
            <v>DG-BELT</v>
          </cell>
          <cell r="G225" t="str">
            <v>1420-210-FG</v>
          </cell>
          <cell r="H225" t="str">
            <v>R</v>
          </cell>
          <cell r="I225" t="str">
            <v>05/28/2024</v>
          </cell>
          <cell r="J225" t="str">
            <v>05/28/2024</v>
          </cell>
          <cell r="K225" t="str">
            <v>06/13/2024</v>
          </cell>
          <cell r="L225">
            <v>1</v>
          </cell>
          <cell r="M225" t="str">
            <v>5/28/2024 10:51:05 AM</v>
          </cell>
          <cell r="N225" t="str">
            <v>24</v>
          </cell>
          <cell r="O225">
            <v>1</v>
          </cell>
          <cell r="P225">
            <v>0.38</v>
          </cell>
        </row>
        <row r="226">
          <cell r="A226" t="str">
            <v>6712229</v>
          </cell>
          <cell r="B226" t="str">
            <v>1101813</v>
          </cell>
          <cell r="C226" t="str">
            <v>87V-40-6</v>
          </cell>
          <cell r="D226" t="str">
            <v>87V</v>
          </cell>
          <cell r="E226" t="str">
            <v>87V SZ40 PLN BLK</v>
          </cell>
          <cell r="F226" t="str">
            <v>DG-BELT</v>
          </cell>
          <cell r="G226" t="str">
            <v>1420-210-FG</v>
          </cell>
          <cell r="H226" t="str">
            <v>R</v>
          </cell>
          <cell r="I226" t="str">
            <v>05/13/2024</v>
          </cell>
          <cell r="J226" t="str">
            <v>05/13/2024</v>
          </cell>
          <cell r="K226" t="str">
            <v>06/13/2024</v>
          </cell>
          <cell r="L226">
            <v>5</v>
          </cell>
          <cell r="M226" t="str">
            <v>5/17/2024 9:45:21 AM</v>
          </cell>
          <cell r="N226" t="str">
            <v>24</v>
          </cell>
          <cell r="O226">
            <v>5</v>
          </cell>
          <cell r="P226">
            <v>1.92</v>
          </cell>
        </row>
        <row r="227">
          <cell r="A227" t="str">
            <v>6723213</v>
          </cell>
          <cell r="B227" t="str">
            <v>1103371</v>
          </cell>
          <cell r="C227" t="str">
            <v>94-34-2</v>
          </cell>
          <cell r="D227" t="str">
            <v>94</v>
          </cell>
          <cell r="E227" t="str">
            <v>94 SZ34 PLN BLK</v>
          </cell>
          <cell r="F227" t="str">
            <v>DG-BELT</v>
          </cell>
          <cell r="G227" t="str">
            <v>1420-210-FG</v>
          </cell>
          <cell r="H227" t="str">
            <v>R</v>
          </cell>
          <cell r="I227" t="str">
            <v>06/03/2024</v>
          </cell>
          <cell r="J227" t="str">
            <v>06/03/2024</v>
          </cell>
          <cell r="K227" t="str">
            <v>06/13/2024</v>
          </cell>
          <cell r="L227">
            <v>20</v>
          </cell>
          <cell r="M227" t="str">
            <v>6/4/2024 2:05:06 PM</v>
          </cell>
          <cell r="N227" t="str">
            <v>24</v>
          </cell>
          <cell r="O227">
            <v>20</v>
          </cell>
          <cell r="P227">
            <v>10.3</v>
          </cell>
        </row>
        <row r="228">
          <cell r="A228" t="str">
            <v>6723223</v>
          </cell>
          <cell r="B228" t="str">
            <v>1103437</v>
          </cell>
          <cell r="C228" t="str">
            <v>94-40-4</v>
          </cell>
          <cell r="D228" t="str">
            <v>94</v>
          </cell>
          <cell r="E228" t="str">
            <v>94 SZ40 BSK BLK</v>
          </cell>
          <cell r="F228" t="str">
            <v>DG-BELT</v>
          </cell>
          <cell r="G228" t="str">
            <v>1420-210-FG</v>
          </cell>
          <cell r="H228" t="str">
            <v>R</v>
          </cell>
          <cell r="I228" t="str">
            <v>06/03/2024</v>
          </cell>
          <cell r="J228" t="str">
            <v>06/03/2024</v>
          </cell>
          <cell r="K228" t="str">
            <v>06/13/2024</v>
          </cell>
          <cell r="L228">
            <v>25</v>
          </cell>
          <cell r="M228" t="str">
            <v>6/5/2024 2:55:33 PM</v>
          </cell>
          <cell r="N228" t="str">
            <v>24</v>
          </cell>
          <cell r="O228">
            <v>25</v>
          </cell>
          <cell r="P228">
            <v>13.35</v>
          </cell>
        </row>
        <row r="229">
          <cell r="A229" t="str">
            <v>6719498</v>
          </cell>
          <cell r="B229" t="str">
            <v>1103433</v>
          </cell>
          <cell r="C229" t="str">
            <v>94-40-2</v>
          </cell>
          <cell r="D229" t="str">
            <v>94</v>
          </cell>
          <cell r="E229" t="str">
            <v>94 SZ40 PLN BLK</v>
          </cell>
          <cell r="F229" t="str">
            <v>DG-BELT</v>
          </cell>
          <cell r="G229" t="str">
            <v>1420-210-FG</v>
          </cell>
          <cell r="H229" t="str">
            <v>R</v>
          </cell>
          <cell r="I229" t="str">
            <v>05/27/2024</v>
          </cell>
          <cell r="J229" t="str">
            <v>05/27/2024</v>
          </cell>
          <cell r="K229" t="str">
            <v>06/13/2024</v>
          </cell>
          <cell r="L229">
            <v>49</v>
          </cell>
          <cell r="M229" t="str">
            <v>5/29/2024 3:56:58 PM</v>
          </cell>
          <cell r="N229" t="str">
            <v>24</v>
          </cell>
          <cell r="O229">
            <v>49</v>
          </cell>
          <cell r="P229">
            <v>25.25</v>
          </cell>
        </row>
        <row r="230">
          <cell r="A230" t="str">
            <v>6719499</v>
          </cell>
          <cell r="B230" t="str">
            <v>1103433</v>
          </cell>
          <cell r="C230" t="str">
            <v>94-40-2</v>
          </cell>
          <cell r="D230" t="str">
            <v>94</v>
          </cell>
          <cell r="E230" t="str">
            <v>94 SZ40 PLN BLK</v>
          </cell>
          <cell r="F230" t="str">
            <v>DG-BELT</v>
          </cell>
          <cell r="G230" t="str">
            <v>1420-210-FG</v>
          </cell>
          <cell r="H230" t="str">
            <v>R</v>
          </cell>
          <cell r="I230" t="str">
            <v>05/27/2024</v>
          </cell>
          <cell r="J230" t="str">
            <v>05/27/2024</v>
          </cell>
          <cell r="K230" t="str">
            <v>06/13/2024</v>
          </cell>
          <cell r="L230">
            <v>30</v>
          </cell>
          <cell r="M230" t="str">
            <v>5/29/2024 3:57:08 PM</v>
          </cell>
          <cell r="N230" t="str">
            <v>24</v>
          </cell>
          <cell r="O230">
            <v>30</v>
          </cell>
          <cell r="P230">
            <v>15.45</v>
          </cell>
        </row>
        <row r="231">
          <cell r="A231" t="str">
            <v>6723228</v>
          </cell>
          <cell r="B231" t="str">
            <v>1103490</v>
          </cell>
          <cell r="C231" t="str">
            <v>94-42-4</v>
          </cell>
          <cell r="D231" t="str">
            <v>94</v>
          </cell>
          <cell r="E231" t="str">
            <v>94 SZ42 BSK BLK</v>
          </cell>
          <cell r="F231" t="str">
            <v>DG-BELT</v>
          </cell>
          <cell r="G231" t="str">
            <v>1420-210-FG</v>
          </cell>
          <cell r="H231" t="str">
            <v>R</v>
          </cell>
          <cell r="I231" t="str">
            <v>06/03/2024</v>
          </cell>
          <cell r="J231" t="str">
            <v>06/03/2024</v>
          </cell>
          <cell r="K231" t="str">
            <v>06/13/2024</v>
          </cell>
          <cell r="L231">
            <v>10</v>
          </cell>
          <cell r="M231" t="str">
            <v>6/5/2024 2:55:33 PM</v>
          </cell>
          <cell r="N231" t="str">
            <v>24</v>
          </cell>
          <cell r="O231">
            <v>10</v>
          </cell>
          <cell r="P231">
            <v>5.35</v>
          </cell>
        </row>
        <row r="232">
          <cell r="A232" t="str">
            <v>6714067</v>
          </cell>
          <cell r="B232" t="str">
            <v>1103491</v>
          </cell>
          <cell r="C232" t="str">
            <v>94-42-9</v>
          </cell>
          <cell r="D232" t="str">
            <v>94</v>
          </cell>
          <cell r="E232" t="str">
            <v>94 SZ42 HGS BLK</v>
          </cell>
          <cell r="F232" t="str">
            <v>DG-BELT</v>
          </cell>
          <cell r="G232" t="str">
            <v>1420-210-FG</v>
          </cell>
          <cell r="H232" t="str">
            <v>R</v>
          </cell>
          <cell r="I232" t="str">
            <v>05/14/2024</v>
          </cell>
          <cell r="J232" t="str">
            <v>05/14/2024</v>
          </cell>
          <cell r="K232" t="str">
            <v>06/13/2024</v>
          </cell>
          <cell r="L232">
            <v>5</v>
          </cell>
          <cell r="M232" t="str">
            <v>5/17/2024 9:50:21 AM</v>
          </cell>
          <cell r="N232" t="str">
            <v>24</v>
          </cell>
          <cell r="O232">
            <v>5</v>
          </cell>
          <cell r="P232">
            <v>2.64</v>
          </cell>
        </row>
        <row r="233">
          <cell r="A233" t="str">
            <v>6723264</v>
          </cell>
          <cell r="B233" t="str">
            <v>1103503</v>
          </cell>
          <cell r="C233" t="str">
            <v>94-46-4</v>
          </cell>
          <cell r="D233" t="str">
            <v>94</v>
          </cell>
          <cell r="E233" t="str">
            <v>94 SZ46 BSK BLK</v>
          </cell>
          <cell r="F233" t="str">
            <v>DG-BELT</v>
          </cell>
          <cell r="G233" t="str">
            <v>1420-210-FG</v>
          </cell>
          <cell r="H233" t="str">
            <v>R</v>
          </cell>
          <cell r="I233" t="str">
            <v>06/03/2024</v>
          </cell>
          <cell r="J233" t="str">
            <v>06/03/2024</v>
          </cell>
          <cell r="K233" t="str">
            <v>06/13/2024</v>
          </cell>
          <cell r="L233">
            <v>5</v>
          </cell>
          <cell r="M233" t="str">
            <v>6/5/2024 2:55:33 PM</v>
          </cell>
          <cell r="N233" t="str">
            <v>24</v>
          </cell>
          <cell r="O233">
            <v>5</v>
          </cell>
          <cell r="P233">
            <v>2.67</v>
          </cell>
        </row>
        <row r="234">
          <cell r="A234" t="str">
            <v>6719557</v>
          </cell>
          <cell r="B234" t="str">
            <v>1192621</v>
          </cell>
          <cell r="C234" t="str">
            <v>94B-3-2-EB</v>
          </cell>
          <cell r="D234" t="str">
            <v>94B</v>
          </cell>
          <cell r="E234" t="str">
            <v>94B SZ LG PLN BLK</v>
          </cell>
          <cell r="F234" t="str">
            <v>DG-BELT</v>
          </cell>
          <cell r="G234" t="str">
            <v>1420-210-FG</v>
          </cell>
          <cell r="H234" t="str">
            <v>R</v>
          </cell>
          <cell r="I234" t="str">
            <v>05/27/2024</v>
          </cell>
          <cell r="J234" t="str">
            <v>05/27/2024</v>
          </cell>
          <cell r="K234" t="str">
            <v>06/13/2024</v>
          </cell>
          <cell r="L234">
            <v>13</v>
          </cell>
          <cell r="M234" t="str">
            <v>5/28/2024 10:51:05 AM</v>
          </cell>
          <cell r="N234" t="str">
            <v>24</v>
          </cell>
          <cell r="O234">
            <v>13</v>
          </cell>
          <cell r="P234">
            <v>4.24</v>
          </cell>
        </row>
        <row r="235">
          <cell r="A235" t="str">
            <v>6723240</v>
          </cell>
          <cell r="B235" t="str">
            <v>1192621</v>
          </cell>
          <cell r="C235" t="str">
            <v>94B-3-2-EB</v>
          </cell>
          <cell r="D235" t="str">
            <v>94B</v>
          </cell>
          <cell r="E235" t="str">
            <v>94B SZ LG PLN BLK</v>
          </cell>
          <cell r="F235" t="str">
            <v>DG-BELT</v>
          </cell>
          <cell r="G235" t="str">
            <v>1420-210-FG</v>
          </cell>
          <cell r="H235" t="str">
            <v>R</v>
          </cell>
          <cell r="I235" t="str">
            <v>06/03/2024</v>
          </cell>
          <cell r="J235" t="str">
            <v>06/03/2024</v>
          </cell>
          <cell r="K235" t="str">
            <v>06/13/2024</v>
          </cell>
          <cell r="L235">
            <v>10</v>
          </cell>
          <cell r="M235" t="str">
            <v>6/5/2024 2:55:33 PM</v>
          </cell>
          <cell r="N235" t="str">
            <v>24</v>
          </cell>
          <cell r="O235">
            <v>10</v>
          </cell>
          <cell r="P235">
            <v>3.26</v>
          </cell>
        </row>
        <row r="236">
          <cell r="A236" t="str">
            <v>6720689</v>
          </cell>
          <cell r="B236" t="str">
            <v>1099198</v>
          </cell>
          <cell r="C236" t="str">
            <v>35-F26-23</v>
          </cell>
          <cell r="D236" t="str">
            <v>35</v>
          </cell>
          <cell r="E236" t="str">
            <v>BATON HOLDER</v>
          </cell>
          <cell r="F236" t="str">
            <v>DG-POUCH-F1</v>
          </cell>
          <cell r="G236" t="str">
            <v>1420-210-FG</v>
          </cell>
          <cell r="H236" t="str">
            <v>R</v>
          </cell>
          <cell r="I236" t="str">
            <v>05/27/2024</v>
          </cell>
          <cell r="J236" t="str">
            <v>05/27/2024</v>
          </cell>
          <cell r="K236" t="str">
            <v>06/13/2024</v>
          </cell>
          <cell r="L236">
            <v>10</v>
          </cell>
          <cell r="M236" t="str">
            <v>5/29/2024 3:24:12 PM</v>
          </cell>
          <cell r="N236" t="str">
            <v>24</v>
          </cell>
          <cell r="O236">
            <v>10</v>
          </cell>
          <cell r="P236">
            <v>4.5999999999999996</v>
          </cell>
        </row>
        <row r="237">
          <cell r="A237" t="str">
            <v>6725702</v>
          </cell>
          <cell r="B237" t="str">
            <v>1166708</v>
          </cell>
          <cell r="C237" t="str">
            <v>MH6005-FDE</v>
          </cell>
          <cell r="D237" t="str">
            <v>MH6005</v>
          </cell>
          <cell r="E237" t="str">
            <v>DETACHABLE HRNSS /DOUBLE ELSTIC 6005 FDE</v>
          </cell>
          <cell r="F237" t="str">
            <v>DG-HARNESS</v>
          </cell>
          <cell r="G237" t="str">
            <v>1420-210-SB</v>
          </cell>
          <cell r="H237" t="str">
            <v>R</v>
          </cell>
          <cell r="I237" t="str">
            <v>06/06/2024</v>
          </cell>
          <cell r="J237" t="str">
            <v>06/06/2024</v>
          </cell>
          <cell r="K237" t="str">
            <v>06/13/2024</v>
          </cell>
          <cell r="L237">
            <v>9</v>
          </cell>
          <cell r="M237" t="str">
            <v>6/13/2024 8:22:47 AM</v>
          </cell>
          <cell r="N237" t="str">
            <v>24</v>
          </cell>
          <cell r="O237">
            <v>9</v>
          </cell>
          <cell r="P237">
            <v>2.57</v>
          </cell>
        </row>
        <row r="238">
          <cell r="A238" t="str">
            <v>6725659</v>
          </cell>
          <cell r="B238" t="str">
            <v>1015591</v>
          </cell>
          <cell r="C238" t="str">
            <v>12295</v>
          </cell>
          <cell r="D238" t="str">
            <v>B9</v>
          </cell>
          <cell r="E238" t="str">
            <v>FANCY STITCHED BELT TAN SZ 40 BRASS</v>
          </cell>
          <cell r="F238" t="str">
            <v>BN-LEATHER</v>
          </cell>
          <cell r="G238" t="str">
            <v>1420-210-FG</v>
          </cell>
          <cell r="H238" t="str">
            <v>R</v>
          </cell>
          <cell r="I238" t="str">
            <v>06/06/2024</v>
          </cell>
          <cell r="J238" t="str">
            <v>06/06/2024</v>
          </cell>
          <cell r="K238" t="str">
            <v>06/13/2024</v>
          </cell>
          <cell r="L238">
            <v>10</v>
          </cell>
          <cell r="M238" t="str">
            <v>6/7/2024 11:28:48 AM</v>
          </cell>
          <cell r="N238" t="str">
            <v>24</v>
          </cell>
          <cell r="O238">
            <v>10</v>
          </cell>
          <cell r="P238">
            <v>4.88</v>
          </cell>
        </row>
        <row r="239">
          <cell r="A239" t="str">
            <v>6717257</v>
          </cell>
          <cell r="B239" t="str">
            <v>1151245</v>
          </cell>
          <cell r="C239" t="str">
            <v>40-5-23PBL</v>
          </cell>
          <cell r="D239" t="str">
            <v>40</v>
          </cell>
          <cell r="E239" t="str">
            <v>FLASH BAND HOLDER</v>
          </cell>
          <cell r="F239" t="str">
            <v>DG-POUCH-F1</v>
          </cell>
          <cell r="G239" t="str">
            <v>1420-210-FG</v>
          </cell>
          <cell r="H239" t="str">
            <v>R</v>
          </cell>
          <cell r="I239" t="str">
            <v>05/20/2024</v>
          </cell>
          <cell r="J239" t="str">
            <v>05/20/2024</v>
          </cell>
          <cell r="K239" t="str">
            <v>06/13/2024</v>
          </cell>
          <cell r="L239">
            <v>5</v>
          </cell>
          <cell r="M239" t="str">
            <v>5/22/2024 12:53:57 PM</v>
          </cell>
          <cell r="N239" t="str">
            <v>24</v>
          </cell>
          <cell r="O239">
            <v>5</v>
          </cell>
          <cell r="P239">
            <v>1.68</v>
          </cell>
        </row>
        <row r="240">
          <cell r="A240" t="str">
            <v>6719548</v>
          </cell>
          <cell r="B240" t="str">
            <v>1103581</v>
          </cell>
          <cell r="C240" t="str">
            <v>999-5-4</v>
          </cell>
          <cell r="D240" t="str">
            <v>999</v>
          </cell>
          <cell r="E240" t="str">
            <v>GARRISON BELT VELCRO</v>
          </cell>
          <cell r="F240" t="str">
            <v>DG-BELT</v>
          </cell>
          <cell r="G240" t="str">
            <v>1420-210-FG</v>
          </cell>
          <cell r="H240" t="str">
            <v>R</v>
          </cell>
          <cell r="I240" t="str">
            <v>05/27/2024</v>
          </cell>
          <cell r="J240" t="str">
            <v>05/27/2024</v>
          </cell>
          <cell r="K240" t="str">
            <v>06/13/2024</v>
          </cell>
          <cell r="L240">
            <v>5</v>
          </cell>
          <cell r="M240" t="str">
            <v>5/28/2024 10:51:05 AM</v>
          </cell>
          <cell r="N240" t="str">
            <v>24</v>
          </cell>
          <cell r="O240">
            <v>5</v>
          </cell>
          <cell r="P240">
            <v>3.29</v>
          </cell>
        </row>
        <row r="241">
          <cell r="A241" t="str">
            <v>6712222</v>
          </cell>
          <cell r="B241" t="str">
            <v>1100597</v>
          </cell>
          <cell r="C241" t="str">
            <v>51-36-03</v>
          </cell>
          <cell r="D241" t="str">
            <v>51</v>
          </cell>
          <cell r="E241" t="str">
            <v>GARRISON W/ SUARE BUCKLE</v>
          </cell>
          <cell r="F241" t="str">
            <v>DG-BELT</v>
          </cell>
          <cell r="G241" t="str">
            <v>1420-210-FG</v>
          </cell>
          <cell r="H241" t="str">
            <v>R</v>
          </cell>
          <cell r="I241" t="str">
            <v>05/13/2024</v>
          </cell>
          <cell r="J241" t="str">
            <v>05/13/2024</v>
          </cell>
          <cell r="K241" t="str">
            <v>06/13/2024</v>
          </cell>
          <cell r="L241">
            <v>4</v>
          </cell>
          <cell r="M241" t="str">
            <v>6/12/2024 4:29:03 PM</v>
          </cell>
          <cell r="N241" t="str">
            <v>24</v>
          </cell>
          <cell r="O241">
            <v>4</v>
          </cell>
          <cell r="P241">
            <v>1.43</v>
          </cell>
        </row>
        <row r="242">
          <cell r="A242" t="str">
            <v>6712221</v>
          </cell>
          <cell r="B242" t="str">
            <v>1100582</v>
          </cell>
          <cell r="C242" t="str">
            <v>51-32-2</v>
          </cell>
          <cell r="D242" t="str">
            <v>51</v>
          </cell>
          <cell r="E242" t="str">
            <v>GARRISON W/SQUARE BUCKLE</v>
          </cell>
          <cell r="F242" t="str">
            <v>DG-BELT</v>
          </cell>
          <cell r="G242" t="str">
            <v>1420-210-FG</v>
          </cell>
          <cell r="H242" t="str">
            <v>R</v>
          </cell>
          <cell r="I242" t="str">
            <v>05/13/2024</v>
          </cell>
          <cell r="J242" t="str">
            <v>05/13/2024</v>
          </cell>
          <cell r="K242" t="str">
            <v>06/13/2024</v>
          </cell>
          <cell r="L242">
            <v>10</v>
          </cell>
          <cell r="M242" t="str">
            <v>5/15/2024 10:21:19 AM</v>
          </cell>
          <cell r="N242" t="str">
            <v>24</v>
          </cell>
          <cell r="O242">
            <v>10</v>
          </cell>
          <cell r="P242">
            <v>3.27</v>
          </cell>
        </row>
        <row r="243">
          <cell r="A243" t="str">
            <v>6719513</v>
          </cell>
          <cell r="B243" t="str">
            <v>1100591</v>
          </cell>
          <cell r="C243" t="str">
            <v>51-34-2</v>
          </cell>
          <cell r="D243" t="str">
            <v>51</v>
          </cell>
          <cell r="E243" t="str">
            <v>GARRISON W/SQUARE BUCKLE</v>
          </cell>
          <cell r="F243" t="str">
            <v>DG-BELT</v>
          </cell>
          <cell r="G243" t="str">
            <v>1420-210-FG</v>
          </cell>
          <cell r="H243" t="str">
            <v>R</v>
          </cell>
          <cell r="I243" t="str">
            <v>05/27/2024</v>
          </cell>
          <cell r="J243" t="str">
            <v>05/27/2024</v>
          </cell>
          <cell r="K243" t="str">
            <v>06/13/2024</v>
          </cell>
          <cell r="L243">
            <v>10</v>
          </cell>
          <cell r="M243" t="str">
            <v>5/28/2024 10:51:05 AM</v>
          </cell>
          <cell r="N243" t="str">
            <v>24</v>
          </cell>
          <cell r="O243">
            <v>10</v>
          </cell>
          <cell r="P243">
            <v>3.27</v>
          </cell>
        </row>
        <row r="244">
          <cell r="A244" t="str">
            <v>6719512</v>
          </cell>
          <cell r="B244" t="str">
            <v>1100504</v>
          </cell>
          <cell r="C244" t="str">
            <v>51-38-2</v>
          </cell>
          <cell r="D244" t="str">
            <v>51</v>
          </cell>
          <cell r="E244" t="str">
            <v>GARRISON W/SQUARE BUCKLE</v>
          </cell>
          <cell r="F244" t="str">
            <v>DG-BELT</v>
          </cell>
          <cell r="G244" t="str">
            <v>1420-210-FG</v>
          </cell>
          <cell r="H244" t="str">
            <v>R</v>
          </cell>
          <cell r="I244" t="str">
            <v>05/27/2024</v>
          </cell>
          <cell r="J244" t="str">
            <v>05/27/2024</v>
          </cell>
          <cell r="K244" t="str">
            <v>06/13/2024</v>
          </cell>
          <cell r="L244">
            <v>5</v>
          </cell>
          <cell r="M244" t="str">
            <v>5/28/2024 10:51:05 AM</v>
          </cell>
          <cell r="N244" t="str">
            <v>24</v>
          </cell>
          <cell r="O244">
            <v>5</v>
          </cell>
          <cell r="P244">
            <v>1.65</v>
          </cell>
        </row>
        <row r="245">
          <cell r="A245" t="str">
            <v>6712218</v>
          </cell>
          <cell r="B245" t="str">
            <v>1100506</v>
          </cell>
          <cell r="C245" t="str">
            <v>51-38-2B</v>
          </cell>
          <cell r="D245" t="str">
            <v>51</v>
          </cell>
          <cell r="E245" t="str">
            <v>GARRISON W/SQUARE BUCKLE</v>
          </cell>
          <cell r="F245" t="str">
            <v>DG-BELT</v>
          </cell>
          <cell r="G245" t="str">
            <v>1420-210-FG</v>
          </cell>
          <cell r="H245" t="str">
            <v>R</v>
          </cell>
          <cell r="I245" t="str">
            <v>05/13/2024</v>
          </cell>
          <cell r="J245" t="str">
            <v>05/13/2024</v>
          </cell>
          <cell r="K245" t="str">
            <v>06/13/2024</v>
          </cell>
          <cell r="L245">
            <v>5</v>
          </cell>
          <cell r="M245" t="str">
            <v>5/15/2024 10:21:19 AM</v>
          </cell>
          <cell r="N245" t="str">
            <v>24</v>
          </cell>
          <cell r="O245">
            <v>5</v>
          </cell>
          <cell r="P245">
            <v>1.65</v>
          </cell>
        </row>
        <row r="246">
          <cell r="A246" t="str">
            <v>6712225</v>
          </cell>
          <cell r="B246" t="str">
            <v>1100682</v>
          </cell>
          <cell r="C246" t="str">
            <v>51-46-2B</v>
          </cell>
          <cell r="D246" t="str">
            <v>51</v>
          </cell>
          <cell r="E246" t="str">
            <v>GARRISON W/SQUARE BUCKLE</v>
          </cell>
          <cell r="F246" t="str">
            <v>DG-BELT</v>
          </cell>
          <cell r="G246" t="str">
            <v>1420-210-FG</v>
          </cell>
          <cell r="H246" t="str">
            <v>R</v>
          </cell>
          <cell r="I246" t="str">
            <v>05/13/2024</v>
          </cell>
          <cell r="J246" t="str">
            <v>05/13/2024</v>
          </cell>
          <cell r="K246" t="str">
            <v>06/13/2024</v>
          </cell>
          <cell r="L246">
            <v>5</v>
          </cell>
          <cell r="M246" t="str">
            <v>5/15/2024 10:21:19 AM</v>
          </cell>
          <cell r="N246" t="str">
            <v>24</v>
          </cell>
          <cell r="O246">
            <v>5</v>
          </cell>
          <cell r="P246">
            <v>1.65</v>
          </cell>
        </row>
        <row r="247">
          <cell r="A247" t="str">
            <v>6717247</v>
          </cell>
          <cell r="B247" t="str">
            <v>1122370</v>
          </cell>
          <cell r="C247" t="str">
            <v>308-4-23PBL</v>
          </cell>
          <cell r="D247" t="str">
            <v>308</v>
          </cell>
          <cell r="E247" t="str">
            <v>HAND-HELD LIGHT HOLDER W/FLAP</v>
          </cell>
          <cell r="F247" t="str">
            <v>DG-POUCH-F1</v>
          </cell>
          <cell r="G247" t="str">
            <v>1420-210-FG</v>
          </cell>
          <cell r="H247" t="str">
            <v>R</v>
          </cell>
          <cell r="I247" t="str">
            <v>05/20/2024</v>
          </cell>
          <cell r="J247" t="str">
            <v>05/20/2024</v>
          </cell>
          <cell r="K247" t="str">
            <v>06/13/2024</v>
          </cell>
          <cell r="L247">
            <v>5</v>
          </cell>
          <cell r="M247" t="str">
            <v>5/22/2024 12:53:57 PM</v>
          </cell>
          <cell r="N247" t="str">
            <v>24</v>
          </cell>
          <cell r="O247">
            <v>5</v>
          </cell>
          <cell r="P247">
            <v>1.78</v>
          </cell>
        </row>
        <row r="248">
          <cell r="A248" t="str">
            <v>6721332</v>
          </cell>
          <cell r="B248" t="str">
            <v>1097040</v>
          </cell>
          <cell r="C248" t="str">
            <v>190H-4B</v>
          </cell>
          <cell r="D248" t="str">
            <v>190H</v>
          </cell>
          <cell r="E248" t="str">
            <v>HANDCUFF POUCH TOP FLAP</v>
          </cell>
          <cell r="F248" t="str">
            <v>DG-POUCH-F1</v>
          </cell>
          <cell r="G248" t="str">
            <v>1420-210-FG</v>
          </cell>
          <cell r="H248" t="str">
            <v>R</v>
          </cell>
          <cell r="I248" t="str">
            <v>05/28/2024</v>
          </cell>
          <cell r="J248" t="str">
            <v>05/28/2024</v>
          </cell>
          <cell r="K248" t="str">
            <v>06/13/2024</v>
          </cell>
          <cell r="L248">
            <v>1</v>
          </cell>
          <cell r="M248" t="str">
            <v>5/29/2024 3:29:07 PM</v>
          </cell>
          <cell r="N248" t="str">
            <v>24</v>
          </cell>
          <cell r="O248">
            <v>1</v>
          </cell>
          <cell r="P248">
            <v>0.4</v>
          </cell>
        </row>
        <row r="249">
          <cell r="A249" t="str">
            <v>6721974</v>
          </cell>
          <cell r="B249" t="str">
            <v>1103240</v>
          </cell>
          <cell r="C249" t="str">
            <v>90-2</v>
          </cell>
          <cell r="D249" t="str">
            <v>90</v>
          </cell>
          <cell r="E249" t="str">
            <v>HANDCUFF POUCHTOP FLAP</v>
          </cell>
          <cell r="F249" t="str">
            <v>DG-POUCH-F1</v>
          </cell>
          <cell r="G249" t="str">
            <v>1420-210-FG</v>
          </cell>
          <cell r="H249" t="str">
            <v>R</v>
          </cell>
          <cell r="I249" t="str">
            <v>05/28/2024</v>
          </cell>
          <cell r="J249" t="str">
            <v>05/30/2024</v>
          </cell>
          <cell r="K249" t="str">
            <v>06/13/2024</v>
          </cell>
          <cell r="L249">
            <v>40</v>
          </cell>
          <cell r="M249" t="str">
            <v>5/29/2024 3:29:07 PM</v>
          </cell>
          <cell r="N249" t="str">
            <v>24</v>
          </cell>
          <cell r="O249">
            <v>40</v>
          </cell>
          <cell r="P249">
            <v>13.63</v>
          </cell>
        </row>
        <row r="250">
          <cell r="A250" t="str">
            <v>6723941</v>
          </cell>
          <cell r="B250" t="str">
            <v>1103251</v>
          </cell>
          <cell r="C250" t="str">
            <v>90-4HS</v>
          </cell>
          <cell r="D250" t="str">
            <v>90</v>
          </cell>
          <cell r="E250" t="str">
            <v>HANDCUFF POUCHTOP FLAP</v>
          </cell>
          <cell r="F250" t="str">
            <v>DG-POUCH-F1</v>
          </cell>
          <cell r="G250" t="str">
            <v>1420-210-FG</v>
          </cell>
          <cell r="H250" t="str">
            <v>R</v>
          </cell>
          <cell r="I250" t="str">
            <v>06/03/2024</v>
          </cell>
          <cell r="J250" t="str">
            <v>06/03/2024</v>
          </cell>
          <cell r="K250" t="str">
            <v>06/13/2024</v>
          </cell>
          <cell r="L250">
            <v>100</v>
          </cell>
          <cell r="M250" t="str">
            <v>6/3/2024 3:41:13 PM</v>
          </cell>
          <cell r="N250" t="str">
            <v>24</v>
          </cell>
          <cell r="O250">
            <v>100</v>
          </cell>
          <cell r="P250">
            <v>36.01</v>
          </cell>
        </row>
        <row r="251">
          <cell r="A251" t="str">
            <v>6723942</v>
          </cell>
          <cell r="B251" t="str">
            <v>1103251</v>
          </cell>
          <cell r="C251" t="str">
            <v>90-4HS</v>
          </cell>
          <cell r="D251" t="str">
            <v>90</v>
          </cell>
          <cell r="E251" t="str">
            <v>HANDCUFF POUCHTOP FLAP</v>
          </cell>
          <cell r="F251" t="str">
            <v>DG-POUCH-F1</v>
          </cell>
          <cell r="G251" t="str">
            <v>1420-210-FG</v>
          </cell>
          <cell r="H251" t="str">
            <v>R</v>
          </cell>
          <cell r="I251" t="str">
            <v>06/03/2024</v>
          </cell>
          <cell r="J251" t="str">
            <v>06/03/2024</v>
          </cell>
          <cell r="K251" t="str">
            <v>06/13/2024</v>
          </cell>
          <cell r="L251">
            <v>100</v>
          </cell>
          <cell r="M251" t="str">
            <v>6/3/2024 3:41:13 PM</v>
          </cell>
          <cell r="N251" t="str">
            <v>24</v>
          </cell>
          <cell r="O251">
            <v>100</v>
          </cell>
          <cell r="P251">
            <v>36.01</v>
          </cell>
        </row>
        <row r="252">
          <cell r="A252" t="str">
            <v>6723944</v>
          </cell>
          <cell r="B252" t="str">
            <v>1103276</v>
          </cell>
          <cell r="C252" t="str">
            <v>90H-4</v>
          </cell>
          <cell r="D252" t="str">
            <v>90H</v>
          </cell>
          <cell r="E252" t="str">
            <v>HANDCUFF POUCHTOP FLAP</v>
          </cell>
          <cell r="F252" t="str">
            <v>DG-POUCH-F1</v>
          </cell>
          <cell r="G252" t="str">
            <v>1420-210-FG</v>
          </cell>
          <cell r="H252" t="str">
            <v>R</v>
          </cell>
          <cell r="I252" t="str">
            <v>06/03/2024</v>
          </cell>
          <cell r="J252" t="str">
            <v>06/03/2024</v>
          </cell>
          <cell r="K252" t="str">
            <v>06/13/2024</v>
          </cell>
          <cell r="L252">
            <v>10</v>
          </cell>
          <cell r="M252" t="str">
            <v>6/3/2024 3:41:13 PM</v>
          </cell>
          <cell r="N252" t="str">
            <v>24</v>
          </cell>
          <cell r="O252">
            <v>10</v>
          </cell>
          <cell r="P252">
            <v>3.56</v>
          </cell>
        </row>
        <row r="253">
          <cell r="A253" t="str">
            <v>6721316</v>
          </cell>
          <cell r="B253" t="str">
            <v>1103279</v>
          </cell>
          <cell r="C253" t="str">
            <v>90H-4HS</v>
          </cell>
          <cell r="D253" t="str">
            <v>90H</v>
          </cell>
          <cell r="E253" t="str">
            <v>HANDCUFF POUCHTOP FLAP</v>
          </cell>
          <cell r="F253" t="str">
            <v>DG-POUCH-F1</v>
          </cell>
          <cell r="G253" t="str">
            <v>1420-210-FG</v>
          </cell>
          <cell r="H253" t="str">
            <v>R</v>
          </cell>
          <cell r="I253" t="str">
            <v>05/28/2024</v>
          </cell>
          <cell r="J253" t="str">
            <v>05/28/2024</v>
          </cell>
          <cell r="K253" t="str">
            <v>06/13/2024</v>
          </cell>
          <cell r="L253">
            <v>50</v>
          </cell>
          <cell r="M253" t="str">
            <v>5/29/2024 3:29:07 PM</v>
          </cell>
          <cell r="N253" t="str">
            <v>24</v>
          </cell>
          <cell r="O253">
            <v>50</v>
          </cell>
          <cell r="P253">
            <v>18.010000000000002</v>
          </cell>
        </row>
        <row r="254">
          <cell r="A254" t="str">
            <v>6724517</v>
          </cell>
          <cell r="B254" t="str">
            <v>1167164</v>
          </cell>
          <cell r="C254" t="str">
            <v>MH6004-10-BLK</v>
          </cell>
          <cell r="D254" t="str">
            <v>MH6004</v>
          </cell>
          <cell r="E254" t="str">
            <v>HARNESS W/SINGLE ELASTIC FOR 6004-10 BKA</v>
          </cell>
          <cell r="F254" t="str">
            <v>DG-HARNESS-DTC</v>
          </cell>
          <cell r="G254" t="str">
            <v>1420-210-SB</v>
          </cell>
          <cell r="H254" t="str">
            <v>F</v>
          </cell>
          <cell r="I254" t="str">
            <v>06/04/2024</v>
          </cell>
          <cell r="J254" t="str">
            <v>06/04/2024</v>
          </cell>
          <cell r="K254" t="str">
            <v>06/13/2024</v>
          </cell>
          <cell r="L254">
            <v>25</v>
          </cell>
          <cell r="M254" t="str">
            <v/>
          </cell>
          <cell r="N254" t="str">
            <v>24</v>
          </cell>
          <cell r="O254">
            <v>25</v>
          </cell>
          <cell r="P254">
            <v>6.15</v>
          </cell>
        </row>
        <row r="255">
          <cell r="A255" t="str">
            <v>6725030</v>
          </cell>
          <cell r="B255" t="str">
            <v>1167164</v>
          </cell>
          <cell r="C255" t="str">
            <v>MH6004-10-BLK</v>
          </cell>
          <cell r="D255" t="str">
            <v>MH6004</v>
          </cell>
          <cell r="E255" t="str">
            <v>HARNESS W/SINGLE ELASTIC FOR 6004-10 BKA</v>
          </cell>
          <cell r="F255" t="str">
            <v>DG-HARNESS-DTC</v>
          </cell>
          <cell r="G255" t="str">
            <v>1420-210-SB</v>
          </cell>
          <cell r="H255" t="str">
            <v>R</v>
          </cell>
          <cell r="I255" t="str">
            <v>06/05/2024</v>
          </cell>
          <cell r="J255" t="str">
            <v>06/05/2024</v>
          </cell>
          <cell r="K255" t="str">
            <v>06/13/2024</v>
          </cell>
          <cell r="L255">
            <v>5</v>
          </cell>
          <cell r="M255" t="str">
            <v>6/13/2024 8:22:47 AM</v>
          </cell>
          <cell r="N255" t="str">
            <v>24</v>
          </cell>
          <cell r="O255">
            <v>5</v>
          </cell>
          <cell r="P255">
            <v>1.23</v>
          </cell>
        </row>
        <row r="256">
          <cell r="A256" t="str">
            <v>6723273</v>
          </cell>
          <cell r="B256" t="str">
            <v>1118752</v>
          </cell>
          <cell r="C256" t="str">
            <v>6005-6-123</v>
          </cell>
          <cell r="D256" t="str">
            <v>6005</v>
          </cell>
          <cell r="E256" t="str">
            <v>LEG SHROUD</v>
          </cell>
          <cell r="F256" t="str">
            <v>DG-HARNESS</v>
          </cell>
          <cell r="G256" t="str">
            <v>1420-210-FG</v>
          </cell>
          <cell r="H256" t="str">
            <v>F</v>
          </cell>
          <cell r="I256" t="str">
            <v>06/03/2024</v>
          </cell>
          <cell r="J256" t="str">
            <v>06/03/2024</v>
          </cell>
          <cell r="K256" t="str">
            <v>06/13/2024</v>
          </cell>
          <cell r="L256">
            <v>40</v>
          </cell>
          <cell r="M256" t="str">
            <v/>
          </cell>
          <cell r="N256" t="str">
            <v>24</v>
          </cell>
          <cell r="O256">
            <v>40</v>
          </cell>
          <cell r="P256">
            <v>0.9</v>
          </cell>
        </row>
        <row r="257">
          <cell r="A257" t="str">
            <v>6723275</v>
          </cell>
          <cell r="B257" t="str">
            <v>1128293</v>
          </cell>
          <cell r="C257" t="str">
            <v>6004-10-2</v>
          </cell>
          <cell r="D257" t="str">
            <v>6004</v>
          </cell>
          <cell r="E257" t="str">
            <v>LEG SHROUD SML ONE ELASTIC STRAP W/HAR</v>
          </cell>
          <cell r="F257" t="str">
            <v>DG-HARNESS</v>
          </cell>
          <cell r="G257" t="str">
            <v>1420-210-FG</v>
          </cell>
          <cell r="H257" t="str">
            <v>F</v>
          </cell>
          <cell r="I257" t="str">
            <v>06/03/2024</v>
          </cell>
          <cell r="J257" t="str">
            <v>06/03/2024</v>
          </cell>
          <cell r="K257" t="str">
            <v>06/13/2024</v>
          </cell>
          <cell r="L257">
            <v>100</v>
          </cell>
          <cell r="M257" t="str">
            <v/>
          </cell>
          <cell r="N257" t="str">
            <v>24</v>
          </cell>
          <cell r="O257">
            <v>100</v>
          </cell>
          <cell r="P257">
            <v>5.88</v>
          </cell>
        </row>
        <row r="258">
          <cell r="A258" t="str">
            <v>6723289</v>
          </cell>
          <cell r="B258" t="str">
            <v>1128130</v>
          </cell>
          <cell r="C258" t="str">
            <v>6005-10-2</v>
          </cell>
          <cell r="D258" t="str">
            <v>6005</v>
          </cell>
          <cell r="E258" t="str">
            <v>LEG SHROUD SML ONE ELASTIC STRAP W/REM</v>
          </cell>
          <cell r="F258" t="str">
            <v>DG-HARNESS-DTC</v>
          </cell>
          <cell r="G258" t="str">
            <v>1420-210-FG</v>
          </cell>
          <cell r="H258" t="str">
            <v>F</v>
          </cell>
          <cell r="I258" t="str">
            <v>06/03/2024</v>
          </cell>
          <cell r="J258" t="str">
            <v>06/03/2024</v>
          </cell>
          <cell r="K258" t="str">
            <v>06/13/2024</v>
          </cell>
          <cell r="L258">
            <v>40</v>
          </cell>
          <cell r="M258" t="str">
            <v/>
          </cell>
          <cell r="N258" t="str">
            <v>24</v>
          </cell>
          <cell r="O258">
            <v>40</v>
          </cell>
          <cell r="P258">
            <v>2.36</v>
          </cell>
        </row>
        <row r="259">
          <cell r="A259" t="str">
            <v>6701886</v>
          </cell>
          <cell r="B259" t="str">
            <v>1103420</v>
          </cell>
          <cell r="C259" t="str">
            <v>J-KTR</v>
          </cell>
          <cell r="D259" t="str">
            <v>J</v>
          </cell>
          <cell r="E259" t="str">
            <v>LOADING BLOCK-K FRAME</v>
          </cell>
          <cell r="F259" t="str">
            <v>DG-MISC</v>
          </cell>
          <cell r="G259" t="str">
            <v>1420-210-FG</v>
          </cell>
          <cell r="H259" t="str">
            <v>R</v>
          </cell>
          <cell r="I259" t="str">
            <v>04/22/2024</v>
          </cell>
          <cell r="J259" t="str">
            <v>04/04/2024</v>
          </cell>
          <cell r="K259" t="str">
            <v>06/13/2024</v>
          </cell>
          <cell r="L259">
            <v>6</v>
          </cell>
          <cell r="M259" t="str">
            <v>4/22/2024 10:40:15 AM</v>
          </cell>
          <cell r="N259" t="str">
            <v>24</v>
          </cell>
          <cell r="O259">
            <v>6</v>
          </cell>
          <cell r="P259">
            <v>0.1</v>
          </cell>
        </row>
        <row r="260">
          <cell r="A260" t="str">
            <v>6718227</v>
          </cell>
          <cell r="B260" t="str">
            <v>1326043</v>
          </cell>
          <cell r="C260" t="str">
            <v>76-295-23PBL-NP</v>
          </cell>
          <cell r="D260" t="str">
            <v>76</v>
          </cell>
          <cell r="E260" t="str">
            <v>MAG HOLDER SINGLE</v>
          </cell>
          <cell r="F260" t="str">
            <v>DG-POUCH-F1</v>
          </cell>
          <cell r="G260" t="str">
            <v>1420-210-FG</v>
          </cell>
          <cell r="H260" t="str">
            <v>R</v>
          </cell>
          <cell r="I260" t="str">
            <v>05/22/2024</v>
          </cell>
          <cell r="J260" t="str">
            <v>05/30/2024</v>
          </cell>
          <cell r="K260" t="str">
            <v>06/13/2024</v>
          </cell>
          <cell r="L260">
            <v>1</v>
          </cell>
          <cell r="M260" t="str">
            <v>5/22/2024 12:41:21 PM</v>
          </cell>
          <cell r="N260" t="str">
            <v>24</v>
          </cell>
          <cell r="O260">
            <v>1</v>
          </cell>
          <cell r="P260">
            <v>0.17</v>
          </cell>
        </row>
        <row r="261">
          <cell r="A261" t="str">
            <v>6718108</v>
          </cell>
          <cell r="B261" t="str">
            <v>1099535</v>
          </cell>
          <cell r="C261" t="str">
            <v>306-3-13</v>
          </cell>
          <cell r="D261" t="str">
            <v>306</v>
          </cell>
          <cell r="E261" t="str">
            <v>MINI FLASHLIGHT CARRIER</v>
          </cell>
          <cell r="F261" t="str">
            <v>DG-POUCH-F1</v>
          </cell>
          <cell r="G261" t="str">
            <v>1420-210-FG</v>
          </cell>
          <cell r="H261" t="str">
            <v>R</v>
          </cell>
          <cell r="I261" t="str">
            <v>05/21/2024</v>
          </cell>
          <cell r="J261" t="str">
            <v>05/23/2024</v>
          </cell>
          <cell r="K261" t="str">
            <v>06/13/2024</v>
          </cell>
          <cell r="L261">
            <v>10</v>
          </cell>
          <cell r="M261" t="str">
            <v>5/22/2024 12:51:17 PM</v>
          </cell>
          <cell r="N261" t="str">
            <v>24</v>
          </cell>
          <cell r="O261">
            <v>10</v>
          </cell>
          <cell r="P261">
            <v>4.5599999999999996</v>
          </cell>
        </row>
        <row r="262">
          <cell r="A262" t="str">
            <v>6721348</v>
          </cell>
          <cell r="B262" t="str">
            <v>1142009</v>
          </cell>
          <cell r="C262" t="str">
            <v>P-307-9-263PBL</v>
          </cell>
          <cell r="D262" t="str">
            <v>POUCH HOLDER 307</v>
          </cell>
          <cell r="E262" t="str">
            <v>POUCH HOLDER W/FLAP</v>
          </cell>
          <cell r="F262" t="str">
            <v>DG-POUCH-F1</v>
          </cell>
          <cell r="G262" t="str">
            <v>1420-210-SB</v>
          </cell>
          <cell r="H262" t="str">
            <v>R</v>
          </cell>
          <cell r="I262" t="str">
            <v>05/28/2024</v>
          </cell>
          <cell r="J262" t="str">
            <v>05/28/2024</v>
          </cell>
          <cell r="K262" t="str">
            <v>06/13/2024</v>
          </cell>
          <cell r="L262">
            <v>1</v>
          </cell>
          <cell r="M262" t="str">
            <v>5/29/2024 3:29:07 PM</v>
          </cell>
          <cell r="N262" t="str">
            <v>24</v>
          </cell>
          <cell r="O262">
            <v>1</v>
          </cell>
          <cell r="P262">
            <v>0.33</v>
          </cell>
        </row>
        <row r="263">
          <cell r="A263" t="str">
            <v>6722050</v>
          </cell>
          <cell r="B263" t="str">
            <v>1102645</v>
          </cell>
          <cell r="C263" t="str">
            <v>763-4</v>
          </cell>
          <cell r="D263" t="str">
            <v>763</v>
          </cell>
          <cell r="E263" t="str">
            <v>RADIO CARRIER</v>
          </cell>
          <cell r="F263" t="str">
            <v>DG-POUCH-F2-F3</v>
          </cell>
          <cell r="G263" t="str">
            <v>1420-210-FG</v>
          </cell>
          <cell r="H263" t="str">
            <v>R</v>
          </cell>
          <cell r="I263" t="str">
            <v>05/28/2024</v>
          </cell>
          <cell r="J263" t="str">
            <v>05/30/2024</v>
          </cell>
          <cell r="K263" t="str">
            <v>06/13/2024</v>
          </cell>
          <cell r="L263">
            <v>50</v>
          </cell>
          <cell r="M263" t="str">
            <v>5/29/2024 3:53:31 PM</v>
          </cell>
          <cell r="N263" t="str">
            <v>24</v>
          </cell>
          <cell r="O263">
            <v>50</v>
          </cell>
          <cell r="P263">
            <v>13.79</v>
          </cell>
        </row>
        <row r="264">
          <cell r="A264" t="str">
            <v>6721315</v>
          </cell>
          <cell r="B264" t="str">
            <v>1102558</v>
          </cell>
          <cell r="C264" t="str">
            <v>761-4-2</v>
          </cell>
          <cell r="D264" t="str">
            <v>761</v>
          </cell>
          <cell r="E264" t="str">
            <v>RADIO CARRIER FORMED PCH ADJ</v>
          </cell>
          <cell r="F264" t="str">
            <v>DG-POUCH-F1</v>
          </cell>
          <cell r="G264" t="str">
            <v>1420-210-FG</v>
          </cell>
          <cell r="H264" t="str">
            <v>R</v>
          </cell>
          <cell r="I264" t="str">
            <v>05/28/2024</v>
          </cell>
          <cell r="J264" t="str">
            <v>05/28/2024</v>
          </cell>
          <cell r="K264" t="str">
            <v>06/13/2024</v>
          </cell>
          <cell r="L264">
            <v>6</v>
          </cell>
          <cell r="M264" t="str">
            <v>5/29/2024 3:29:07 PM</v>
          </cell>
          <cell r="N264" t="str">
            <v>24</v>
          </cell>
          <cell r="O264">
            <v>6</v>
          </cell>
          <cell r="P264">
            <v>2.12</v>
          </cell>
        </row>
        <row r="265">
          <cell r="A265" t="str">
            <v>6722636</v>
          </cell>
          <cell r="B265" t="str">
            <v>1102560</v>
          </cell>
          <cell r="C265" t="str">
            <v>761-4-9</v>
          </cell>
          <cell r="D265" t="str">
            <v>761</v>
          </cell>
          <cell r="E265" t="str">
            <v>RADIO CARRIER FORMED PCH ADJ</v>
          </cell>
          <cell r="F265" t="str">
            <v>DG-POUCH-F1</v>
          </cell>
          <cell r="G265" t="str">
            <v>1420-210-FG</v>
          </cell>
          <cell r="H265" t="str">
            <v>R</v>
          </cell>
          <cell r="I265" t="str">
            <v>05/31/2024</v>
          </cell>
          <cell r="J265" t="str">
            <v>05/31/2024</v>
          </cell>
          <cell r="K265" t="str">
            <v>06/13/2024</v>
          </cell>
          <cell r="L265">
            <v>1</v>
          </cell>
          <cell r="M265" t="str">
            <v>5/31/2024 2:32:16 PM</v>
          </cell>
          <cell r="N265" t="str">
            <v>24</v>
          </cell>
          <cell r="O265">
            <v>1</v>
          </cell>
          <cell r="P265">
            <v>0.36</v>
          </cell>
        </row>
        <row r="266">
          <cell r="A266" t="str">
            <v>6718356</v>
          </cell>
          <cell r="B266" t="str">
            <v>1102565</v>
          </cell>
          <cell r="C266" t="str">
            <v>761-5-4</v>
          </cell>
          <cell r="D266" t="str">
            <v>761</v>
          </cell>
          <cell r="E266" t="str">
            <v>RADIO CARRIER FORMED PCH ADJ</v>
          </cell>
          <cell r="F266" t="str">
            <v>DG-POUCH-F1</v>
          </cell>
          <cell r="G266" t="str">
            <v>1420-210-FG</v>
          </cell>
          <cell r="H266" t="str">
            <v>R</v>
          </cell>
          <cell r="I266" t="str">
            <v>05/22/2024</v>
          </cell>
          <cell r="J266" t="str">
            <v>05/22/2024</v>
          </cell>
          <cell r="K266" t="str">
            <v>06/13/2024</v>
          </cell>
          <cell r="L266">
            <v>20</v>
          </cell>
          <cell r="M266" t="str">
            <v>5/22/2024 12:41:21 PM</v>
          </cell>
          <cell r="N266" t="str">
            <v>24</v>
          </cell>
          <cell r="O266">
            <v>20</v>
          </cell>
          <cell r="P266">
            <v>7.36</v>
          </cell>
        </row>
        <row r="267">
          <cell r="A267" t="str">
            <v>6721971</v>
          </cell>
          <cell r="B267" t="str">
            <v>1102565</v>
          </cell>
          <cell r="C267" t="str">
            <v>761-5-4</v>
          </cell>
          <cell r="D267" t="str">
            <v>761</v>
          </cell>
          <cell r="E267" t="str">
            <v>RADIO CARRIER FORMED PCH ADJ</v>
          </cell>
          <cell r="F267" t="str">
            <v>DG-POUCH-F1</v>
          </cell>
          <cell r="G267" t="str">
            <v>1420-210-FG</v>
          </cell>
          <cell r="H267" t="str">
            <v>R</v>
          </cell>
          <cell r="I267" t="str">
            <v>05/28/2024</v>
          </cell>
          <cell r="J267" t="str">
            <v>05/30/2024</v>
          </cell>
          <cell r="K267" t="str">
            <v>06/13/2024</v>
          </cell>
          <cell r="L267">
            <v>26</v>
          </cell>
          <cell r="M267" t="str">
            <v>5/29/2024 3:29:07 PM</v>
          </cell>
          <cell r="N267" t="str">
            <v>24</v>
          </cell>
          <cell r="O267">
            <v>26</v>
          </cell>
          <cell r="P267">
            <v>9.57</v>
          </cell>
        </row>
        <row r="268">
          <cell r="A268" t="str">
            <v>6724417</v>
          </cell>
          <cell r="B268" t="str">
            <v>1102565</v>
          </cell>
          <cell r="C268" t="str">
            <v>761-5-4</v>
          </cell>
          <cell r="D268" t="str">
            <v>761</v>
          </cell>
          <cell r="E268" t="str">
            <v>RADIO CARRIER FORMED PCH ADJ</v>
          </cell>
          <cell r="F268" t="str">
            <v>DG-POUCH-F1</v>
          </cell>
          <cell r="G268" t="str">
            <v>1420-210-FG</v>
          </cell>
          <cell r="H268" t="str">
            <v>R</v>
          </cell>
          <cell r="I268" t="str">
            <v>06/04/2024</v>
          </cell>
          <cell r="J268" t="str">
            <v>06/04/2024</v>
          </cell>
          <cell r="K268" t="str">
            <v>06/13/2024</v>
          </cell>
          <cell r="L268">
            <v>20</v>
          </cell>
          <cell r="M268" t="str">
            <v>6/4/2024 2:10:53 PM</v>
          </cell>
          <cell r="N268" t="str">
            <v>24</v>
          </cell>
          <cell r="O268">
            <v>20</v>
          </cell>
          <cell r="P268">
            <v>7.36</v>
          </cell>
        </row>
        <row r="269">
          <cell r="A269" t="str">
            <v>6722008</v>
          </cell>
          <cell r="B269" t="str">
            <v>1102632</v>
          </cell>
          <cell r="C269" t="str">
            <v>762-5-13</v>
          </cell>
          <cell r="D269" t="str">
            <v>762</v>
          </cell>
          <cell r="E269" t="str">
            <v>RADIO CARRIER W/SWIVEL</v>
          </cell>
          <cell r="F269" t="str">
            <v>DG-POUCH-F1</v>
          </cell>
          <cell r="G269" t="str">
            <v>1420-210-FG</v>
          </cell>
          <cell r="H269" t="str">
            <v>R</v>
          </cell>
          <cell r="I269" t="str">
            <v>05/28/2024</v>
          </cell>
          <cell r="J269" t="str">
            <v>05/30/2024</v>
          </cell>
          <cell r="K269" t="str">
            <v>06/13/2024</v>
          </cell>
          <cell r="L269">
            <v>30</v>
          </cell>
          <cell r="M269" t="str">
            <v>5/29/2024 3:24:25 PM</v>
          </cell>
          <cell r="N269" t="str">
            <v>24</v>
          </cell>
          <cell r="O269">
            <v>30</v>
          </cell>
          <cell r="P269">
            <v>9.4499999999999993</v>
          </cell>
        </row>
        <row r="270">
          <cell r="A270" t="str">
            <v>6710684</v>
          </cell>
          <cell r="B270" t="str">
            <v>1102635</v>
          </cell>
          <cell r="C270" t="str">
            <v>762-5-4</v>
          </cell>
          <cell r="D270" t="str">
            <v>762</v>
          </cell>
          <cell r="E270" t="str">
            <v>RADIO CARRIER W/SWIVEL</v>
          </cell>
          <cell r="F270" t="str">
            <v>DG-POUCH-F1</v>
          </cell>
          <cell r="G270" t="str">
            <v>1420-210-FG</v>
          </cell>
          <cell r="H270" t="str">
            <v>R</v>
          </cell>
          <cell r="I270" t="str">
            <v>05/07/2024</v>
          </cell>
          <cell r="J270" t="str">
            <v>05/07/2024</v>
          </cell>
          <cell r="K270" t="str">
            <v>06/13/2024</v>
          </cell>
          <cell r="L270">
            <v>25</v>
          </cell>
          <cell r="M270" t="str">
            <v>5/8/2024 2:59:10 PM</v>
          </cell>
          <cell r="N270" t="str">
            <v>24</v>
          </cell>
          <cell r="O270">
            <v>25</v>
          </cell>
          <cell r="P270">
            <v>10.63</v>
          </cell>
        </row>
        <row r="271">
          <cell r="A271" t="str">
            <v>6725658</v>
          </cell>
          <cell r="B271" t="str">
            <v>1015398</v>
          </cell>
          <cell r="C271" t="str">
            <v>12082</v>
          </cell>
          <cell r="D271" t="str">
            <v>B4</v>
          </cell>
          <cell r="E271" t="str">
            <v>RANGER BELT PLN TAN SZ 36 BRASS</v>
          </cell>
          <cell r="F271" t="str">
            <v>BN-LEATHER</v>
          </cell>
          <cell r="G271" t="str">
            <v>1420-210-FG</v>
          </cell>
          <cell r="H271" t="str">
            <v>R</v>
          </cell>
          <cell r="I271" t="str">
            <v>06/06/2024</v>
          </cell>
          <cell r="J271" t="str">
            <v>06/06/2024</v>
          </cell>
          <cell r="K271" t="str">
            <v>06/13/2024</v>
          </cell>
          <cell r="L271">
            <v>5</v>
          </cell>
          <cell r="M271" t="str">
            <v>6/7/2024 11:28:29 AM</v>
          </cell>
          <cell r="N271" t="str">
            <v>24</v>
          </cell>
          <cell r="O271">
            <v>5</v>
          </cell>
          <cell r="P271">
            <v>1.6</v>
          </cell>
        </row>
        <row r="272">
          <cell r="A272" t="str">
            <v>6725661</v>
          </cell>
          <cell r="B272" t="str">
            <v>1330906</v>
          </cell>
          <cell r="C272" t="str">
            <v>27392</v>
          </cell>
          <cell r="D272" t="str">
            <v>57</v>
          </cell>
          <cell r="E272" t="str">
            <v>REMEDY WEATHERED TAN RH COLT COMMANDER</v>
          </cell>
          <cell r="F272" t="str">
            <v>BN-LEATHER</v>
          </cell>
          <cell r="G272" t="str">
            <v>1420-210-FG</v>
          </cell>
          <cell r="H272" t="str">
            <v>R</v>
          </cell>
          <cell r="I272" t="str">
            <v>06/06/2024</v>
          </cell>
          <cell r="J272" t="str">
            <v>06/06/2024</v>
          </cell>
          <cell r="K272" t="str">
            <v>06/13/2024</v>
          </cell>
          <cell r="L272">
            <v>15</v>
          </cell>
          <cell r="M272" t="str">
            <v>6/7/2024 11:37:21 AM</v>
          </cell>
          <cell r="N272" t="str">
            <v>24</v>
          </cell>
          <cell r="O272">
            <v>15</v>
          </cell>
          <cell r="P272">
            <v>4.82</v>
          </cell>
        </row>
        <row r="273">
          <cell r="A273" t="str">
            <v>6719313</v>
          </cell>
          <cell r="B273" t="str">
            <v>1185250</v>
          </cell>
          <cell r="C273" t="str">
            <v>12877</v>
          </cell>
          <cell r="D273" t="str">
            <v>B12</v>
          </cell>
          <cell r="E273" t="str">
            <v>REVERSIBLE SPORT STITCH BELT BLK SZ 34</v>
          </cell>
          <cell r="F273" t="str">
            <v>BN-LEATHER</v>
          </cell>
          <cell r="G273" t="str">
            <v>1420-210-FG</v>
          </cell>
          <cell r="H273" t="str">
            <v>R</v>
          </cell>
          <cell r="I273" t="str">
            <v>05/27/2024</v>
          </cell>
          <cell r="J273" t="str">
            <v>06/07/2024</v>
          </cell>
          <cell r="K273" t="str">
            <v>06/13/2024</v>
          </cell>
          <cell r="L273">
            <v>5</v>
          </cell>
          <cell r="M273" t="str">
            <v>5/27/2024 9:13:57 AM</v>
          </cell>
          <cell r="N273" t="str">
            <v>24</v>
          </cell>
          <cell r="O273">
            <v>5</v>
          </cell>
          <cell r="P273">
            <v>2.81</v>
          </cell>
        </row>
        <row r="274">
          <cell r="A274" t="str">
            <v>6723137</v>
          </cell>
          <cell r="B274" t="str">
            <v>1015420</v>
          </cell>
          <cell r="C274" t="str">
            <v>12870</v>
          </cell>
          <cell r="D274" t="str">
            <v>B12</v>
          </cell>
          <cell r="E274" t="str">
            <v>REVERSIBLE SPORT STITCH-BELT TAN SZ 36</v>
          </cell>
          <cell r="F274" t="str">
            <v>BN-LEATHER</v>
          </cell>
          <cell r="G274" t="str">
            <v>1420-210-FG</v>
          </cell>
          <cell r="H274" t="str">
            <v>R</v>
          </cell>
          <cell r="I274" t="str">
            <v>06/03/2024</v>
          </cell>
          <cell r="J274" t="str">
            <v>06/03/2024</v>
          </cell>
          <cell r="K274" t="str">
            <v>06/13/2024</v>
          </cell>
          <cell r="L274">
            <v>11</v>
          </cell>
          <cell r="M274" t="str">
            <v>6/7/2024 11:28:39 AM</v>
          </cell>
          <cell r="N274" t="str">
            <v>24</v>
          </cell>
          <cell r="O274">
            <v>11</v>
          </cell>
          <cell r="P274">
            <v>6.19</v>
          </cell>
        </row>
        <row r="275">
          <cell r="A275" t="str">
            <v>6723277</v>
          </cell>
          <cell r="B275" t="str">
            <v>1155878</v>
          </cell>
          <cell r="C275" t="str">
            <v>RGR-UBL-COMPLETE-55</v>
          </cell>
          <cell r="D275" t="str">
            <v>RGR</v>
          </cell>
          <cell r="E275" t="str">
            <v>RGR UBL COMPLETE FDE</v>
          </cell>
          <cell r="F275" t="str">
            <v>DG-HARNESS</v>
          </cell>
          <cell r="G275" t="str">
            <v>1420-210-FG</v>
          </cell>
          <cell r="H275" t="str">
            <v>F</v>
          </cell>
          <cell r="I275" t="str">
            <v>06/03/2024</v>
          </cell>
          <cell r="J275" t="str">
            <v>06/03/2024</v>
          </cell>
          <cell r="K275" t="str">
            <v>06/13/2024</v>
          </cell>
          <cell r="L275">
            <v>25</v>
          </cell>
          <cell r="M275" t="str">
            <v/>
          </cell>
          <cell r="N275" t="str">
            <v>24</v>
          </cell>
          <cell r="O275">
            <v>25</v>
          </cell>
          <cell r="P275">
            <v>3.34</v>
          </cell>
        </row>
        <row r="276">
          <cell r="A276" t="str">
            <v>6724148</v>
          </cell>
          <cell r="B276" t="str">
            <v>1093959</v>
          </cell>
          <cell r="C276" t="str">
            <v>25066</v>
          </cell>
          <cell r="D276" t="str">
            <v>56</v>
          </cell>
          <cell r="E276" t="str">
            <v>SERPENT BLK RH SZ08 GLOCK 26/27</v>
          </cell>
          <cell r="F276" t="str">
            <v>BN-LEATHER</v>
          </cell>
          <cell r="G276" t="str">
            <v>1420-210-FG</v>
          </cell>
          <cell r="H276" t="str">
            <v>R</v>
          </cell>
          <cell r="I276" t="str">
            <v>06/04/2024</v>
          </cell>
          <cell r="J276" t="str">
            <v>06/04/2024</v>
          </cell>
          <cell r="K276" t="str">
            <v>06/13/2024</v>
          </cell>
          <cell r="L276">
            <v>5</v>
          </cell>
          <cell r="M276" t="str">
            <v>6/7/2024 11:29:23 AM</v>
          </cell>
          <cell r="N276" t="str">
            <v>24</v>
          </cell>
          <cell r="O276">
            <v>5</v>
          </cell>
          <cell r="P276">
            <v>1.49</v>
          </cell>
        </row>
        <row r="277">
          <cell r="A277" t="str">
            <v>6725660</v>
          </cell>
          <cell r="B277" t="str">
            <v>1015994</v>
          </cell>
          <cell r="C277" t="str">
            <v>18636</v>
          </cell>
          <cell r="D277" t="str">
            <v>7</v>
          </cell>
          <cell r="E277" t="str">
            <v>SHADOW II BLK RH GLOCK 19/23</v>
          </cell>
          <cell r="F277" t="str">
            <v>BN-LEATHER</v>
          </cell>
          <cell r="G277" t="str">
            <v>1420-210-FG</v>
          </cell>
          <cell r="H277" t="str">
            <v>R</v>
          </cell>
          <cell r="I277" t="str">
            <v>06/06/2024</v>
          </cell>
          <cell r="J277" t="str">
            <v>06/06/2024</v>
          </cell>
          <cell r="K277" t="str">
            <v>06/13/2024</v>
          </cell>
          <cell r="L277">
            <v>10</v>
          </cell>
          <cell r="M277" t="str">
            <v>6/7/2024 11:29:01 AM</v>
          </cell>
          <cell r="N277" t="str">
            <v>24</v>
          </cell>
          <cell r="O277">
            <v>10</v>
          </cell>
          <cell r="P277">
            <v>3.75</v>
          </cell>
        </row>
        <row r="278">
          <cell r="A278" t="str">
            <v>6723297</v>
          </cell>
          <cell r="B278" t="str">
            <v>1134084</v>
          </cell>
          <cell r="C278" t="str">
            <v>6004-27-55</v>
          </cell>
          <cell r="D278" t="str">
            <v>6004</v>
          </cell>
          <cell r="E278" t="str">
            <v>SMALL TACTICAL PLATE W/DFA QLS RECEIVER</v>
          </cell>
          <cell r="F278" t="str">
            <v>DG-HARNESS-DTC</v>
          </cell>
          <cell r="G278" t="str">
            <v>1420-210-FG</v>
          </cell>
          <cell r="H278" t="str">
            <v>F</v>
          </cell>
          <cell r="I278" t="str">
            <v>06/03/2024</v>
          </cell>
          <cell r="J278" t="str">
            <v>06/03/2024</v>
          </cell>
          <cell r="K278" t="str">
            <v>06/13/2024</v>
          </cell>
          <cell r="L278">
            <v>75</v>
          </cell>
          <cell r="M278" t="str">
            <v/>
          </cell>
          <cell r="N278" t="str">
            <v>24</v>
          </cell>
          <cell r="O278">
            <v>75</v>
          </cell>
          <cell r="P278">
            <v>5.78</v>
          </cell>
        </row>
        <row r="279">
          <cell r="A279" t="str">
            <v>6724403</v>
          </cell>
          <cell r="B279" t="str">
            <v>1014010</v>
          </cell>
          <cell r="C279" t="str">
            <v>20054</v>
          </cell>
          <cell r="D279" t="str">
            <v>580</v>
          </cell>
          <cell r="E279" t="str">
            <v>SPEED STRIP PAIR .38/.357</v>
          </cell>
          <cell r="F279" t="str">
            <v>DG-MISC</v>
          </cell>
          <cell r="G279" t="str">
            <v>1420-210-FG</v>
          </cell>
          <cell r="H279" t="str">
            <v>R</v>
          </cell>
          <cell r="I279" t="str">
            <v>06/04/2024</v>
          </cell>
          <cell r="J279" t="str">
            <v>06/04/2024</v>
          </cell>
          <cell r="K279" t="str">
            <v>06/13/2024</v>
          </cell>
          <cell r="L279">
            <v>100</v>
          </cell>
          <cell r="M279" t="str">
            <v>6/5/2024 2:57:25 PM</v>
          </cell>
          <cell r="N279" t="str">
            <v>24</v>
          </cell>
          <cell r="O279">
            <v>100</v>
          </cell>
          <cell r="P279">
            <v>0.73</v>
          </cell>
        </row>
        <row r="280">
          <cell r="A280" t="str">
            <v>6716227</v>
          </cell>
          <cell r="B280" t="str">
            <v>1016230</v>
          </cell>
          <cell r="C280" t="str">
            <v>18521</v>
          </cell>
          <cell r="D280" t="str">
            <v>7314S</v>
          </cell>
          <cell r="E280" t="str">
            <v>UNIVERSAL RADIO HOLDER WITH SWIVEL BLK</v>
          </cell>
          <cell r="F280" t="str">
            <v>BN-POUCH</v>
          </cell>
          <cell r="G280" t="str">
            <v>1420-210-FG</v>
          </cell>
          <cell r="H280" t="str">
            <v>R</v>
          </cell>
          <cell r="I280" t="str">
            <v>05/20/2024</v>
          </cell>
          <cell r="J280" t="str">
            <v>05/20/2024</v>
          </cell>
          <cell r="K280" t="str">
            <v>06/13/2024</v>
          </cell>
          <cell r="L280">
            <v>100</v>
          </cell>
          <cell r="M280" t="str">
            <v>5/21/2024 2:57:16 PM</v>
          </cell>
          <cell r="N280" t="str">
            <v>24</v>
          </cell>
          <cell r="O280">
            <v>100</v>
          </cell>
          <cell r="P280">
            <v>32</v>
          </cell>
        </row>
        <row r="281">
          <cell r="A281" t="str">
            <v>6718493</v>
          </cell>
          <cell r="B281" t="str">
            <v>1017315</v>
          </cell>
          <cell r="C281" t="str">
            <v>22113</v>
          </cell>
          <cell r="D281" t="str">
            <v>7914S</v>
          </cell>
          <cell r="E281" t="str">
            <v>UNIVERSAL RADIO HOLDER WITH SWIVEL BSK B</v>
          </cell>
          <cell r="F281" t="str">
            <v>BN-POUCH</v>
          </cell>
          <cell r="G281" t="str">
            <v>1420-210-FG</v>
          </cell>
          <cell r="H281" t="str">
            <v>R</v>
          </cell>
          <cell r="I281" t="str">
            <v>05/22/2024</v>
          </cell>
          <cell r="J281" t="str">
            <v>05/30/2024</v>
          </cell>
          <cell r="K281" t="str">
            <v>06/13/2024</v>
          </cell>
          <cell r="L281">
            <v>100</v>
          </cell>
          <cell r="M281" t="str">
            <v>5/22/2024 2:24:27 PM</v>
          </cell>
          <cell r="N281" t="str">
            <v>24</v>
          </cell>
          <cell r="O281">
            <v>100</v>
          </cell>
          <cell r="P281">
            <v>32</v>
          </cell>
        </row>
        <row r="282">
          <cell r="A282" t="str">
            <v>6725500</v>
          </cell>
          <cell r="B282" t="str">
            <v>1185182</v>
          </cell>
          <cell r="C282" t="str">
            <v>5198-219-761</v>
          </cell>
          <cell r="D282" t="str">
            <v>5198</v>
          </cell>
          <cell r="E282" t="str">
            <v>5198 S&amp;W M&amp;P9/40  STX TAC CYTB RH</v>
          </cell>
          <cell r="F282" t="str">
            <v>DG-HOLSTER-SEW-DTC</v>
          </cell>
          <cell r="G282" t="str">
            <v>1420-210-FG</v>
          </cell>
          <cell r="H282" t="str">
            <v>R</v>
          </cell>
          <cell r="I282" t="str">
            <v>06/05/2024</v>
          </cell>
          <cell r="J282" t="str">
            <v>06/11/2024</v>
          </cell>
          <cell r="K282" t="str">
            <v>06/14/2024</v>
          </cell>
          <cell r="L282">
            <v>1</v>
          </cell>
          <cell r="M282" t="str">
            <v>6/6/2024 8:15:47 AM</v>
          </cell>
          <cell r="N282" t="str">
            <v>24</v>
          </cell>
          <cell r="O282">
            <v>1</v>
          </cell>
          <cell r="P282">
            <v>0.15</v>
          </cell>
        </row>
        <row r="283">
          <cell r="A283" t="str">
            <v>6725502</v>
          </cell>
          <cell r="B283" t="str">
            <v>1193073</v>
          </cell>
          <cell r="C283" t="str">
            <v>547-383-411</v>
          </cell>
          <cell r="D283" t="str">
            <v>547</v>
          </cell>
          <cell r="E283" t="str">
            <v>547 GLOCK 20/21 STX PLN BLK RH</v>
          </cell>
          <cell r="F283" t="str">
            <v>DG-HOLSTER-DTC</v>
          </cell>
          <cell r="G283" t="str">
            <v>1420-210-FG</v>
          </cell>
          <cell r="H283" t="str">
            <v>R</v>
          </cell>
          <cell r="I283" t="str">
            <v>06/05/2024</v>
          </cell>
          <cell r="J283" t="str">
            <v>06/11/2024</v>
          </cell>
          <cell r="K283" t="str">
            <v>06/14/2024</v>
          </cell>
          <cell r="L283">
            <v>1</v>
          </cell>
          <cell r="M283" t="str">
            <v>6/6/2024 8:17:11 AM</v>
          </cell>
          <cell r="N283" t="str">
            <v>24</v>
          </cell>
          <cell r="O283">
            <v>1</v>
          </cell>
          <cell r="P283">
            <v>0.41</v>
          </cell>
        </row>
        <row r="284">
          <cell r="A284" t="str">
            <v>6724892</v>
          </cell>
          <cell r="B284" t="str">
            <v>1164362</v>
          </cell>
          <cell r="C284" t="str">
            <v>566BL-1-261-50</v>
          </cell>
          <cell r="D284" t="str">
            <v>566BL</v>
          </cell>
          <cell r="E284" t="str">
            <v>566BL  ULTRA HI-RIDE NYLLK BLK RH</v>
          </cell>
          <cell r="F284" t="str">
            <v>DG-HOLSTER-SEW-DTC</v>
          </cell>
          <cell r="G284" t="str">
            <v>1420-210-FG</v>
          </cell>
          <cell r="H284" t="str">
            <v>R</v>
          </cell>
          <cell r="I284" t="str">
            <v>06/04/2024</v>
          </cell>
          <cell r="J284" t="str">
            <v>06/10/2024</v>
          </cell>
          <cell r="K284" t="str">
            <v>06/14/2024</v>
          </cell>
          <cell r="L284">
            <v>4</v>
          </cell>
          <cell r="M284" t="str">
            <v>6/6/2024 7:59:49 AM</v>
          </cell>
          <cell r="N284" t="str">
            <v>24</v>
          </cell>
          <cell r="O284">
            <v>4</v>
          </cell>
          <cell r="P284">
            <v>0.05</v>
          </cell>
        </row>
        <row r="285">
          <cell r="A285" t="str">
            <v>6724725</v>
          </cell>
          <cell r="B285" t="str">
            <v>1100705</v>
          </cell>
          <cell r="C285" t="str">
            <v>6004-2832-122</v>
          </cell>
          <cell r="D285" t="str">
            <v>6004</v>
          </cell>
          <cell r="E285" t="str">
            <v>6004 GLOCK 19/23 X300 STX TAC BLK LH</v>
          </cell>
          <cell r="F285" t="str">
            <v>DG-HOLSTER-H-DTC</v>
          </cell>
          <cell r="G285" t="str">
            <v>1420-210-FG</v>
          </cell>
          <cell r="H285" t="str">
            <v>R</v>
          </cell>
          <cell r="I285" t="str">
            <v>06/04/2024</v>
          </cell>
          <cell r="J285" t="str">
            <v>06/10/2024</v>
          </cell>
          <cell r="K285" t="str">
            <v>06/14/2024</v>
          </cell>
          <cell r="L285">
            <v>1</v>
          </cell>
          <cell r="M285" t="str">
            <v>6/6/2024 8:03:50 AM</v>
          </cell>
          <cell r="N285" t="str">
            <v>24</v>
          </cell>
          <cell r="O285">
            <v>1</v>
          </cell>
          <cell r="P285">
            <v>0.63</v>
          </cell>
        </row>
        <row r="286">
          <cell r="A286" t="str">
            <v>6725498</v>
          </cell>
          <cell r="B286" t="str">
            <v>1124107</v>
          </cell>
          <cell r="C286" t="str">
            <v>6004-256-121</v>
          </cell>
          <cell r="D286" t="str">
            <v>6004</v>
          </cell>
          <cell r="E286" t="str">
            <v>6004 SIG 1911 GSR STX TAC BLK RH</v>
          </cell>
          <cell r="F286" t="str">
            <v>DG-HOLSTER-H</v>
          </cell>
          <cell r="G286" t="str">
            <v>1420-210-FG</v>
          </cell>
          <cell r="H286" t="str">
            <v>R</v>
          </cell>
          <cell r="I286" t="str">
            <v>06/05/2024</v>
          </cell>
          <cell r="J286" t="str">
            <v>06/05/2024</v>
          </cell>
          <cell r="K286" t="str">
            <v>06/14/2024</v>
          </cell>
          <cell r="L286">
            <v>1</v>
          </cell>
          <cell r="M286" t="str">
            <v>6/6/2024 8:03:50 AM</v>
          </cell>
          <cell r="N286" t="str">
            <v>24</v>
          </cell>
          <cell r="O286">
            <v>1</v>
          </cell>
          <cell r="P286">
            <v>0.44</v>
          </cell>
        </row>
        <row r="287">
          <cell r="A287" t="str">
            <v>6726045</v>
          </cell>
          <cell r="B287" t="str">
            <v>1120594</v>
          </cell>
          <cell r="C287" t="str">
            <v>6004-25-2</v>
          </cell>
          <cell r="D287" t="str">
            <v>6004</v>
          </cell>
          <cell r="E287" t="str">
            <v>6004 SNG LEG STRP W/DFA BLK</v>
          </cell>
          <cell r="F287" t="str">
            <v>DG-HARNESS-DTC</v>
          </cell>
          <cell r="G287" t="str">
            <v>1420-210-FG</v>
          </cell>
          <cell r="H287" t="str">
            <v>F</v>
          </cell>
          <cell r="I287" t="str">
            <v>06/07/2024</v>
          </cell>
          <cell r="J287" t="str">
            <v>06/07/2024</v>
          </cell>
          <cell r="K287" t="str">
            <v>06/14/2024</v>
          </cell>
          <cell r="L287">
            <v>100</v>
          </cell>
          <cell r="M287" t="str">
            <v/>
          </cell>
          <cell r="N287" t="str">
            <v>24</v>
          </cell>
          <cell r="O287">
            <v>100</v>
          </cell>
          <cell r="P287">
            <v>10</v>
          </cell>
        </row>
        <row r="288">
          <cell r="A288" t="str">
            <v>6726046</v>
          </cell>
          <cell r="B288" t="str">
            <v>1120594</v>
          </cell>
          <cell r="C288" t="str">
            <v>6004-25-2</v>
          </cell>
          <cell r="D288" t="str">
            <v>6004</v>
          </cell>
          <cell r="E288" t="str">
            <v>6004 SNG LEG STRP W/DFA BLK</v>
          </cell>
          <cell r="F288" t="str">
            <v>DG-HARNESS-DTC</v>
          </cell>
          <cell r="G288" t="str">
            <v>1420-210-FG</v>
          </cell>
          <cell r="H288" t="str">
            <v>F</v>
          </cell>
          <cell r="I288" t="str">
            <v>06/07/2024</v>
          </cell>
          <cell r="J288" t="str">
            <v>06/07/2024</v>
          </cell>
          <cell r="K288" t="str">
            <v>06/14/2024</v>
          </cell>
          <cell r="L288">
            <v>100</v>
          </cell>
          <cell r="M288" t="str">
            <v/>
          </cell>
          <cell r="N288" t="str">
            <v>24</v>
          </cell>
          <cell r="O288">
            <v>100</v>
          </cell>
          <cell r="P288">
            <v>10</v>
          </cell>
        </row>
        <row r="289">
          <cell r="A289" t="str">
            <v>6726047</v>
          </cell>
          <cell r="B289" t="str">
            <v>1120594</v>
          </cell>
          <cell r="C289" t="str">
            <v>6004-25-2</v>
          </cell>
          <cell r="D289" t="str">
            <v>6004</v>
          </cell>
          <cell r="E289" t="str">
            <v>6004 SNG LEG STRP W/DFA BLK</v>
          </cell>
          <cell r="F289" t="str">
            <v>DG-HARNESS-DTC</v>
          </cell>
          <cell r="G289" t="str">
            <v>1420-210-FG</v>
          </cell>
          <cell r="H289" t="str">
            <v>F</v>
          </cell>
          <cell r="I289" t="str">
            <v>06/07/2024</v>
          </cell>
          <cell r="J289" t="str">
            <v>06/07/2024</v>
          </cell>
          <cell r="K289" t="str">
            <v>06/14/2024</v>
          </cell>
          <cell r="L289">
            <v>100</v>
          </cell>
          <cell r="M289" t="str">
            <v/>
          </cell>
          <cell r="N289" t="str">
            <v>24</v>
          </cell>
          <cell r="O289">
            <v>100</v>
          </cell>
          <cell r="P289">
            <v>10</v>
          </cell>
        </row>
        <row r="290">
          <cell r="A290" t="str">
            <v>6724729</v>
          </cell>
          <cell r="B290" t="str">
            <v>1165414</v>
          </cell>
          <cell r="C290" t="str">
            <v>6005-83-411</v>
          </cell>
          <cell r="D290" t="str">
            <v>6005</v>
          </cell>
          <cell r="E290" t="str">
            <v>6005 GLOCK 17/22 STX PLN BLK RH</v>
          </cell>
          <cell r="F290" t="str">
            <v>DG-HOLSTER-H-DTC</v>
          </cell>
          <cell r="G290" t="str">
            <v>1420-210-FG</v>
          </cell>
          <cell r="H290" t="str">
            <v>R</v>
          </cell>
          <cell r="I290" t="str">
            <v>06/04/2024</v>
          </cell>
          <cell r="J290" t="str">
            <v>06/05/2024</v>
          </cell>
          <cell r="K290" t="str">
            <v>06/14/2024</v>
          </cell>
          <cell r="L290">
            <v>1</v>
          </cell>
          <cell r="M290" t="str">
            <v>6/6/2024 8:10:30 AM</v>
          </cell>
          <cell r="N290" t="str">
            <v>24</v>
          </cell>
          <cell r="O290">
            <v>1</v>
          </cell>
          <cell r="P290">
            <v>0.37</v>
          </cell>
        </row>
        <row r="291">
          <cell r="A291" t="str">
            <v>6724719</v>
          </cell>
          <cell r="B291" t="str">
            <v>1119897</v>
          </cell>
          <cell r="C291" t="str">
            <v>6005-219-121</v>
          </cell>
          <cell r="D291" t="str">
            <v>6005</v>
          </cell>
          <cell r="E291" t="str">
            <v>6005 S&amp;W M&amp;P9/40 1.0 STX TAC BLK RH</v>
          </cell>
          <cell r="F291" t="str">
            <v>DG-HOLSTER-H</v>
          </cell>
          <cell r="G291" t="str">
            <v>1420-210-FG</v>
          </cell>
          <cell r="H291" t="str">
            <v>R</v>
          </cell>
          <cell r="I291" t="str">
            <v>06/04/2024</v>
          </cell>
          <cell r="J291" t="str">
            <v>06/10/2024</v>
          </cell>
          <cell r="K291" t="str">
            <v>06/14/2024</v>
          </cell>
          <cell r="L291">
            <v>1</v>
          </cell>
          <cell r="M291" t="str">
            <v>6/6/2024 8:03:50 AM</v>
          </cell>
          <cell r="N291" t="str">
            <v>24</v>
          </cell>
          <cell r="O291">
            <v>1</v>
          </cell>
          <cell r="P291">
            <v>0.44</v>
          </cell>
        </row>
        <row r="292">
          <cell r="A292" t="str">
            <v>6726098</v>
          </cell>
          <cell r="B292" t="str">
            <v>1172195</v>
          </cell>
          <cell r="C292" t="str">
            <v>6005-5621-561-SP10</v>
          </cell>
          <cell r="D292" t="str">
            <v>6005</v>
          </cell>
          <cell r="E292" t="str">
            <v>6005 SPRGFLD OPR M3 STX TAC ODG RH</v>
          </cell>
          <cell r="F292" t="str">
            <v>DG-HOLSTER-H</v>
          </cell>
          <cell r="G292" t="str">
            <v>1420-210-FG</v>
          </cell>
          <cell r="H292" t="str">
            <v>R</v>
          </cell>
          <cell r="I292" t="str">
            <v>06/07/2024</v>
          </cell>
          <cell r="J292" t="str">
            <v>06/07/2024</v>
          </cell>
          <cell r="K292" t="str">
            <v>06/14/2024</v>
          </cell>
          <cell r="L292">
            <v>1</v>
          </cell>
          <cell r="M292" t="str">
            <v>6/11/2024 3:42:30 PM</v>
          </cell>
          <cell r="N292" t="str">
            <v>24</v>
          </cell>
          <cell r="O292">
            <v>1</v>
          </cell>
          <cell r="P292">
            <v>0.6</v>
          </cell>
        </row>
        <row r="293">
          <cell r="A293" t="str">
            <v>6726922</v>
          </cell>
          <cell r="B293" t="str">
            <v>1113178</v>
          </cell>
          <cell r="C293" t="str">
            <v>6280-73-131-2</v>
          </cell>
          <cell r="D293" t="str">
            <v>6280</v>
          </cell>
          <cell r="E293" t="str">
            <v>6280 BERETTA 92FS STX TAC BLK RH</v>
          </cell>
          <cell r="F293" t="str">
            <v>DG-HOLSTER</v>
          </cell>
          <cell r="G293" t="str">
            <v>1420-210-FG</v>
          </cell>
          <cell r="H293" t="str">
            <v>R</v>
          </cell>
          <cell r="I293" t="str">
            <v>06/10/2024</v>
          </cell>
          <cell r="J293" t="str">
            <v>06/10/2024</v>
          </cell>
          <cell r="K293" t="str">
            <v>06/14/2024</v>
          </cell>
          <cell r="L293">
            <v>23</v>
          </cell>
          <cell r="M293" t="str">
            <v>6/10/2024 12:38:19 PM</v>
          </cell>
          <cell r="N293" t="str">
            <v>24</v>
          </cell>
          <cell r="O293">
            <v>23</v>
          </cell>
          <cell r="P293">
            <v>5.98</v>
          </cell>
        </row>
        <row r="294">
          <cell r="A294" t="str">
            <v>6725486</v>
          </cell>
          <cell r="B294" t="str">
            <v>1323519</v>
          </cell>
          <cell r="C294" t="str">
            <v>6280-673-131-2-NP</v>
          </cell>
          <cell r="D294" t="str">
            <v>6280</v>
          </cell>
          <cell r="E294" t="str">
            <v>6280 BERETTA APX STX TAC BLK RH</v>
          </cell>
          <cell r="F294" t="str">
            <v>DG-HOLSTER</v>
          </cell>
          <cell r="G294" t="str">
            <v>1420-210-FG</v>
          </cell>
          <cell r="H294" t="str">
            <v>R</v>
          </cell>
          <cell r="I294" t="str">
            <v>06/05/2024</v>
          </cell>
          <cell r="J294" t="str">
            <v>05/28/2024</v>
          </cell>
          <cell r="K294" t="str">
            <v>06/14/2024</v>
          </cell>
          <cell r="L294">
            <v>24</v>
          </cell>
          <cell r="M294" t="str">
            <v>6/6/2024 8:03:50 AM</v>
          </cell>
          <cell r="N294" t="str">
            <v>24</v>
          </cell>
          <cell r="O294">
            <v>24</v>
          </cell>
          <cell r="P294">
            <v>6.07</v>
          </cell>
        </row>
        <row r="295">
          <cell r="A295" t="str">
            <v>6724652</v>
          </cell>
          <cell r="B295" t="str">
            <v>1116923</v>
          </cell>
          <cell r="C295" t="str">
            <v>6280-836-132</v>
          </cell>
          <cell r="D295" t="str">
            <v>6280</v>
          </cell>
          <cell r="E295" t="str">
            <v>6280 GLOCK 17/22  X300U STX TAC BLK LH</v>
          </cell>
          <cell r="F295" t="str">
            <v>DG-HOLSTER-DTC</v>
          </cell>
          <cell r="G295" t="str">
            <v>1420-210-FG</v>
          </cell>
          <cell r="H295" t="str">
            <v>R</v>
          </cell>
          <cell r="I295" t="str">
            <v>06/04/2024</v>
          </cell>
          <cell r="J295" t="str">
            <v>06/10/2024</v>
          </cell>
          <cell r="K295" t="str">
            <v>06/14/2024</v>
          </cell>
          <cell r="L295">
            <v>1</v>
          </cell>
          <cell r="M295" t="str">
            <v>6/6/2024 8:03:50 AM</v>
          </cell>
          <cell r="N295" t="str">
            <v>24</v>
          </cell>
          <cell r="O295">
            <v>1</v>
          </cell>
          <cell r="P295">
            <v>0.94</v>
          </cell>
        </row>
        <row r="296">
          <cell r="A296" t="str">
            <v>6724651</v>
          </cell>
          <cell r="B296" t="str">
            <v>1116922</v>
          </cell>
          <cell r="C296" t="str">
            <v>6280-836-131</v>
          </cell>
          <cell r="D296" t="str">
            <v>6280</v>
          </cell>
          <cell r="E296" t="str">
            <v>6280 GLOCK 17/22  X300U STX TAC BLK RH</v>
          </cell>
          <cell r="F296" t="str">
            <v>DG-HOLSTER-DTC</v>
          </cell>
          <cell r="G296" t="str">
            <v>1420-210-FG</v>
          </cell>
          <cell r="H296" t="str">
            <v>R</v>
          </cell>
          <cell r="I296" t="str">
            <v>06/04/2024</v>
          </cell>
          <cell r="J296" t="str">
            <v>06/10/2024</v>
          </cell>
          <cell r="K296" t="str">
            <v>06/14/2024</v>
          </cell>
          <cell r="L296">
            <v>3</v>
          </cell>
          <cell r="M296" t="str">
            <v>6/6/2024 8:03:50 AM</v>
          </cell>
          <cell r="N296" t="str">
            <v>24</v>
          </cell>
          <cell r="O296">
            <v>3</v>
          </cell>
          <cell r="P296">
            <v>2.81</v>
          </cell>
        </row>
        <row r="297">
          <cell r="A297" t="str">
            <v>6724646</v>
          </cell>
          <cell r="B297" t="str">
            <v>1101701</v>
          </cell>
          <cell r="C297" t="str">
            <v>6280-83-92</v>
          </cell>
          <cell r="D297" t="str">
            <v>6280</v>
          </cell>
          <cell r="E297" t="str">
            <v>6280 GLOCK 17/22 HGS BLK LH</v>
          </cell>
          <cell r="F297" t="str">
            <v>DG-HOLSTER-DTC</v>
          </cell>
          <cell r="G297" t="str">
            <v>1420-210-FG</v>
          </cell>
          <cell r="H297" t="str">
            <v>R</v>
          </cell>
          <cell r="I297" t="str">
            <v>06/04/2024</v>
          </cell>
          <cell r="J297" t="str">
            <v>06/10/2024</v>
          </cell>
          <cell r="K297" t="str">
            <v>06/14/2024</v>
          </cell>
          <cell r="L297">
            <v>1</v>
          </cell>
          <cell r="M297" t="str">
            <v>6/6/2024 8:03:50 AM</v>
          </cell>
          <cell r="N297" t="str">
            <v>24</v>
          </cell>
          <cell r="O297">
            <v>1</v>
          </cell>
          <cell r="P297">
            <v>0.4</v>
          </cell>
        </row>
        <row r="298">
          <cell r="A298" t="str">
            <v>6725488</v>
          </cell>
          <cell r="B298" t="str">
            <v>1128119</v>
          </cell>
          <cell r="C298" t="str">
            <v>6280-2832-411</v>
          </cell>
          <cell r="D298" t="str">
            <v>6280</v>
          </cell>
          <cell r="E298" t="str">
            <v>6280 GLOCK 19/23 X300 STX PLN BLK RH</v>
          </cell>
          <cell r="F298" t="str">
            <v>DG-HOLSTER-DTC</v>
          </cell>
          <cell r="G298" t="str">
            <v>1420-210-FG</v>
          </cell>
          <cell r="H298" t="str">
            <v>R</v>
          </cell>
          <cell r="I298" t="str">
            <v>06/05/2024</v>
          </cell>
          <cell r="J298" t="str">
            <v>06/11/2024</v>
          </cell>
          <cell r="K298" t="str">
            <v>06/14/2024</v>
          </cell>
          <cell r="L298">
            <v>1</v>
          </cell>
          <cell r="M298" t="str">
            <v>6/6/2024 8:10:30 AM</v>
          </cell>
          <cell r="N298" t="str">
            <v>24</v>
          </cell>
          <cell r="O298">
            <v>1</v>
          </cell>
          <cell r="P298">
            <v>0.45</v>
          </cell>
        </row>
        <row r="299">
          <cell r="A299" t="str">
            <v>6724296</v>
          </cell>
          <cell r="B299" t="str">
            <v>1131313</v>
          </cell>
          <cell r="C299" t="str">
            <v>6280-619-91</v>
          </cell>
          <cell r="D299" t="str">
            <v>6280</v>
          </cell>
          <cell r="E299" t="str">
            <v>6280 S&amp;W M&amp;P 9/40 4IN HGS BLK RH</v>
          </cell>
          <cell r="F299" t="str">
            <v>DG-HOLSTER</v>
          </cell>
          <cell r="G299" t="str">
            <v>1420-210-FG</v>
          </cell>
          <cell r="H299" t="str">
            <v>R</v>
          </cell>
          <cell r="I299" t="str">
            <v>06/04/2024</v>
          </cell>
          <cell r="J299" t="str">
            <v>06/04/2024</v>
          </cell>
          <cell r="K299" t="str">
            <v>06/14/2024</v>
          </cell>
          <cell r="L299">
            <v>2</v>
          </cell>
          <cell r="M299" t="str">
            <v>6/6/2024 8:03:50 AM</v>
          </cell>
          <cell r="N299" t="str">
            <v>24</v>
          </cell>
          <cell r="O299">
            <v>2</v>
          </cell>
          <cell r="P299">
            <v>0.75</v>
          </cell>
        </row>
        <row r="300">
          <cell r="A300" t="str">
            <v>6724292</v>
          </cell>
          <cell r="B300" t="str">
            <v>1101469</v>
          </cell>
          <cell r="C300" t="str">
            <v>6280-74-91</v>
          </cell>
          <cell r="D300" t="str">
            <v>6280</v>
          </cell>
          <cell r="E300" t="str">
            <v>6280 SIG P228/P229 HGS BLK RH</v>
          </cell>
          <cell r="F300" t="str">
            <v>DG-HOLSTER</v>
          </cell>
          <cell r="G300" t="str">
            <v>1420-210-FG</v>
          </cell>
          <cell r="H300" t="str">
            <v>R</v>
          </cell>
          <cell r="I300" t="str">
            <v>06/04/2024</v>
          </cell>
          <cell r="J300" t="str">
            <v>06/04/2024</v>
          </cell>
          <cell r="K300" t="str">
            <v>06/14/2024</v>
          </cell>
          <cell r="L300">
            <v>1</v>
          </cell>
          <cell r="M300" t="str">
            <v>6/6/2024 8:03:50 AM</v>
          </cell>
          <cell r="N300" t="str">
            <v>24</v>
          </cell>
          <cell r="O300">
            <v>1</v>
          </cell>
          <cell r="P300">
            <v>0.37</v>
          </cell>
        </row>
        <row r="301">
          <cell r="A301" t="str">
            <v>6724705</v>
          </cell>
          <cell r="B301" t="str">
            <v>1314889</v>
          </cell>
          <cell r="C301" t="str">
            <v>6282-83-491</v>
          </cell>
          <cell r="D301" t="str">
            <v>6282</v>
          </cell>
          <cell r="E301" t="str">
            <v>6282 GLOCK 17/22 STX HGS BLK RH</v>
          </cell>
          <cell r="F301" t="str">
            <v>DG-HOLSTER-DTC</v>
          </cell>
          <cell r="G301" t="str">
            <v>1420-210-FG</v>
          </cell>
          <cell r="H301" t="str">
            <v>R</v>
          </cell>
          <cell r="I301" t="str">
            <v>06/04/2024</v>
          </cell>
          <cell r="J301" t="str">
            <v>06/10/2024</v>
          </cell>
          <cell r="K301" t="str">
            <v>06/14/2024</v>
          </cell>
          <cell r="L301">
            <v>1</v>
          </cell>
          <cell r="M301" t="str">
            <v>6/6/2024 8:14:43 AM</v>
          </cell>
          <cell r="N301" t="str">
            <v>24</v>
          </cell>
          <cell r="O301">
            <v>1</v>
          </cell>
          <cell r="P301">
            <v>0.23</v>
          </cell>
        </row>
        <row r="302">
          <cell r="A302" t="str">
            <v>6724927</v>
          </cell>
          <cell r="B302" t="str">
            <v>1111232</v>
          </cell>
          <cell r="C302" t="str">
            <v>6285-6832-91</v>
          </cell>
          <cell r="D302" t="str">
            <v>6285</v>
          </cell>
          <cell r="E302" t="str">
            <v>6285 GLOCK 34/35 X300 HGS BLK RH</v>
          </cell>
          <cell r="F302" t="str">
            <v>DG-HOLSTER</v>
          </cell>
          <cell r="G302" t="str">
            <v>1420-210-FG</v>
          </cell>
          <cell r="H302" t="str">
            <v>R</v>
          </cell>
          <cell r="I302" t="str">
            <v>06/04/2024</v>
          </cell>
          <cell r="J302" t="str">
            <v>06/10/2024</v>
          </cell>
          <cell r="K302" t="str">
            <v>06/14/2024</v>
          </cell>
          <cell r="L302">
            <v>1</v>
          </cell>
          <cell r="M302" t="str">
            <v>6/6/2024 8:03:50 AM</v>
          </cell>
          <cell r="N302" t="str">
            <v>24</v>
          </cell>
          <cell r="O302">
            <v>1</v>
          </cell>
          <cell r="P302">
            <v>0.59</v>
          </cell>
        </row>
        <row r="303">
          <cell r="A303" t="str">
            <v>6723370</v>
          </cell>
          <cell r="B303" t="str">
            <v>1122866</v>
          </cell>
          <cell r="C303" t="str">
            <v>6285-295-61</v>
          </cell>
          <cell r="D303" t="str">
            <v>6285</v>
          </cell>
          <cell r="E303" t="str">
            <v>6285 H&amp;K P30 PLN BLK RH</v>
          </cell>
          <cell r="F303" t="str">
            <v>DG-HOLSTER</v>
          </cell>
          <cell r="G303" t="str">
            <v>1420-210-FG</v>
          </cell>
          <cell r="H303" t="str">
            <v>R</v>
          </cell>
          <cell r="I303" t="str">
            <v>06/03/2024</v>
          </cell>
          <cell r="J303" t="str">
            <v>06/03/2024</v>
          </cell>
          <cell r="K303" t="str">
            <v>06/14/2024</v>
          </cell>
          <cell r="L303">
            <v>1</v>
          </cell>
          <cell r="M303" t="str">
            <v>6/6/2024 8:03:50 AM</v>
          </cell>
          <cell r="N303" t="str">
            <v>24</v>
          </cell>
          <cell r="O303">
            <v>1</v>
          </cell>
          <cell r="P303">
            <v>0.32</v>
          </cell>
        </row>
        <row r="304">
          <cell r="A304" t="str">
            <v>6724947</v>
          </cell>
          <cell r="B304" t="str">
            <v>1203557</v>
          </cell>
          <cell r="C304" t="str">
            <v>6285-4502-131</v>
          </cell>
          <cell r="D304" t="str">
            <v>6285</v>
          </cell>
          <cell r="E304" t="str">
            <v>6285 SIG P320 X300U STX TAC BLK RH</v>
          </cell>
          <cell r="F304" t="str">
            <v>DG-HOLSTER</v>
          </cell>
          <cell r="G304" t="str">
            <v>1420-210-FG</v>
          </cell>
          <cell r="H304" t="str">
            <v>R</v>
          </cell>
          <cell r="I304" t="str">
            <v>06/04/2024</v>
          </cell>
          <cell r="J304" t="str">
            <v>06/10/2024</v>
          </cell>
          <cell r="K304" t="str">
            <v>06/14/2024</v>
          </cell>
          <cell r="L304">
            <v>1</v>
          </cell>
          <cell r="M304" t="str">
            <v>6/6/2024 8:03:50 AM</v>
          </cell>
          <cell r="N304" t="str">
            <v>24</v>
          </cell>
          <cell r="O304">
            <v>1</v>
          </cell>
          <cell r="P304">
            <v>0.35</v>
          </cell>
        </row>
        <row r="305">
          <cell r="A305" t="str">
            <v>6724887</v>
          </cell>
          <cell r="B305" t="str">
            <v>1170530</v>
          </cell>
          <cell r="C305" t="str">
            <v>6287-283-411-150</v>
          </cell>
          <cell r="D305" t="str">
            <v>6287</v>
          </cell>
          <cell r="E305" t="str">
            <v>6287 GLOCK 19/23 STX PLN BLK RH</v>
          </cell>
          <cell r="F305" t="str">
            <v>DG-HOLSTER-SEW</v>
          </cell>
          <cell r="G305" t="str">
            <v>1420-210-FG</v>
          </cell>
          <cell r="H305" t="str">
            <v>R</v>
          </cell>
          <cell r="I305" t="str">
            <v>06/04/2024</v>
          </cell>
          <cell r="J305" t="str">
            <v>06/10/2024</v>
          </cell>
          <cell r="K305" t="str">
            <v>06/14/2024</v>
          </cell>
          <cell r="L305">
            <v>1</v>
          </cell>
          <cell r="M305" t="str">
            <v>6/6/2024 8:10:30 AM</v>
          </cell>
          <cell r="N305" t="str">
            <v>24</v>
          </cell>
          <cell r="O305">
            <v>1</v>
          </cell>
          <cell r="P305">
            <v>0.28000000000000003</v>
          </cell>
        </row>
        <row r="306">
          <cell r="A306" t="str">
            <v>6723922</v>
          </cell>
          <cell r="B306" t="str">
            <v>1119449</v>
          </cell>
          <cell r="C306" t="str">
            <v>6287-2832-131</v>
          </cell>
          <cell r="D306" t="str">
            <v>6287</v>
          </cell>
          <cell r="E306" t="str">
            <v>6287 GLOCK 19/23 X300 STX TAC BLK RH</v>
          </cell>
          <cell r="F306" t="str">
            <v>DG-HOLSTER-SEW</v>
          </cell>
          <cell r="G306" t="str">
            <v>1420-210-FG</v>
          </cell>
          <cell r="H306" t="str">
            <v>R</v>
          </cell>
          <cell r="I306" t="str">
            <v>06/03/2024</v>
          </cell>
          <cell r="J306" t="str">
            <v>06/03/2024</v>
          </cell>
          <cell r="K306" t="str">
            <v>06/14/2024</v>
          </cell>
          <cell r="L306">
            <v>5</v>
          </cell>
          <cell r="M306" t="str">
            <v>6/6/2024 8:03:50 AM</v>
          </cell>
          <cell r="N306" t="str">
            <v>24</v>
          </cell>
          <cell r="O306">
            <v>5</v>
          </cell>
          <cell r="P306">
            <v>2.0299999999999998</v>
          </cell>
        </row>
        <row r="307">
          <cell r="A307" t="str">
            <v>6724884</v>
          </cell>
          <cell r="B307" t="str">
            <v>1110724</v>
          </cell>
          <cell r="C307" t="str">
            <v>6287-93-131-175</v>
          </cell>
          <cell r="D307" t="str">
            <v>6287</v>
          </cell>
          <cell r="E307" t="str">
            <v>6287 H&amp;K USP 45 STX TAC BLK RH</v>
          </cell>
          <cell r="F307" t="str">
            <v>DG-HOLSTER-SEW</v>
          </cell>
          <cell r="G307" t="str">
            <v>1420-210-FG</v>
          </cell>
          <cell r="H307" t="str">
            <v>R</v>
          </cell>
          <cell r="I307" t="str">
            <v>06/04/2024</v>
          </cell>
          <cell r="J307" t="str">
            <v>06/10/2024</v>
          </cell>
          <cell r="K307" t="str">
            <v>06/14/2024</v>
          </cell>
          <cell r="L307">
            <v>1</v>
          </cell>
          <cell r="M307" t="str">
            <v>6/6/2024 8:03:50 AM</v>
          </cell>
          <cell r="N307" t="str">
            <v>24</v>
          </cell>
          <cell r="O307">
            <v>1</v>
          </cell>
          <cell r="P307">
            <v>0.19</v>
          </cell>
        </row>
        <row r="308">
          <cell r="A308" t="str">
            <v>6724727</v>
          </cell>
          <cell r="B308" t="str">
            <v>1149830</v>
          </cell>
          <cell r="C308" t="str">
            <v>6304-832-561-MS19-MS27</v>
          </cell>
          <cell r="D308" t="str">
            <v>6304</v>
          </cell>
          <cell r="E308" t="str">
            <v>6304 GLOCK 17/22 X300U STX TAC ODG RH</v>
          </cell>
          <cell r="F308" t="str">
            <v>DG-HOLSTER-H-DTC</v>
          </cell>
          <cell r="G308" t="str">
            <v>1420-210-FG</v>
          </cell>
          <cell r="H308" t="str">
            <v>R</v>
          </cell>
          <cell r="I308" t="str">
            <v>06/04/2024</v>
          </cell>
          <cell r="J308" t="str">
            <v>06/10/2024</v>
          </cell>
          <cell r="K308" t="str">
            <v>06/14/2024</v>
          </cell>
          <cell r="L308">
            <v>2</v>
          </cell>
          <cell r="M308" t="str">
            <v>6/6/2024 8:12:39 AM</v>
          </cell>
          <cell r="N308" t="str">
            <v>24</v>
          </cell>
          <cell r="O308">
            <v>2</v>
          </cell>
          <cell r="P308">
            <v>0.93</v>
          </cell>
        </row>
        <row r="309">
          <cell r="A309" t="str">
            <v>6725061</v>
          </cell>
          <cell r="B309" t="str">
            <v>1329126</v>
          </cell>
          <cell r="C309" t="str">
            <v>6304RDS-2712-132</v>
          </cell>
          <cell r="D309" t="str">
            <v>6304RDS</v>
          </cell>
          <cell r="E309" t="str">
            <v>6304RDS FN509T 4.5IN X300U STX TACBLK LH</v>
          </cell>
          <cell r="F309" t="str">
            <v>DG-HOLSTER-RDS</v>
          </cell>
          <cell r="G309" t="str">
            <v>1420-210-FG</v>
          </cell>
          <cell r="H309" t="str">
            <v>R</v>
          </cell>
          <cell r="I309" t="str">
            <v>06/05/2024</v>
          </cell>
          <cell r="J309" t="str">
            <v>06/05/2024</v>
          </cell>
          <cell r="K309" t="str">
            <v>06/14/2024</v>
          </cell>
          <cell r="L309">
            <v>1</v>
          </cell>
          <cell r="M309" t="str">
            <v>6/6/2024 8:25:49 AM</v>
          </cell>
          <cell r="N309" t="str">
            <v>24</v>
          </cell>
          <cell r="O309">
            <v>1</v>
          </cell>
          <cell r="P309">
            <v>0.4</v>
          </cell>
        </row>
        <row r="310">
          <cell r="A310" t="str">
            <v>6724881</v>
          </cell>
          <cell r="B310" t="str">
            <v>1336604</v>
          </cell>
          <cell r="C310" t="str">
            <v>6304RDS-832-G991-MS19</v>
          </cell>
          <cell r="D310" t="str">
            <v>6304RDS</v>
          </cell>
          <cell r="E310" t="str">
            <v>6304RDS GLK 17MOS X300U SIX CLR DST RH</v>
          </cell>
          <cell r="F310" t="str">
            <v>DG-HOLSTER-RDS-DTC</v>
          </cell>
          <cell r="G310" t="str">
            <v>1420-210-FG</v>
          </cell>
          <cell r="H310" t="str">
            <v>R</v>
          </cell>
          <cell r="I310" t="str">
            <v>06/04/2024</v>
          </cell>
          <cell r="J310" t="str">
            <v>06/06/2024</v>
          </cell>
          <cell r="K310" t="str">
            <v>06/14/2024</v>
          </cell>
          <cell r="L310">
            <v>5</v>
          </cell>
          <cell r="M310" t="str">
            <v>6/6/2024 8:34:43 AM</v>
          </cell>
          <cell r="N310" t="str">
            <v>24</v>
          </cell>
          <cell r="O310">
            <v>5</v>
          </cell>
          <cell r="P310">
            <v>2.17</v>
          </cell>
        </row>
        <row r="311">
          <cell r="A311" t="str">
            <v>6724390</v>
          </cell>
          <cell r="B311" t="str">
            <v>1336745</v>
          </cell>
          <cell r="C311" t="str">
            <v>6304RDS-8252-131</v>
          </cell>
          <cell r="D311" t="str">
            <v>6304RDS</v>
          </cell>
          <cell r="E311" t="str">
            <v>6304RDS GLOCK22 GEN5 X300U STXTAC BLK RH</v>
          </cell>
          <cell r="F311" t="str">
            <v>DG-HOLSTER-RDS-DTC</v>
          </cell>
          <cell r="G311" t="str">
            <v>1420-210-FG</v>
          </cell>
          <cell r="H311" t="str">
            <v>R</v>
          </cell>
          <cell r="I311" t="str">
            <v>06/04/2024</v>
          </cell>
          <cell r="J311" t="str">
            <v>06/04/2024</v>
          </cell>
          <cell r="K311" t="str">
            <v>06/14/2024</v>
          </cell>
          <cell r="L311">
            <v>1</v>
          </cell>
          <cell r="M311" t="str">
            <v>6/6/2024 8:34:43 AM</v>
          </cell>
          <cell r="N311" t="str">
            <v>24</v>
          </cell>
          <cell r="O311">
            <v>1</v>
          </cell>
          <cell r="P311">
            <v>0.4</v>
          </cell>
        </row>
        <row r="312">
          <cell r="A312" t="str">
            <v>6724393</v>
          </cell>
          <cell r="B312" t="str">
            <v>1336833</v>
          </cell>
          <cell r="C312" t="str">
            <v>6304RDS-28252-131</v>
          </cell>
          <cell r="D312" t="str">
            <v>6304RDS</v>
          </cell>
          <cell r="E312" t="str">
            <v>6304RDS GLOCK23 GEN5 X300U STXTAC BLK RH</v>
          </cell>
          <cell r="F312" t="str">
            <v>DG-HOLSTER-RDS-DTC</v>
          </cell>
          <cell r="G312" t="str">
            <v>1420-210-FG</v>
          </cell>
          <cell r="H312" t="str">
            <v>R</v>
          </cell>
          <cell r="I312" t="str">
            <v>06/04/2024</v>
          </cell>
          <cell r="J312" t="str">
            <v>06/04/2024</v>
          </cell>
          <cell r="K312" t="str">
            <v>06/14/2024</v>
          </cell>
          <cell r="L312">
            <v>1</v>
          </cell>
          <cell r="M312" t="str">
            <v>6/6/2024 8:34:43 AM</v>
          </cell>
          <cell r="N312" t="str">
            <v>24</v>
          </cell>
          <cell r="O312">
            <v>1</v>
          </cell>
          <cell r="P312">
            <v>0.4</v>
          </cell>
        </row>
        <row r="313">
          <cell r="A313" t="str">
            <v>6725077</v>
          </cell>
          <cell r="B313" t="str">
            <v>1336609</v>
          </cell>
          <cell r="C313" t="str">
            <v>6304RDS-1582-G991-MS19</v>
          </cell>
          <cell r="D313" t="str">
            <v>6304RDS</v>
          </cell>
          <cell r="E313" t="str">
            <v>6304RDS STI STACC P4.4"X300U SIXCLRDS RH</v>
          </cell>
          <cell r="F313" t="str">
            <v>DG-HOLSTER-RDS-DTC</v>
          </cell>
          <cell r="G313" t="str">
            <v>1420-210-FG</v>
          </cell>
          <cell r="H313" t="str">
            <v>R</v>
          </cell>
          <cell r="I313" t="str">
            <v>06/05/2024</v>
          </cell>
          <cell r="J313" t="str">
            <v>06/05/2024</v>
          </cell>
          <cell r="K313" t="str">
            <v>06/14/2024</v>
          </cell>
          <cell r="L313">
            <v>1</v>
          </cell>
          <cell r="M313" t="str">
            <v>6/6/2024 8:34:43 AM</v>
          </cell>
          <cell r="N313" t="str">
            <v>24</v>
          </cell>
          <cell r="O313">
            <v>1</v>
          </cell>
          <cell r="P313">
            <v>0.43</v>
          </cell>
        </row>
        <row r="314">
          <cell r="A314" t="str">
            <v>6725042</v>
          </cell>
          <cell r="B314" t="str">
            <v>1123592</v>
          </cell>
          <cell r="C314" t="str">
            <v>6305-56-131</v>
          </cell>
          <cell r="D314" t="str">
            <v>6305</v>
          </cell>
          <cell r="E314" t="str">
            <v>6305 SPRNGFLD OPR STX TAC BLK RH</v>
          </cell>
          <cell r="F314" t="str">
            <v>DG-HOLSTER</v>
          </cell>
          <cell r="G314" t="str">
            <v>1420-210-FG</v>
          </cell>
          <cell r="H314" t="str">
            <v>R</v>
          </cell>
          <cell r="I314" t="str">
            <v>06/05/2024</v>
          </cell>
          <cell r="J314" t="str">
            <v>06/05/2024</v>
          </cell>
          <cell r="K314" t="str">
            <v>06/14/2024</v>
          </cell>
          <cell r="L314">
            <v>1</v>
          </cell>
          <cell r="M314" t="str">
            <v>6/6/2024 7:47:45 AM</v>
          </cell>
          <cell r="N314" t="str">
            <v>24</v>
          </cell>
          <cell r="O314">
            <v>1</v>
          </cell>
          <cell r="P314">
            <v>0.24</v>
          </cell>
        </row>
        <row r="315">
          <cell r="A315" t="str">
            <v>6724746</v>
          </cell>
          <cell r="B315" t="str">
            <v>1204849</v>
          </cell>
          <cell r="C315" t="str">
            <v>6305RDS-6832-701</v>
          </cell>
          <cell r="D315" t="str">
            <v>6305RDS</v>
          </cell>
          <cell r="E315" t="str">
            <v>6305RDS GLOCK 34/35 X300U COR MLTCM RH</v>
          </cell>
          <cell r="F315" t="str">
            <v>DG-HOLSTER-RDS</v>
          </cell>
          <cell r="G315" t="str">
            <v>1420-210-FG</v>
          </cell>
          <cell r="H315" t="str">
            <v>R</v>
          </cell>
          <cell r="I315" t="str">
            <v>06/04/2024</v>
          </cell>
          <cell r="J315" t="str">
            <v>06/10/2024</v>
          </cell>
          <cell r="K315" t="str">
            <v>06/14/2024</v>
          </cell>
          <cell r="L315">
            <v>1</v>
          </cell>
          <cell r="M315" t="str">
            <v>6/6/2024 8:51:49 AM</v>
          </cell>
          <cell r="N315" t="str">
            <v>24</v>
          </cell>
          <cell r="O315">
            <v>1</v>
          </cell>
          <cell r="P315">
            <v>0.4</v>
          </cell>
        </row>
        <row r="316">
          <cell r="A316" t="str">
            <v>6724762</v>
          </cell>
          <cell r="B316" t="str">
            <v>1305575</v>
          </cell>
          <cell r="C316" t="str">
            <v>6305RDS-4502-741</v>
          </cell>
          <cell r="D316" t="str">
            <v>6305RDS</v>
          </cell>
          <cell r="E316" t="str">
            <v>6305RDS SIG P320RX X300U CORD CYTB RH</v>
          </cell>
          <cell r="F316" t="str">
            <v>DG-HOLSTER-RDS</v>
          </cell>
          <cell r="G316" t="str">
            <v>1420-210-FG</v>
          </cell>
          <cell r="H316" t="str">
            <v>R</v>
          </cell>
          <cell r="I316" t="str">
            <v>06/04/2024</v>
          </cell>
          <cell r="J316" t="str">
            <v>06/11/2024</v>
          </cell>
          <cell r="K316" t="str">
            <v>06/14/2024</v>
          </cell>
          <cell r="L316">
            <v>1</v>
          </cell>
          <cell r="M316" t="str">
            <v>6/6/2024 8:51:49 AM</v>
          </cell>
          <cell r="N316" t="str">
            <v>24</v>
          </cell>
          <cell r="O316">
            <v>1</v>
          </cell>
          <cell r="P316">
            <v>0.43</v>
          </cell>
        </row>
        <row r="317">
          <cell r="A317" t="str">
            <v>6725501</v>
          </cell>
          <cell r="B317" t="str">
            <v>1187985</v>
          </cell>
          <cell r="C317" t="str">
            <v>6354-283-551-SP10</v>
          </cell>
          <cell r="D317" t="str">
            <v>6354</v>
          </cell>
          <cell r="E317" t="str">
            <v>6354 GLOCK 19/23 STX TAC FDE RH</v>
          </cell>
          <cell r="F317" t="str">
            <v>DG-HOLSTER-H-DTC</v>
          </cell>
          <cell r="G317" t="str">
            <v>1420-210-FG</v>
          </cell>
          <cell r="H317" t="str">
            <v>R</v>
          </cell>
          <cell r="I317" t="str">
            <v>06/05/2024</v>
          </cell>
          <cell r="J317" t="str">
            <v>06/11/2024</v>
          </cell>
          <cell r="K317" t="str">
            <v>06/14/2024</v>
          </cell>
          <cell r="L317">
            <v>1</v>
          </cell>
          <cell r="M317" t="str">
            <v>6/6/2024 8:11:30 AM</v>
          </cell>
          <cell r="N317" t="str">
            <v>24</v>
          </cell>
          <cell r="O317">
            <v>1</v>
          </cell>
          <cell r="P317">
            <v>0.25</v>
          </cell>
        </row>
        <row r="318">
          <cell r="A318" t="str">
            <v>6725043</v>
          </cell>
          <cell r="B318" t="str">
            <v>1127366</v>
          </cell>
          <cell r="C318" t="str">
            <v>6354-149-551</v>
          </cell>
          <cell r="D318" t="str">
            <v>6354</v>
          </cell>
          <cell r="E318" t="str">
            <v>6354 SPRNGFLD XD 9/40/45 STX TAC FDE RH</v>
          </cell>
          <cell r="F318" t="str">
            <v>DG-HOLSTER</v>
          </cell>
          <cell r="G318" t="str">
            <v>1420-210-FG</v>
          </cell>
          <cell r="H318" t="str">
            <v>R</v>
          </cell>
          <cell r="I318" t="str">
            <v>06/05/2024</v>
          </cell>
          <cell r="J318" t="str">
            <v>06/05/2024</v>
          </cell>
          <cell r="K318" t="str">
            <v>06/14/2024</v>
          </cell>
          <cell r="L318">
            <v>1</v>
          </cell>
          <cell r="M318" t="str">
            <v>6/13/2024 7:55:20 AM</v>
          </cell>
          <cell r="N318" t="str">
            <v>24</v>
          </cell>
          <cell r="O318">
            <v>1</v>
          </cell>
          <cell r="P318">
            <v>0.28999999999999998</v>
          </cell>
        </row>
        <row r="319">
          <cell r="A319" t="str">
            <v>6723459</v>
          </cell>
          <cell r="B319" t="str">
            <v>1153958</v>
          </cell>
          <cell r="C319" t="str">
            <v>6354DO-83-701-MS19</v>
          </cell>
          <cell r="D319" t="str">
            <v>6354DO</v>
          </cell>
          <cell r="E319" t="str">
            <v>6354DO GLOCK 17/22 CORD MTCM RH</v>
          </cell>
          <cell r="F319" t="str">
            <v>DG-HOLSTER-DO-DTC</v>
          </cell>
          <cell r="G319" t="str">
            <v>1420-210-FG</v>
          </cell>
          <cell r="H319" t="str">
            <v>R</v>
          </cell>
          <cell r="I319" t="str">
            <v>06/03/2024</v>
          </cell>
          <cell r="J319" t="str">
            <v>06/03/2024</v>
          </cell>
          <cell r="K319" t="str">
            <v>06/14/2024</v>
          </cell>
          <cell r="L319">
            <v>5</v>
          </cell>
          <cell r="M319" t="str">
            <v>6/6/2024 8:51:49 AM</v>
          </cell>
          <cell r="N319" t="str">
            <v>24</v>
          </cell>
          <cell r="O319">
            <v>5</v>
          </cell>
          <cell r="P319">
            <v>3.08</v>
          </cell>
        </row>
        <row r="320">
          <cell r="A320" t="str">
            <v>6724961</v>
          </cell>
          <cell r="B320" t="str">
            <v>1167732</v>
          </cell>
          <cell r="C320" t="str">
            <v>6354DO-6832-731-MS19</v>
          </cell>
          <cell r="D320" t="str">
            <v>6354DO</v>
          </cell>
          <cell r="E320" t="str">
            <v>6354DO GLOCK 34/35 X300U COR CAM GRN RH</v>
          </cell>
          <cell r="F320" t="str">
            <v>DG-HOLSTER-DO</v>
          </cell>
          <cell r="G320" t="str">
            <v>1420-210-FG</v>
          </cell>
          <cell r="H320" t="str">
            <v>R</v>
          </cell>
          <cell r="I320" t="str">
            <v>06/04/2024</v>
          </cell>
          <cell r="J320" t="str">
            <v>06/10/2024</v>
          </cell>
          <cell r="K320" t="str">
            <v>06/14/2024</v>
          </cell>
          <cell r="L320">
            <v>5</v>
          </cell>
          <cell r="M320" t="str">
            <v>6/6/2024 8:51:49 AM</v>
          </cell>
          <cell r="N320" t="str">
            <v>24</v>
          </cell>
          <cell r="O320">
            <v>5</v>
          </cell>
          <cell r="P320">
            <v>2.25</v>
          </cell>
        </row>
        <row r="321">
          <cell r="A321" t="str">
            <v>6724879</v>
          </cell>
          <cell r="B321" t="str">
            <v>1336591</v>
          </cell>
          <cell r="C321" t="str">
            <v>6354RDS-832-G992-MS19</v>
          </cell>
          <cell r="D321" t="str">
            <v>6354RDS</v>
          </cell>
          <cell r="E321" t="str">
            <v>6354RDS GLK 17MOS X300U SIX CLR DST LH</v>
          </cell>
          <cell r="F321" t="str">
            <v>DG-HOLSTER-RDS-DTC</v>
          </cell>
          <cell r="G321" t="str">
            <v>1420-210-FG</v>
          </cell>
          <cell r="H321" t="str">
            <v>R</v>
          </cell>
          <cell r="I321" t="str">
            <v>06/04/2024</v>
          </cell>
          <cell r="J321" t="str">
            <v>06/07/2024</v>
          </cell>
          <cell r="K321" t="str">
            <v>06/14/2024</v>
          </cell>
          <cell r="L321">
            <v>1</v>
          </cell>
          <cell r="M321" t="str">
            <v>6/6/2024 8:34:43 AM</v>
          </cell>
          <cell r="N321" t="str">
            <v>24</v>
          </cell>
          <cell r="O321">
            <v>1</v>
          </cell>
          <cell r="P321">
            <v>0.43</v>
          </cell>
        </row>
        <row r="322">
          <cell r="A322" t="str">
            <v>6724835</v>
          </cell>
          <cell r="B322" t="str">
            <v>1305399</v>
          </cell>
          <cell r="C322" t="str">
            <v>6354RDS-832-552-MS19</v>
          </cell>
          <cell r="D322" t="str">
            <v>6354RDS</v>
          </cell>
          <cell r="E322" t="str">
            <v>6354RDS GLOCK 17MOS X300U STX TAC FDE LH</v>
          </cell>
          <cell r="F322" t="str">
            <v>DG-HOLSTER-RDS-DTC</v>
          </cell>
          <cell r="G322" t="str">
            <v>1420-210-FG</v>
          </cell>
          <cell r="H322" t="str">
            <v>R</v>
          </cell>
          <cell r="I322" t="str">
            <v>06/04/2024</v>
          </cell>
          <cell r="J322" t="str">
            <v>06/10/2024</v>
          </cell>
          <cell r="K322" t="str">
            <v>06/14/2024</v>
          </cell>
          <cell r="L322">
            <v>2</v>
          </cell>
          <cell r="M322" t="str">
            <v>6/6/2024 8:28:34 AM</v>
          </cell>
          <cell r="N322" t="str">
            <v>24</v>
          </cell>
          <cell r="O322">
            <v>2</v>
          </cell>
          <cell r="P322">
            <v>0.87</v>
          </cell>
        </row>
        <row r="323">
          <cell r="A323" t="str">
            <v>6724832</v>
          </cell>
          <cell r="B323" t="str">
            <v>1206818</v>
          </cell>
          <cell r="C323" t="str">
            <v>6354RDS-2832-701-MS19</v>
          </cell>
          <cell r="D323" t="str">
            <v>6354RDS</v>
          </cell>
          <cell r="E323" t="str">
            <v>6354RDS GLOCK 19MOS X300U CORD MLTCM RH</v>
          </cell>
          <cell r="F323" t="str">
            <v>DG-HOLSTER-RDS-DTC</v>
          </cell>
          <cell r="G323" t="str">
            <v>1420-210-FG</v>
          </cell>
          <cell r="H323" t="str">
            <v>R</v>
          </cell>
          <cell r="I323" t="str">
            <v>06/04/2024</v>
          </cell>
          <cell r="J323" t="str">
            <v>06/10/2024</v>
          </cell>
          <cell r="K323" t="str">
            <v>06/14/2024</v>
          </cell>
          <cell r="L323">
            <v>1</v>
          </cell>
          <cell r="M323" t="str">
            <v>6/6/2024 7:56:18 AM</v>
          </cell>
          <cell r="N323" t="str">
            <v>24</v>
          </cell>
          <cell r="O323">
            <v>1</v>
          </cell>
          <cell r="P323">
            <v>0.4</v>
          </cell>
        </row>
        <row r="324">
          <cell r="A324" t="str">
            <v>6725079</v>
          </cell>
          <cell r="B324" t="str">
            <v>1337129</v>
          </cell>
          <cell r="C324" t="str">
            <v>6354RDS-1582-781-MS19-MS27</v>
          </cell>
          <cell r="D324" t="str">
            <v>6354RDS</v>
          </cell>
          <cell r="E324" t="str">
            <v>6354RDS STI STACC P 4.4" X300U CORBLK RH</v>
          </cell>
          <cell r="F324" t="str">
            <v>DG-HOLSTER-RDS-DTC</v>
          </cell>
          <cell r="G324" t="str">
            <v>1420-210-FG</v>
          </cell>
          <cell r="H324" t="str">
            <v>R</v>
          </cell>
          <cell r="I324" t="str">
            <v>06/05/2024</v>
          </cell>
          <cell r="J324" t="str">
            <v>06/05/2024</v>
          </cell>
          <cell r="K324" t="str">
            <v>06/14/2024</v>
          </cell>
          <cell r="L324">
            <v>1</v>
          </cell>
          <cell r="M324" t="str">
            <v>6/6/2024 8:53:38 AM</v>
          </cell>
          <cell r="N324" t="str">
            <v>24</v>
          </cell>
          <cell r="O324">
            <v>1</v>
          </cell>
          <cell r="P324">
            <v>0.43</v>
          </cell>
        </row>
        <row r="325">
          <cell r="A325" t="str">
            <v>6723897</v>
          </cell>
          <cell r="B325" t="str">
            <v>1335262</v>
          </cell>
          <cell r="C325" t="str">
            <v>6354RDSO-2832-E991-MS19</v>
          </cell>
          <cell r="D325" t="str">
            <v>6354RDSO</v>
          </cell>
          <cell r="E325" t="str">
            <v>6354RDSO GLK 19MOS X300U CR KTK HLD RH</v>
          </cell>
          <cell r="F325" t="str">
            <v>DG-HOLSTER-RDS-DTC</v>
          </cell>
          <cell r="G325" t="str">
            <v>1420-210-FG</v>
          </cell>
          <cell r="H325" t="str">
            <v>R</v>
          </cell>
          <cell r="I325" t="str">
            <v>06/03/2024</v>
          </cell>
          <cell r="J325" t="str">
            <v>06/03/2024</v>
          </cell>
          <cell r="K325" t="str">
            <v>06/14/2024</v>
          </cell>
          <cell r="L325">
            <v>5</v>
          </cell>
          <cell r="M325" t="str">
            <v>6/6/2024 7:54:33 AM</v>
          </cell>
          <cell r="N325" t="str">
            <v>24</v>
          </cell>
          <cell r="O325">
            <v>5</v>
          </cell>
          <cell r="P325">
            <v>2.17</v>
          </cell>
        </row>
        <row r="326">
          <cell r="A326" t="str">
            <v>6724864</v>
          </cell>
          <cell r="B326" t="str">
            <v>1335649</v>
          </cell>
          <cell r="C326" t="str">
            <v>6354RDSO-28328-132-MS19</v>
          </cell>
          <cell r="D326" t="str">
            <v>6354RDSO</v>
          </cell>
          <cell r="E326" t="str">
            <v>6354RDSO GLOCK 19MOS TLR-8 STXTAC BLK LH</v>
          </cell>
          <cell r="F326" t="str">
            <v>DG-HOLSTER-RDS-DTC</v>
          </cell>
          <cell r="G326" t="str">
            <v>1420-210-FG</v>
          </cell>
          <cell r="H326" t="str">
            <v>R</v>
          </cell>
          <cell r="I326" t="str">
            <v>06/04/2024</v>
          </cell>
          <cell r="J326" t="str">
            <v>06/10/2024</v>
          </cell>
          <cell r="K326" t="str">
            <v>06/14/2024</v>
          </cell>
          <cell r="L326">
            <v>1</v>
          </cell>
          <cell r="M326" t="str">
            <v>6/6/2024 8:16:44 AM</v>
          </cell>
          <cell r="N326" t="str">
            <v>24</v>
          </cell>
          <cell r="O326">
            <v>1</v>
          </cell>
          <cell r="P326">
            <v>0.43</v>
          </cell>
        </row>
        <row r="327">
          <cell r="A327" t="str">
            <v>6723772</v>
          </cell>
          <cell r="B327" t="str">
            <v>1334796</v>
          </cell>
          <cell r="C327" t="str">
            <v>6354RDSO-2832-701-MS19</v>
          </cell>
          <cell r="D327" t="str">
            <v>6354RDSO</v>
          </cell>
          <cell r="E327" t="str">
            <v>6354RDSO GLOCK 19MOS X300U CORD MLTCM RH</v>
          </cell>
          <cell r="F327" t="str">
            <v>DG-HOLSTER-RDS-DTC</v>
          </cell>
          <cell r="G327" t="str">
            <v>1420-210-FG</v>
          </cell>
          <cell r="H327" t="str">
            <v>F</v>
          </cell>
          <cell r="I327" t="str">
            <v>06/03/2024</v>
          </cell>
          <cell r="J327" t="str">
            <v>06/03/2024</v>
          </cell>
          <cell r="K327" t="str">
            <v>06/14/2024</v>
          </cell>
          <cell r="L327">
            <v>30</v>
          </cell>
          <cell r="M327" t="str">
            <v/>
          </cell>
          <cell r="N327" t="str">
            <v>24</v>
          </cell>
          <cell r="O327">
            <v>30</v>
          </cell>
          <cell r="P327">
            <v>12.99</v>
          </cell>
        </row>
        <row r="328">
          <cell r="A328" t="str">
            <v>6723773</v>
          </cell>
          <cell r="B328" t="str">
            <v>1334806</v>
          </cell>
          <cell r="C328" t="str">
            <v>6354RDSO-2832-721-MS19</v>
          </cell>
          <cell r="D328" t="str">
            <v>6354RDSO</v>
          </cell>
          <cell r="E328" t="str">
            <v>6354RDSO GLOCK 19MOS X300U CR OD RGRN RH</v>
          </cell>
          <cell r="F328" t="str">
            <v>DG-HOLSTER-RDS-DTC</v>
          </cell>
          <cell r="G328" t="str">
            <v>1420-210-FG</v>
          </cell>
          <cell r="H328" t="str">
            <v>R</v>
          </cell>
          <cell r="I328" t="str">
            <v>06/03/2024</v>
          </cell>
          <cell r="J328" t="str">
            <v>06/03/2024</v>
          </cell>
          <cell r="K328" t="str">
            <v>06/14/2024</v>
          </cell>
          <cell r="L328">
            <v>14</v>
          </cell>
          <cell r="M328" t="str">
            <v>6/6/2024 7:54:33 AM</v>
          </cell>
          <cell r="N328" t="str">
            <v>24</v>
          </cell>
          <cell r="O328">
            <v>14</v>
          </cell>
          <cell r="P328">
            <v>6.06</v>
          </cell>
        </row>
        <row r="329">
          <cell r="A329" t="str">
            <v>6723872</v>
          </cell>
          <cell r="B329" t="str">
            <v>1334518</v>
          </cell>
          <cell r="C329" t="str">
            <v>6354RDSO-4502-721-MS19</v>
          </cell>
          <cell r="D329" t="str">
            <v>6354RDSO</v>
          </cell>
          <cell r="E329" t="str">
            <v>6354RDSO SIGP320RX X300U COR OD RGRN RH</v>
          </cell>
          <cell r="F329" t="str">
            <v>DG-HOLSTER-RDS-DTC</v>
          </cell>
          <cell r="G329" t="str">
            <v>1420-210-FG</v>
          </cell>
          <cell r="H329" t="str">
            <v>R</v>
          </cell>
          <cell r="I329" t="str">
            <v>06/03/2024</v>
          </cell>
          <cell r="J329" t="str">
            <v>06/03/2024</v>
          </cell>
          <cell r="K329" t="str">
            <v>06/14/2024</v>
          </cell>
          <cell r="L329">
            <v>9</v>
          </cell>
          <cell r="M329" t="str">
            <v>6/6/2024 8:53:38 AM</v>
          </cell>
          <cell r="N329" t="str">
            <v>24</v>
          </cell>
          <cell r="O329">
            <v>9</v>
          </cell>
          <cell r="P329">
            <v>3.9</v>
          </cell>
        </row>
        <row r="330">
          <cell r="A330" t="str">
            <v>6724872</v>
          </cell>
          <cell r="B330" t="str">
            <v>1336358</v>
          </cell>
          <cell r="C330" t="str">
            <v>6354RDSO-5842-131-MS19</v>
          </cell>
          <cell r="D330" t="str">
            <v>6354RDSO</v>
          </cell>
          <cell r="E330" t="str">
            <v>6354RDSO WLTHRPDP 4.5 X300U STXTACBLK RH</v>
          </cell>
          <cell r="F330" t="str">
            <v>DG-HOLSTER-RDS-DTC</v>
          </cell>
          <cell r="G330" t="str">
            <v>1420-210-FG</v>
          </cell>
          <cell r="H330" t="str">
            <v>R</v>
          </cell>
          <cell r="I330" t="str">
            <v>06/04/2024</v>
          </cell>
          <cell r="J330" t="str">
            <v>06/05/2024</v>
          </cell>
          <cell r="K330" t="str">
            <v>06/14/2024</v>
          </cell>
          <cell r="L330">
            <v>4</v>
          </cell>
          <cell r="M330" t="str">
            <v>6/6/2024 8:34:43 AM</v>
          </cell>
          <cell r="N330" t="str">
            <v>24</v>
          </cell>
          <cell r="O330">
            <v>4</v>
          </cell>
          <cell r="P330">
            <v>1.73</v>
          </cell>
        </row>
        <row r="331">
          <cell r="A331" t="str">
            <v>6724883</v>
          </cell>
          <cell r="B331" t="str">
            <v>1337051</v>
          </cell>
          <cell r="C331" t="str">
            <v>6354RDSTRX-832-721-MS19-NP</v>
          </cell>
          <cell r="D331" t="str">
            <v>6354RDSTRX</v>
          </cell>
          <cell r="E331" t="str">
            <v>6354RDSTRX GLK 17MOS X300 COR OD RGRN RH</v>
          </cell>
          <cell r="F331" t="str">
            <v>DG-HOLSTER-RDS-DTC</v>
          </cell>
          <cell r="G331" t="str">
            <v>1420-210-FG</v>
          </cell>
          <cell r="H331" t="str">
            <v>R</v>
          </cell>
          <cell r="I331" t="str">
            <v>06/04/2024</v>
          </cell>
          <cell r="J331" t="str">
            <v>06/10/2024</v>
          </cell>
          <cell r="K331" t="str">
            <v>06/14/2024</v>
          </cell>
          <cell r="L331">
            <v>1</v>
          </cell>
          <cell r="M331" t="str">
            <v>6/6/2024 8:53:38 AM</v>
          </cell>
          <cell r="N331" t="str">
            <v>24</v>
          </cell>
          <cell r="O331">
            <v>1</v>
          </cell>
          <cell r="P331">
            <v>0.43</v>
          </cell>
        </row>
        <row r="332">
          <cell r="A332" t="str">
            <v>6724763</v>
          </cell>
          <cell r="B332" t="str">
            <v>1305610</v>
          </cell>
          <cell r="C332" t="str">
            <v>6355RDS-4502-741</v>
          </cell>
          <cell r="D332" t="str">
            <v>6355RDS</v>
          </cell>
          <cell r="E332" t="str">
            <v>6355RDS SIG P320RX X300U CORD CYBT RH</v>
          </cell>
          <cell r="F332" t="str">
            <v>DG-HOLSTER-RDS</v>
          </cell>
          <cell r="G332" t="str">
            <v>1420-210-FG</v>
          </cell>
          <cell r="H332" t="str">
            <v>R</v>
          </cell>
          <cell r="I332" t="str">
            <v>06/04/2024</v>
          </cell>
          <cell r="J332" t="str">
            <v>06/10/2024</v>
          </cell>
          <cell r="K332" t="str">
            <v>06/14/2024</v>
          </cell>
          <cell r="L332">
            <v>1</v>
          </cell>
          <cell r="M332" t="str">
            <v>6/6/2024 8:51:49 AM</v>
          </cell>
          <cell r="N332" t="str">
            <v>24</v>
          </cell>
          <cell r="O332">
            <v>1</v>
          </cell>
          <cell r="P332">
            <v>0.43</v>
          </cell>
        </row>
        <row r="333">
          <cell r="A333" t="str">
            <v>6724700</v>
          </cell>
          <cell r="B333" t="str">
            <v>1208508</v>
          </cell>
          <cell r="C333" t="str">
            <v>6360-8325-92</v>
          </cell>
          <cell r="D333" t="str">
            <v>6360</v>
          </cell>
          <cell r="E333" t="str">
            <v>6360 GLOCK 17 GEN5 X300U HGS BLK LH</v>
          </cell>
          <cell r="F333" t="str">
            <v>DG-HOLSTER-DTC</v>
          </cell>
          <cell r="G333" t="str">
            <v>1420-210-FG</v>
          </cell>
          <cell r="H333" t="str">
            <v>R</v>
          </cell>
          <cell r="I333" t="str">
            <v>06/04/2024</v>
          </cell>
          <cell r="J333" t="str">
            <v>06/10/2024</v>
          </cell>
          <cell r="K333" t="str">
            <v>06/14/2024</v>
          </cell>
          <cell r="L333">
            <v>5</v>
          </cell>
          <cell r="M333" t="str">
            <v>6/6/2024 7:49:48 AM</v>
          </cell>
          <cell r="N333" t="str">
            <v>24</v>
          </cell>
          <cell r="O333">
            <v>5</v>
          </cell>
          <cell r="P333">
            <v>1.66</v>
          </cell>
        </row>
        <row r="334">
          <cell r="A334" t="str">
            <v>6724660</v>
          </cell>
          <cell r="B334" t="str">
            <v>1121470</v>
          </cell>
          <cell r="C334" t="str">
            <v>6360-83-491OBL</v>
          </cell>
          <cell r="D334" t="str">
            <v>6360</v>
          </cell>
          <cell r="E334" t="str">
            <v>6360 GLOCK 17/22 STX HGS BLK RH</v>
          </cell>
          <cell r="F334" t="str">
            <v>DG-HOLSTER-DTC</v>
          </cell>
          <cell r="G334" t="str">
            <v>1420-210-FG</v>
          </cell>
          <cell r="H334" t="str">
            <v>R</v>
          </cell>
          <cell r="I334" t="str">
            <v>06/04/2024</v>
          </cell>
          <cell r="J334" t="str">
            <v>06/10/2024</v>
          </cell>
          <cell r="K334" t="str">
            <v>06/14/2024</v>
          </cell>
          <cell r="L334">
            <v>7</v>
          </cell>
          <cell r="M334" t="str">
            <v>6/6/2024 8:14:33 AM</v>
          </cell>
          <cell r="N334" t="str">
            <v>24</v>
          </cell>
          <cell r="O334">
            <v>7</v>
          </cell>
          <cell r="P334">
            <v>2.52</v>
          </cell>
        </row>
        <row r="335">
          <cell r="A335" t="str">
            <v>6726945</v>
          </cell>
          <cell r="B335" t="str">
            <v>1129668</v>
          </cell>
          <cell r="C335" t="str">
            <v>6360-278-131-2</v>
          </cell>
          <cell r="D335" t="str">
            <v>6360</v>
          </cell>
          <cell r="E335" t="str">
            <v>6360 SIG P2022 STX TAC BLK RH</v>
          </cell>
          <cell r="F335" t="str">
            <v>DG-HOLSTER</v>
          </cell>
          <cell r="G335" t="str">
            <v>1420-210-FG</v>
          </cell>
          <cell r="H335" t="str">
            <v>R</v>
          </cell>
          <cell r="I335" t="str">
            <v>06/10/2024</v>
          </cell>
          <cell r="J335" t="str">
            <v>06/10/2024</v>
          </cell>
          <cell r="K335" t="str">
            <v>06/14/2024</v>
          </cell>
          <cell r="L335">
            <v>3</v>
          </cell>
          <cell r="M335" t="str">
            <v>6/10/2024 12:36:15 PM</v>
          </cell>
          <cell r="N335" t="str">
            <v>24</v>
          </cell>
          <cell r="O335">
            <v>3</v>
          </cell>
          <cell r="P335">
            <v>0.7</v>
          </cell>
        </row>
        <row r="336">
          <cell r="A336" t="str">
            <v>6724944</v>
          </cell>
          <cell r="B336" t="str">
            <v>1183759</v>
          </cell>
          <cell r="C336" t="str">
            <v>6360-4502-82</v>
          </cell>
          <cell r="D336" t="str">
            <v>6360</v>
          </cell>
          <cell r="E336" t="str">
            <v>6360 SIG P320 X300U BSK BLK LH</v>
          </cell>
          <cell r="F336" t="str">
            <v>DG-HOLSTER</v>
          </cell>
          <cell r="G336" t="str">
            <v>1420-210-FG</v>
          </cell>
          <cell r="H336" t="str">
            <v>R</v>
          </cell>
          <cell r="I336" t="str">
            <v>06/04/2024</v>
          </cell>
          <cell r="J336" t="str">
            <v>06/10/2024</v>
          </cell>
          <cell r="K336" t="str">
            <v>06/14/2024</v>
          </cell>
          <cell r="L336">
            <v>2</v>
          </cell>
          <cell r="M336" t="str">
            <v>6/6/2024 7:49:48 AM</v>
          </cell>
          <cell r="N336" t="str">
            <v>24</v>
          </cell>
          <cell r="O336">
            <v>2</v>
          </cell>
          <cell r="P336">
            <v>0.66</v>
          </cell>
        </row>
        <row r="337">
          <cell r="A337" t="str">
            <v>6724943</v>
          </cell>
          <cell r="B337" t="str">
            <v>1183758</v>
          </cell>
          <cell r="C337" t="str">
            <v>6360-4502-81</v>
          </cell>
          <cell r="D337" t="str">
            <v>6360</v>
          </cell>
          <cell r="E337" t="str">
            <v>6360 SIG P320 X300U BSK BLK RH</v>
          </cell>
          <cell r="F337" t="str">
            <v>DG-HOLSTER</v>
          </cell>
          <cell r="G337" t="str">
            <v>1420-210-FG</v>
          </cell>
          <cell r="H337" t="str">
            <v>R</v>
          </cell>
          <cell r="I337" t="str">
            <v>06/04/2024</v>
          </cell>
          <cell r="J337" t="str">
            <v>06/10/2024</v>
          </cell>
          <cell r="K337" t="str">
            <v>06/14/2024</v>
          </cell>
          <cell r="L337">
            <v>10</v>
          </cell>
          <cell r="M337" t="str">
            <v>6/6/2024 7:49:48 AM</v>
          </cell>
          <cell r="N337" t="str">
            <v>24</v>
          </cell>
          <cell r="O337">
            <v>10</v>
          </cell>
          <cell r="P337">
            <v>3.33</v>
          </cell>
        </row>
        <row r="338">
          <cell r="A338" t="str">
            <v>6724851</v>
          </cell>
          <cell r="B338" t="str">
            <v>1334495</v>
          </cell>
          <cell r="C338" t="str">
            <v>6360RDS-28327-491</v>
          </cell>
          <cell r="D338" t="str">
            <v>6360RDS</v>
          </cell>
          <cell r="E338" t="str">
            <v>6360RDS GLOCK 19MOS TLR-7 STX HGS BLK RH</v>
          </cell>
          <cell r="F338" t="str">
            <v>DG-HOLSTER-RDS-DTC</v>
          </cell>
          <cell r="G338" t="str">
            <v>1420-210-FG</v>
          </cell>
          <cell r="H338" t="str">
            <v>R</v>
          </cell>
          <cell r="I338" t="str">
            <v>06/04/2024</v>
          </cell>
          <cell r="J338" t="str">
            <v>06/10/2024</v>
          </cell>
          <cell r="K338" t="str">
            <v>06/14/2024</v>
          </cell>
          <cell r="L338">
            <v>10</v>
          </cell>
          <cell r="M338" t="str">
            <v>6/6/2024 8:16:33 AM</v>
          </cell>
          <cell r="N338" t="str">
            <v>24</v>
          </cell>
          <cell r="O338">
            <v>10</v>
          </cell>
          <cell r="P338">
            <v>4.33</v>
          </cell>
        </row>
        <row r="339">
          <cell r="A339" t="str">
            <v>6723842</v>
          </cell>
          <cell r="B339" t="str">
            <v>1314962</v>
          </cell>
          <cell r="C339" t="str">
            <v>6360RDS-28321-411</v>
          </cell>
          <cell r="D339" t="str">
            <v>6360RDS</v>
          </cell>
          <cell r="E339" t="str">
            <v>6360RDS GLOCK 19MOS TLR2HL STXPLN BLK RH</v>
          </cell>
          <cell r="F339" t="str">
            <v>DG-HOLSTER-RDS-DTC</v>
          </cell>
          <cell r="G339" t="str">
            <v>1420-210-FG</v>
          </cell>
          <cell r="H339" t="str">
            <v>F</v>
          </cell>
          <cell r="I339" t="str">
            <v>06/03/2024</v>
          </cell>
          <cell r="J339" t="str">
            <v>06/03/2024</v>
          </cell>
          <cell r="K339" t="str">
            <v>06/14/2024</v>
          </cell>
          <cell r="L339">
            <v>5</v>
          </cell>
          <cell r="M339" t="str">
            <v/>
          </cell>
          <cell r="N339" t="str">
            <v>24</v>
          </cell>
          <cell r="O339">
            <v>5</v>
          </cell>
          <cell r="P339">
            <v>2</v>
          </cell>
        </row>
        <row r="340">
          <cell r="A340" t="str">
            <v>6723921</v>
          </cell>
          <cell r="B340" t="str">
            <v>1337110</v>
          </cell>
          <cell r="C340" t="str">
            <v>6360RDS-8972-482-MS30</v>
          </cell>
          <cell r="D340" t="str">
            <v>6360RDS</v>
          </cell>
          <cell r="E340" t="str">
            <v>6360RDS GLOCK 47 X300U STX BSK BLK LH</v>
          </cell>
          <cell r="F340" t="str">
            <v>DG-HOLSTER-RDS-DTC</v>
          </cell>
          <cell r="G340" t="str">
            <v>1420-210-FG</v>
          </cell>
          <cell r="H340" t="str">
            <v>R</v>
          </cell>
          <cell r="I340" t="str">
            <v>06/03/2024</v>
          </cell>
          <cell r="J340" t="str">
            <v>06/03/2024</v>
          </cell>
          <cell r="K340" t="str">
            <v>06/14/2024</v>
          </cell>
          <cell r="L340">
            <v>1</v>
          </cell>
          <cell r="M340" t="str">
            <v>6/6/2024 7:54:33 AM</v>
          </cell>
          <cell r="N340" t="str">
            <v>24</v>
          </cell>
          <cell r="O340">
            <v>1</v>
          </cell>
          <cell r="P340">
            <v>0.4</v>
          </cell>
        </row>
        <row r="341">
          <cell r="A341" t="str">
            <v>6724361</v>
          </cell>
          <cell r="B341" t="str">
            <v>1325740</v>
          </cell>
          <cell r="C341" t="str">
            <v>6360RDS-8972-131</v>
          </cell>
          <cell r="D341" t="str">
            <v>6360RDS</v>
          </cell>
          <cell r="E341" t="str">
            <v>6360RDS GLOCK 47 X300U STX TAC BLK RH</v>
          </cell>
          <cell r="F341" t="str">
            <v>DG-HOLSTER-RDS</v>
          </cell>
          <cell r="G341" t="str">
            <v>1420-210-FG</v>
          </cell>
          <cell r="H341" t="str">
            <v>F</v>
          </cell>
          <cell r="I341" t="str">
            <v>06/04/2024</v>
          </cell>
          <cell r="J341" t="str">
            <v>06/04/2024</v>
          </cell>
          <cell r="K341" t="str">
            <v>06/14/2024</v>
          </cell>
          <cell r="L341">
            <v>40</v>
          </cell>
          <cell r="M341" t="str">
            <v/>
          </cell>
          <cell r="N341" t="str">
            <v>24</v>
          </cell>
          <cell r="O341">
            <v>40</v>
          </cell>
          <cell r="P341">
            <v>16</v>
          </cell>
        </row>
        <row r="342">
          <cell r="A342" t="str">
            <v>6726126</v>
          </cell>
          <cell r="B342" t="str">
            <v>1336735</v>
          </cell>
          <cell r="C342" t="str">
            <v>6360RDS-8252-62</v>
          </cell>
          <cell r="D342" t="str">
            <v>6360RDS</v>
          </cell>
          <cell r="E342" t="str">
            <v>6360RDS GLOCK22 GEN5 X300U PLN BLK LH</v>
          </cell>
          <cell r="F342" t="str">
            <v>DG-HOLSTER-RDS-DTC</v>
          </cell>
          <cell r="G342" t="str">
            <v>1420-210-FG</v>
          </cell>
          <cell r="H342" t="str">
            <v>R</v>
          </cell>
          <cell r="I342" t="str">
            <v>06/07/2024</v>
          </cell>
          <cell r="J342" t="str">
            <v>06/07/2024</v>
          </cell>
          <cell r="K342" t="str">
            <v>06/14/2024</v>
          </cell>
          <cell r="L342">
            <v>1</v>
          </cell>
          <cell r="M342" t="str">
            <v>6/11/2024 3:44:53 PM</v>
          </cell>
          <cell r="N342" t="str">
            <v>24</v>
          </cell>
          <cell r="O342">
            <v>1</v>
          </cell>
          <cell r="P342">
            <v>0.4</v>
          </cell>
        </row>
        <row r="343">
          <cell r="A343" t="str">
            <v>6725487</v>
          </cell>
          <cell r="B343" t="str">
            <v>1336808</v>
          </cell>
          <cell r="C343" t="str">
            <v>6360RDS-8252-412</v>
          </cell>
          <cell r="D343" t="str">
            <v>6360RDS</v>
          </cell>
          <cell r="E343" t="str">
            <v>6360RDS GLOCK22 GEN5 X300U STXPLN BLK LH</v>
          </cell>
          <cell r="F343" t="str">
            <v>DG-HOLSTER-RDS-DTC</v>
          </cell>
          <cell r="G343" t="str">
            <v>1420-210-FG</v>
          </cell>
          <cell r="H343" t="str">
            <v>R</v>
          </cell>
          <cell r="I343" t="str">
            <v>06/05/2024</v>
          </cell>
          <cell r="J343" t="str">
            <v>06/05/2024</v>
          </cell>
          <cell r="K343" t="str">
            <v>06/14/2024</v>
          </cell>
          <cell r="L343">
            <v>4</v>
          </cell>
          <cell r="M343" t="str">
            <v>6/6/2024 8:34:43 AM</v>
          </cell>
          <cell r="N343" t="str">
            <v>24</v>
          </cell>
          <cell r="O343">
            <v>4</v>
          </cell>
          <cell r="P343">
            <v>1.6</v>
          </cell>
        </row>
        <row r="344">
          <cell r="A344" t="str">
            <v>6726125</v>
          </cell>
          <cell r="B344" t="str">
            <v>1336730</v>
          </cell>
          <cell r="C344" t="str">
            <v>6360RDS-8252-131</v>
          </cell>
          <cell r="D344" t="str">
            <v>6360RDS</v>
          </cell>
          <cell r="E344" t="str">
            <v>6360RDS GLOCK22 GEN5 X300U STXTAC BLK RH</v>
          </cell>
          <cell r="F344" t="str">
            <v>DG-HOLSTER-RDS-DTC</v>
          </cell>
          <cell r="G344" t="str">
            <v>1420-210-FG</v>
          </cell>
          <cell r="H344" t="str">
            <v>R</v>
          </cell>
          <cell r="I344" t="str">
            <v>06/07/2024</v>
          </cell>
          <cell r="J344" t="str">
            <v>06/07/2024</v>
          </cell>
          <cell r="K344" t="str">
            <v>06/14/2024</v>
          </cell>
          <cell r="L344">
            <v>5</v>
          </cell>
          <cell r="M344" t="str">
            <v>6/11/2024 3:44:53 PM</v>
          </cell>
          <cell r="N344" t="str">
            <v>24</v>
          </cell>
          <cell r="O344">
            <v>5</v>
          </cell>
          <cell r="P344">
            <v>2</v>
          </cell>
        </row>
        <row r="345">
          <cell r="A345" t="str">
            <v>6724392</v>
          </cell>
          <cell r="B345" t="str">
            <v>1336831</v>
          </cell>
          <cell r="C345" t="str">
            <v>6360RDS-28252-701</v>
          </cell>
          <cell r="D345" t="str">
            <v>6360RDS</v>
          </cell>
          <cell r="E345" t="str">
            <v>6360RDS GLOCK23 GEN5 X300U COR MLTCM RH</v>
          </cell>
          <cell r="F345" t="str">
            <v>DG-HOLSTER-RDS-DTC</v>
          </cell>
          <cell r="G345" t="str">
            <v>1420-210-FG</v>
          </cell>
          <cell r="H345" t="str">
            <v>R</v>
          </cell>
          <cell r="I345" t="str">
            <v>06/04/2024</v>
          </cell>
          <cell r="J345" t="str">
            <v>06/04/2024</v>
          </cell>
          <cell r="K345" t="str">
            <v>06/14/2024</v>
          </cell>
          <cell r="L345">
            <v>1</v>
          </cell>
          <cell r="M345" t="str">
            <v>6/6/2024 8:53:38 AM</v>
          </cell>
          <cell r="N345" t="str">
            <v>24</v>
          </cell>
          <cell r="O345">
            <v>1</v>
          </cell>
          <cell r="P345">
            <v>0.4</v>
          </cell>
        </row>
        <row r="346">
          <cell r="A346" t="str">
            <v>6725491</v>
          </cell>
          <cell r="B346" t="str">
            <v>1336826</v>
          </cell>
          <cell r="C346" t="str">
            <v>6360RDS-28252-132</v>
          </cell>
          <cell r="D346" t="str">
            <v>6360RDS</v>
          </cell>
          <cell r="E346" t="str">
            <v>6360RDS GLOCK23 GEN5 X300U STXTAC BLK LH</v>
          </cell>
          <cell r="F346" t="str">
            <v>DG-HOLSTER-RDS-DTC</v>
          </cell>
          <cell r="G346" t="str">
            <v>1420-210-FG</v>
          </cell>
          <cell r="H346" t="str">
            <v>R</v>
          </cell>
          <cell r="I346" t="str">
            <v>06/05/2024</v>
          </cell>
          <cell r="J346" t="str">
            <v>06/05/2024</v>
          </cell>
          <cell r="K346" t="str">
            <v>06/14/2024</v>
          </cell>
          <cell r="L346">
            <v>1</v>
          </cell>
          <cell r="M346" t="str">
            <v>6/6/2024 8:34:43 AM</v>
          </cell>
          <cell r="N346" t="str">
            <v>24</v>
          </cell>
          <cell r="O346">
            <v>1</v>
          </cell>
          <cell r="P346">
            <v>0.4</v>
          </cell>
        </row>
        <row r="347">
          <cell r="A347" t="str">
            <v>6726109</v>
          </cell>
          <cell r="B347" t="str">
            <v>1334567</v>
          </cell>
          <cell r="C347" t="str">
            <v>6360RDS-5932-481</v>
          </cell>
          <cell r="D347" t="str">
            <v>6360RDS</v>
          </cell>
          <cell r="E347" t="str">
            <v>6360RDS H&amp;K VP9 X300U STX BSK BLK RH</v>
          </cell>
          <cell r="F347" t="str">
            <v>DG-HOLSTER-RDS</v>
          </cell>
          <cell r="G347" t="str">
            <v>1420-210-FG</v>
          </cell>
          <cell r="H347" t="str">
            <v>F</v>
          </cell>
          <cell r="I347" t="str">
            <v>06/07/2024</v>
          </cell>
          <cell r="J347" t="str">
            <v>06/07/2024</v>
          </cell>
          <cell r="K347" t="str">
            <v>06/14/2024</v>
          </cell>
          <cell r="L347">
            <v>5</v>
          </cell>
          <cell r="M347" t="str">
            <v/>
          </cell>
          <cell r="N347" t="str">
            <v>24</v>
          </cell>
          <cell r="O347">
            <v>5</v>
          </cell>
          <cell r="P347">
            <v>2</v>
          </cell>
        </row>
        <row r="348">
          <cell r="A348" t="str">
            <v>6724702</v>
          </cell>
          <cell r="B348" t="str">
            <v>1208528</v>
          </cell>
          <cell r="C348" t="str">
            <v>6365-8325-92</v>
          </cell>
          <cell r="D348" t="str">
            <v>6365</v>
          </cell>
          <cell r="E348" t="str">
            <v>6365 GLOCK 17 GEN5 X300U HGS BLK LH</v>
          </cell>
          <cell r="F348" t="str">
            <v>DG-HOLSTER-DTC</v>
          </cell>
          <cell r="G348" t="str">
            <v>1420-210-FG</v>
          </cell>
          <cell r="H348" t="str">
            <v>R</v>
          </cell>
          <cell r="I348" t="str">
            <v>06/04/2024</v>
          </cell>
          <cell r="J348" t="str">
            <v>06/10/2024</v>
          </cell>
          <cell r="K348" t="str">
            <v>06/14/2024</v>
          </cell>
          <cell r="L348">
            <v>3</v>
          </cell>
          <cell r="M348" t="str">
            <v>6/6/2024 7:49:48 AM</v>
          </cell>
          <cell r="N348" t="str">
            <v>24</v>
          </cell>
          <cell r="O348">
            <v>3</v>
          </cell>
          <cell r="P348">
            <v>1</v>
          </cell>
        </row>
        <row r="349">
          <cell r="A349" t="str">
            <v>6724693</v>
          </cell>
          <cell r="B349" t="str">
            <v>1177567</v>
          </cell>
          <cell r="C349" t="str">
            <v>6365-83-132-MS30</v>
          </cell>
          <cell r="D349" t="str">
            <v>6365</v>
          </cell>
          <cell r="E349" t="str">
            <v>6365 GLOCK 17/22 STX TAC BLK LH</v>
          </cell>
          <cell r="F349" t="str">
            <v>DG-HOLSTER-DTC</v>
          </cell>
          <cell r="G349" t="str">
            <v>1420-210-FG</v>
          </cell>
          <cell r="H349" t="str">
            <v>R</v>
          </cell>
          <cell r="I349" t="str">
            <v>06/04/2024</v>
          </cell>
          <cell r="J349" t="str">
            <v>06/10/2024</v>
          </cell>
          <cell r="K349" t="str">
            <v>06/14/2024</v>
          </cell>
          <cell r="L349">
            <v>3</v>
          </cell>
          <cell r="M349" t="str">
            <v>6/6/2024 8:03:50 AM</v>
          </cell>
          <cell r="N349" t="str">
            <v>24</v>
          </cell>
          <cell r="O349">
            <v>3</v>
          </cell>
          <cell r="P349">
            <v>0.64</v>
          </cell>
        </row>
        <row r="350">
          <cell r="A350" t="str">
            <v>6724717</v>
          </cell>
          <cell r="B350" t="str">
            <v>1336570</v>
          </cell>
          <cell r="C350" t="str">
            <v>6365-8321-131-NP</v>
          </cell>
          <cell r="D350" t="str">
            <v>6365</v>
          </cell>
          <cell r="E350" t="str">
            <v>6365 GLOCK 17/22 TLR-2HL STX TAC BLK RH</v>
          </cell>
          <cell r="F350" t="str">
            <v>DG-HOLSTER-DTC</v>
          </cell>
          <cell r="G350" t="str">
            <v>1420-210-FG</v>
          </cell>
          <cell r="H350" t="str">
            <v>R</v>
          </cell>
          <cell r="I350" t="str">
            <v>06/04/2024</v>
          </cell>
          <cell r="J350" t="str">
            <v>06/07/2024</v>
          </cell>
          <cell r="K350" t="str">
            <v>06/14/2024</v>
          </cell>
          <cell r="L350">
            <v>25</v>
          </cell>
          <cell r="M350" t="str">
            <v>6/6/2024 7:54:33 AM</v>
          </cell>
          <cell r="N350" t="str">
            <v>24</v>
          </cell>
          <cell r="O350">
            <v>25</v>
          </cell>
          <cell r="P350">
            <v>8.08</v>
          </cell>
        </row>
        <row r="351">
          <cell r="A351" t="str">
            <v>6724680</v>
          </cell>
          <cell r="B351" t="str">
            <v>1141420</v>
          </cell>
          <cell r="C351" t="str">
            <v>6365-283-411</v>
          </cell>
          <cell r="D351" t="str">
            <v>6365</v>
          </cell>
          <cell r="E351" t="str">
            <v>6365 GLOCK 19/23 STX PLN BLK RH</v>
          </cell>
          <cell r="F351" t="str">
            <v>DG-HOLSTER-DTC</v>
          </cell>
          <cell r="G351" t="str">
            <v>1420-210-FG</v>
          </cell>
          <cell r="H351" t="str">
            <v>R</v>
          </cell>
          <cell r="I351" t="str">
            <v>06/04/2024</v>
          </cell>
          <cell r="J351" t="str">
            <v>06/10/2024</v>
          </cell>
          <cell r="K351" t="str">
            <v>06/14/2024</v>
          </cell>
          <cell r="L351">
            <v>1</v>
          </cell>
          <cell r="M351" t="str">
            <v>6/6/2024 8:10:30 AM</v>
          </cell>
          <cell r="N351" t="str">
            <v>24</v>
          </cell>
          <cell r="O351">
            <v>1</v>
          </cell>
          <cell r="P351">
            <v>0.27</v>
          </cell>
        </row>
        <row r="352">
          <cell r="A352" t="str">
            <v>6724685</v>
          </cell>
          <cell r="B352" t="str">
            <v>1152873</v>
          </cell>
          <cell r="C352" t="str">
            <v>6365-283-132-NH</v>
          </cell>
          <cell r="D352" t="str">
            <v>6365</v>
          </cell>
          <cell r="E352" t="str">
            <v>6365 GLOCK 19/23 STX TAC BLK LH</v>
          </cell>
          <cell r="F352" t="str">
            <v>DG-HOLSTER-DTC</v>
          </cell>
          <cell r="G352" t="str">
            <v>1420-210-FG</v>
          </cell>
          <cell r="H352" t="str">
            <v>R</v>
          </cell>
          <cell r="I352" t="str">
            <v>06/04/2024</v>
          </cell>
          <cell r="J352" t="str">
            <v>06/10/2024</v>
          </cell>
          <cell r="K352" t="str">
            <v>06/14/2024</v>
          </cell>
          <cell r="L352">
            <v>1</v>
          </cell>
          <cell r="M352" t="str">
            <v>6/6/2024 8:03:50 AM</v>
          </cell>
          <cell r="N352" t="str">
            <v>24</v>
          </cell>
          <cell r="O352">
            <v>1</v>
          </cell>
          <cell r="P352">
            <v>0.27</v>
          </cell>
        </row>
        <row r="353">
          <cell r="A353" t="str">
            <v>6724678</v>
          </cell>
          <cell r="B353" t="str">
            <v>1140797</v>
          </cell>
          <cell r="C353" t="str">
            <v>6365-2832-412</v>
          </cell>
          <cell r="D353" t="str">
            <v>6365</v>
          </cell>
          <cell r="E353" t="str">
            <v>6365 GLOCK 19/23 X300U STX PLN BLK LH</v>
          </cell>
          <cell r="F353" t="str">
            <v>DG-HOLSTER-DTC</v>
          </cell>
          <cell r="G353" t="str">
            <v>1420-210-FG</v>
          </cell>
          <cell r="H353" t="str">
            <v>R</v>
          </cell>
          <cell r="I353" t="str">
            <v>06/04/2024</v>
          </cell>
          <cell r="J353" t="str">
            <v>06/10/2024</v>
          </cell>
          <cell r="K353" t="str">
            <v>06/14/2024</v>
          </cell>
          <cell r="L353">
            <v>1</v>
          </cell>
          <cell r="M353" t="str">
            <v>6/6/2024 7:49:48 AM</v>
          </cell>
          <cell r="N353" t="str">
            <v>24</v>
          </cell>
          <cell r="O353">
            <v>1</v>
          </cell>
          <cell r="P353">
            <v>0.42</v>
          </cell>
        </row>
        <row r="354">
          <cell r="A354" t="str">
            <v>6724840</v>
          </cell>
          <cell r="B354" t="str">
            <v>1326149</v>
          </cell>
          <cell r="C354" t="str">
            <v>6365RDS-8392-781</v>
          </cell>
          <cell r="D354" t="str">
            <v>6365RDS</v>
          </cell>
          <cell r="E354" t="str">
            <v>6365RDS G17MOS XVL2 W/PS CORD BLK RH</v>
          </cell>
          <cell r="F354" t="str">
            <v>DG-HOLSTER-RDS-DTC</v>
          </cell>
          <cell r="G354" t="str">
            <v>1420-210-FG</v>
          </cell>
          <cell r="H354" t="str">
            <v>R</v>
          </cell>
          <cell r="I354" t="str">
            <v>06/04/2024</v>
          </cell>
          <cell r="J354" t="str">
            <v>06/10/2024</v>
          </cell>
          <cell r="K354" t="str">
            <v>06/14/2024</v>
          </cell>
          <cell r="L354">
            <v>1</v>
          </cell>
          <cell r="M354" t="str">
            <v>6/6/2024 8:51:49 AM</v>
          </cell>
          <cell r="N354" t="str">
            <v>24</v>
          </cell>
          <cell r="O354">
            <v>1</v>
          </cell>
          <cell r="P354">
            <v>0.4</v>
          </cell>
        </row>
        <row r="355">
          <cell r="A355" t="str">
            <v>6724826</v>
          </cell>
          <cell r="B355" t="str">
            <v>1204680</v>
          </cell>
          <cell r="C355" t="str">
            <v>6365RDS-832-701</v>
          </cell>
          <cell r="D355" t="str">
            <v>6365RDS</v>
          </cell>
          <cell r="E355" t="str">
            <v>6365RDS GLOCK 17MOS X300U COR MLTCM RH</v>
          </cell>
          <cell r="F355" t="str">
            <v>DG-HOLSTER-RDS-DTC</v>
          </cell>
          <cell r="G355" t="str">
            <v>1420-210-FG</v>
          </cell>
          <cell r="H355" t="str">
            <v>R</v>
          </cell>
          <cell r="I355" t="str">
            <v>06/04/2024</v>
          </cell>
          <cell r="J355" t="str">
            <v>06/10/2024</v>
          </cell>
          <cell r="K355" t="str">
            <v>06/14/2024</v>
          </cell>
          <cell r="L355">
            <v>5</v>
          </cell>
          <cell r="M355" t="str">
            <v>6/6/2024 8:51:49 AM</v>
          </cell>
          <cell r="N355" t="str">
            <v>24</v>
          </cell>
          <cell r="O355">
            <v>5</v>
          </cell>
          <cell r="P355">
            <v>2.17</v>
          </cell>
        </row>
        <row r="356">
          <cell r="A356" t="str">
            <v>6723831</v>
          </cell>
          <cell r="B356" t="str">
            <v>1206346</v>
          </cell>
          <cell r="C356" t="str">
            <v>6365RDS-2832-701</v>
          </cell>
          <cell r="D356" t="str">
            <v>6365RDS</v>
          </cell>
          <cell r="E356" t="str">
            <v>6365RDS GLOCK 19MOS X300U CORD MLTCM RH</v>
          </cell>
          <cell r="F356" t="str">
            <v>DG-HOLSTER-RDS-DTC</v>
          </cell>
          <cell r="G356" t="str">
            <v>1420-210-FG</v>
          </cell>
          <cell r="H356" t="str">
            <v>R</v>
          </cell>
          <cell r="I356" t="str">
            <v>06/03/2024</v>
          </cell>
          <cell r="J356" t="str">
            <v>06/03/2024</v>
          </cell>
          <cell r="K356" t="str">
            <v>06/14/2024</v>
          </cell>
          <cell r="L356">
            <v>5</v>
          </cell>
          <cell r="M356" t="str">
            <v>6/6/2024 7:55:54 AM</v>
          </cell>
          <cell r="N356" t="str">
            <v>24</v>
          </cell>
          <cell r="O356">
            <v>5</v>
          </cell>
          <cell r="P356">
            <v>2</v>
          </cell>
        </row>
        <row r="357">
          <cell r="A357" t="str">
            <v>6724844</v>
          </cell>
          <cell r="B357" t="str">
            <v>1331695</v>
          </cell>
          <cell r="C357" t="str">
            <v>6365RDS-2832-61-CUBL</v>
          </cell>
          <cell r="D357" t="str">
            <v>6365RDS</v>
          </cell>
          <cell r="E357" t="str">
            <v>6365RDS GLOCK 19MOS X300U PLN BLK RH</v>
          </cell>
          <cell r="F357" t="str">
            <v>DG-HOLSTER-RDS-DTC</v>
          </cell>
          <cell r="G357" t="str">
            <v>1420-210-FG</v>
          </cell>
          <cell r="H357" t="str">
            <v>R</v>
          </cell>
          <cell r="I357" t="str">
            <v>06/04/2024</v>
          </cell>
          <cell r="J357" t="str">
            <v>06/10/2024</v>
          </cell>
          <cell r="K357" t="str">
            <v>06/14/2024</v>
          </cell>
          <cell r="L357">
            <v>1</v>
          </cell>
          <cell r="M357" t="str">
            <v>6/6/2024 7:54:33 AM</v>
          </cell>
          <cell r="N357" t="str">
            <v>24</v>
          </cell>
          <cell r="O357">
            <v>1</v>
          </cell>
          <cell r="P357">
            <v>0.4</v>
          </cell>
        </row>
        <row r="358">
          <cell r="A358" t="str">
            <v>6723650</v>
          </cell>
          <cell r="B358" t="str">
            <v>1325744</v>
          </cell>
          <cell r="C358" t="str">
            <v>6365RDS-8972-131</v>
          </cell>
          <cell r="D358" t="str">
            <v>6365RDS</v>
          </cell>
          <cell r="E358" t="str">
            <v>6365RDS GLOCK 47 X300U STX TAC BLK RH</v>
          </cell>
          <cell r="F358" t="str">
            <v>DG-HOLSTER-RDS</v>
          </cell>
          <cell r="G358" t="str">
            <v>1420-210-FG</v>
          </cell>
          <cell r="H358" t="str">
            <v>R</v>
          </cell>
          <cell r="I358" t="str">
            <v>06/03/2024</v>
          </cell>
          <cell r="J358" t="str">
            <v>06/03/2024</v>
          </cell>
          <cell r="K358" t="str">
            <v>06/14/2024</v>
          </cell>
          <cell r="L358">
            <v>5</v>
          </cell>
          <cell r="M358" t="str">
            <v>6/6/2024 7:47:45 AM</v>
          </cell>
          <cell r="N358" t="str">
            <v>24</v>
          </cell>
          <cell r="O358">
            <v>5</v>
          </cell>
          <cell r="P358">
            <v>2</v>
          </cell>
        </row>
        <row r="359">
          <cell r="A359" t="str">
            <v>6724758</v>
          </cell>
          <cell r="B359" t="str">
            <v>1208119</v>
          </cell>
          <cell r="C359" t="str">
            <v>6365RDS-7502-132</v>
          </cell>
          <cell r="D359" t="str">
            <v>6365RDS</v>
          </cell>
          <cell r="E359" t="str">
            <v>6365RDS SIG 320CRX X300U STX TAC BLK LH</v>
          </cell>
          <cell r="F359" t="str">
            <v>DG-HOLSTER-RDS</v>
          </cell>
          <cell r="G359" t="str">
            <v>1420-210-FG</v>
          </cell>
          <cell r="H359" t="str">
            <v>R</v>
          </cell>
          <cell r="I359" t="str">
            <v>06/04/2024</v>
          </cell>
          <cell r="J359" t="str">
            <v>06/10/2024</v>
          </cell>
          <cell r="K359" t="str">
            <v>06/14/2024</v>
          </cell>
          <cell r="L359">
            <v>1</v>
          </cell>
          <cell r="M359" t="str">
            <v>6/6/2024 8:25:49 AM</v>
          </cell>
          <cell r="N359" t="str">
            <v>24</v>
          </cell>
          <cell r="O359">
            <v>1</v>
          </cell>
          <cell r="P359">
            <v>0.4</v>
          </cell>
        </row>
        <row r="360">
          <cell r="A360" t="str">
            <v>6724878</v>
          </cell>
          <cell r="B360" t="str">
            <v>1336508</v>
          </cell>
          <cell r="C360" t="str">
            <v>6365RDS-4842-132</v>
          </cell>
          <cell r="D360" t="str">
            <v>6365RDS</v>
          </cell>
          <cell r="E360" t="str">
            <v>6365RDS WLTHRPDP 4"  X300U STXTAC BLK LH</v>
          </cell>
          <cell r="F360" t="str">
            <v>DG-HOLSTER-RDS-DTC</v>
          </cell>
          <cell r="G360" t="str">
            <v>1420-210-FG</v>
          </cell>
          <cell r="H360" t="str">
            <v>R</v>
          </cell>
          <cell r="I360" t="str">
            <v>06/04/2024</v>
          </cell>
          <cell r="J360" t="str">
            <v>06/07/2024</v>
          </cell>
          <cell r="K360" t="str">
            <v>06/14/2024</v>
          </cell>
          <cell r="L360">
            <v>1</v>
          </cell>
          <cell r="M360" t="str">
            <v>6/6/2024 8:34:43 AM</v>
          </cell>
          <cell r="N360" t="str">
            <v>24</v>
          </cell>
          <cell r="O360">
            <v>1</v>
          </cell>
          <cell r="P360">
            <v>0.43</v>
          </cell>
        </row>
        <row r="361">
          <cell r="A361" t="str">
            <v>6724664</v>
          </cell>
          <cell r="B361" t="str">
            <v>1125800</v>
          </cell>
          <cell r="C361" t="str">
            <v>6367-832-62</v>
          </cell>
          <cell r="D361" t="str">
            <v>6367</v>
          </cell>
          <cell r="E361" t="str">
            <v>6367 GLOCK 17/22 X300U PLN BLK LH</v>
          </cell>
          <cell r="F361" t="str">
            <v>DG-HOLSTER-DTC</v>
          </cell>
          <cell r="G361" t="str">
            <v>1420-210-FG</v>
          </cell>
          <cell r="H361" t="str">
            <v>R</v>
          </cell>
          <cell r="I361" t="str">
            <v>06/04/2024</v>
          </cell>
          <cell r="J361" t="str">
            <v>06/10/2024</v>
          </cell>
          <cell r="K361" t="str">
            <v>06/14/2024</v>
          </cell>
          <cell r="L361">
            <v>1</v>
          </cell>
          <cell r="M361" t="str">
            <v>6/6/2024 8:10:30 AM</v>
          </cell>
          <cell r="N361" t="str">
            <v>24</v>
          </cell>
          <cell r="O361">
            <v>1</v>
          </cell>
          <cell r="P361">
            <v>0.28999999999999998</v>
          </cell>
        </row>
        <row r="362">
          <cell r="A362" t="str">
            <v>6724676</v>
          </cell>
          <cell r="B362" t="str">
            <v>1134587</v>
          </cell>
          <cell r="C362" t="str">
            <v>6367-283-411-150</v>
          </cell>
          <cell r="D362" t="str">
            <v>6367</v>
          </cell>
          <cell r="E362" t="str">
            <v>6367 GLOCK 19/23 STX PLN BLK RH</v>
          </cell>
          <cell r="F362" t="str">
            <v>DG-HOLSTER-DTC</v>
          </cell>
          <cell r="G362" t="str">
            <v>1420-210-FG</v>
          </cell>
          <cell r="H362" t="str">
            <v>R</v>
          </cell>
          <cell r="I362" t="str">
            <v>06/04/2024</v>
          </cell>
          <cell r="J362" t="str">
            <v>06/10/2024</v>
          </cell>
          <cell r="K362" t="str">
            <v>06/14/2024</v>
          </cell>
          <cell r="L362">
            <v>1</v>
          </cell>
          <cell r="M362" t="str">
            <v>6/6/2024 8:10:30 AM</v>
          </cell>
          <cell r="N362" t="str">
            <v>24</v>
          </cell>
          <cell r="O362">
            <v>1</v>
          </cell>
          <cell r="P362">
            <v>0.27</v>
          </cell>
        </row>
        <row r="363">
          <cell r="A363" t="str">
            <v>6724903</v>
          </cell>
          <cell r="B363" t="str">
            <v>1323770</v>
          </cell>
          <cell r="C363" t="str">
            <v>637-283-62</v>
          </cell>
          <cell r="D363" t="str">
            <v>637</v>
          </cell>
          <cell r="E363" t="str">
            <v>637 GLOCK 19/23  PLN BLK LH</v>
          </cell>
          <cell r="F363" t="str">
            <v>DG-HOLSTER-SEW-DTC</v>
          </cell>
          <cell r="G363" t="str">
            <v>1420-210-FG</v>
          </cell>
          <cell r="H363" t="str">
            <v>R</v>
          </cell>
          <cell r="I363" t="str">
            <v>06/04/2024</v>
          </cell>
          <cell r="J363" t="str">
            <v>06/07/2024</v>
          </cell>
          <cell r="K363" t="str">
            <v>06/14/2024</v>
          </cell>
          <cell r="L363">
            <v>50</v>
          </cell>
          <cell r="M363" t="str">
            <v>6/6/2024 7:58:19 AM</v>
          </cell>
          <cell r="N363" t="str">
            <v>24</v>
          </cell>
          <cell r="O363">
            <v>50</v>
          </cell>
          <cell r="P363">
            <v>24.15</v>
          </cell>
        </row>
        <row r="364">
          <cell r="A364" t="str">
            <v>6725625</v>
          </cell>
          <cell r="B364" t="str">
            <v>1323769</v>
          </cell>
          <cell r="C364" t="str">
            <v>637-283-61</v>
          </cell>
          <cell r="D364" t="str">
            <v>637</v>
          </cell>
          <cell r="E364" t="str">
            <v>637 GLOCK 19/23  PLN BLK RH</v>
          </cell>
          <cell r="F364" t="str">
            <v>DG-HOLSTER-SEW-DTC</v>
          </cell>
          <cell r="G364" t="str">
            <v>1420-210-FG</v>
          </cell>
          <cell r="H364" t="str">
            <v>R</v>
          </cell>
          <cell r="I364" t="str">
            <v>06/06/2024</v>
          </cell>
          <cell r="J364" t="str">
            <v>06/06/2024</v>
          </cell>
          <cell r="K364" t="str">
            <v>06/14/2024</v>
          </cell>
          <cell r="L364">
            <v>19</v>
          </cell>
          <cell r="M364" t="str">
            <v>6/6/2024 7:58:36 AM</v>
          </cell>
          <cell r="N364" t="str">
            <v>24</v>
          </cell>
          <cell r="O364">
            <v>19</v>
          </cell>
          <cell r="P364">
            <v>9.18</v>
          </cell>
        </row>
        <row r="365">
          <cell r="A365" t="str">
            <v>6724930</v>
          </cell>
          <cell r="B365" t="str">
            <v>1123570</v>
          </cell>
          <cell r="C365" t="str">
            <v>6377-83-411-NP</v>
          </cell>
          <cell r="D365" t="str">
            <v>6377</v>
          </cell>
          <cell r="E365" t="str">
            <v>6377 GLOCK 17/22 STX PLN BLK RH</v>
          </cell>
          <cell r="F365" t="str">
            <v>DG-HOLSTER</v>
          </cell>
          <cell r="G365" t="str">
            <v>1420-210-FG</v>
          </cell>
          <cell r="H365" t="str">
            <v>R</v>
          </cell>
          <cell r="I365" t="str">
            <v>06/04/2024</v>
          </cell>
          <cell r="J365" t="str">
            <v>06/10/2024</v>
          </cell>
          <cell r="K365" t="str">
            <v>06/14/2024</v>
          </cell>
          <cell r="L365">
            <v>13</v>
          </cell>
          <cell r="M365" t="str">
            <v>6/6/2024 8:10:30 AM</v>
          </cell>
          <cell r="N365" t="str">
            <v>24</v>
          </cell>
          <cell r="O365">
            <v>13</v>
          </cell>
          <cell r="P365">
            <v>5.85</v>
          </cell>
        </row>
        <row r="366">
          <cell r="A366" t="str">
            <v>6724931</v>
          </cell>
          <cell r="B366" t="str">
            <v>1124352</v>
          </cell>
          <cell r="C366" t="str">
            <v>6377-283-412</v>
          </cell>
          <cell r="D366" t="str">
            <v>6377</v>
          </cell>
          <cell r="E366" t="str">
            <v>6377 GLOCK 19/23 STX PLN BLK LH</v>
          </cell>
          <cell r="F366" t="str">
            <v>DG-HOLSTER</v>
          </cell>
          <cell r="G366" t="str">
            <v>1420-210-FG</v>
          </cell>
          <cell r="H366" t="str">
            <v>R</v>
          </cell>
          <cell r="I366" t="str">
            <v>06/04/2024</v>
          </cell>
          <cell r="J366" t="str">
            <v>06/10/2024</v>
          </cell>
          <cell r="K366" t="str">
            <v>06/14/2024</v>
          </cell>
          <cell r="L366">
            <v>1</v>
          </cell>
          <cell r="M366" t="str">
            <v>6/6/2024 8:10:30 AM</v>
          </cell>
          <cell r="N366" t="str">
            <v>24</v>
          </cell>
          <cell r="O366">
            <v>1</v>
          </cell>
          <cell r="P366">
            <v>0.44</v>
          </cell>
        </row>
        <row r="367">
          <cell r="A367" t="str">
            <v>6724692</v>
          </cell>
          <cell r="B367" t="str">
            <v>1164367</v>
          </cell>
          <cell r="C367" t="str">
            <v>6378-2832-562</v>
          </cell>
          <cell r="D367" t="str">
            <v>6378</v>
          </cell>
          <cell r="E367" t="str">
            <v>6378 GLOCK 19/23 W/X300 STX TAC ODG LH</v>
          </cell>
          <cell r="F367" t="str">
            <v>DG-HOLSTER-DTC</v>
          </cell>
          <cell r="G367" t="str">
            <v>1420-210-FG</v>
          </cell>
          <cell r="H367" t="str">
            <v>R</v>
          </cell>
          <cell r="I367" t="str">
            <v>06/04/2024</v>
          </cell>
          <cell r="J367" t="str">
            <v>06/10/2024</v>
          </cell>
          <cell r="K367" t="str">
            <v>06/14/2024</v>
          </cell>
          <cell r="L367">
            <v>1</v>
          </cell>
          <cell r="M367" t="str">
            <v>6/6/2024 8:12:28 AM</v>
          </cell>
          <cell r="N367" t="str">
            <v>24</v>
          </cell>
          <cell r="O367">
            <v>1</v>
          </cell>
          <cell r="P367">
            <v>0.66</v>
          </cell>
        </row>
        <row r="368">
          <cell r="A368" t="str">
            <v>6724655</v>
          </cell>
          <cell r="B368" t="str">
            <v>1119442</v>
          </cell>
          <cell r="C368" t="str">
            <v>6378-383-481</v>
          </cell>
          <cell r="D368" t="str">
            <v>6378</v>
          </cell>
          <cell r="E368" t="str">
            <v>6378 GLOCK 20/21  STX BSK BLK RH</v>
          </cell>
          <cell r="F368" t="str">
            <v>DG-HOLSTER-DTC</v>
          </cell>
          <cell r="G368" t="str">
            <v>1420-210-FG</v>
          </cell>
          <cell r="H368" t="str">
            <v>R</v>
          </cell>
          <cell r="I368" t="str">
            <v>06/04/2024</v>
          </cell>
          <cell r="J368" t="str">
            <v>06/10/2024</v>
          </cell>
          <cell r="K368" t="str">
            <v>06/14/2024</v>
          </cell>
          <cell r="L368">
            <v>6</v>
          </cell>
          <cell r="M368" t="str">
            <v>6/6/2024 8:13:15 AM</v>
          </cell>
          <cell r="N368" t="str">
            <v>24</v>
          </cell>
          <cell r="O368">
            <v>6</v>
          </cell>
          <cell r="P368">
            <v>2.5099999999999998</v>
          </cell>
        </row>
        <row r="369">
          <cell r="A369" t="str">
            <v>6724698</v>
          </cell>
          <cell r="B369" t="str">
            <v>1206437</v>
          </cell>
          <cell r="C369" t="str">
            <v>6378-222-412</v>
          </cell>
          <cell r="D369" t="str">
            <v>6378</v>
          </cell>
          <cell r="E369" t="str">
            <v>6378 S&amp;W M&amp;P 2.0 9MM STX PLN BLK LH</v>
          </cell>
          <cell r="F369" t="str">
            <v>DG-HOLSTER-DTC</v>
          </cell>
          <cell r="G369" t="str">
            <v>1420-210-FG</v>
          </cell>
          <cell r="H369" t="str">
            <v>R</v>
          </cell>
          <cell r="I369" t="str">
            <v>06/04/2024</v>
          </cell>
          <cell r="J369" t="str">
            <v>06/10/2024</v>
          </cell>
          <cell r="K369" t="str">
            <v>06/14/2024</v>
          </cell>
          <cell r="L369">
            <v>2</v>
          </cell>
          <cell r="M369" t="str">
            <v>6/6/2024 8:10:30 AM</v>
          </cell>
          <cell r="N369" t="str">
            <v>24</v>
          </cell>
          <cell r="O369">
            <v>2</v>
          </cell>
          <cell r="P369">
            <v>0.46</v>
          </cell>
        </row>
        <row r="370">
          <cell r="A370" t="str">
            <v>6724704</v>
          </cell>
          <cell r="B370" t="str">
            <v>1209794</v>
          </cell>
          <cell r="C370" t="str">
            <v>6378-2222-541</v>
          </cell>
          <cell r="D370" t="str">
            <v>6378</v>
          </cell>
          <cell r="E370" t="str">
            <v>6378 S&amp;W M&amp;P9 2.0 X300U STX TAC FGR RH</v>
          </cell>
          <cell r="F370" t="str">
            <v>DG-HOLSTER-DTC</v>
          </cell>
          <cell r="G370" t="str">
            <v>1420-210-FG</v>
          </cell>
          <cell r="H370" t="str">
            <v>R</v>
          </cell>
          <cell r="I370" t="str">
            <v>06/04/2024</v>
          </cell>
          <cell r="J370" t="str">
            <v>06/10/2024</v>
          </cell>
          <cell r="K370" t="str">
            <v>06/14/2024</v>
          </cell>
          <cell r="L370">
            <v>1</v>
          </cell>
          <cell r="M370" t="str">
            <v>6/6/2024 8:14:06 AM</v>
          </cell>
          <cell r="N370" t="str">
            <v>24</v>
          </cell>
          <cell r="O370">
            <v>1</v>
          </cell>
          <cell r="P370">
            <v>0.34</v>
          </cell>
        </row>
        <row r="371">
          <cell r="A371" t="str">
            <v>6724669</v>
          </cell>
          <cell r="B371" t="str">
            <v>1130052</v>
          </cell>
          <cell r="C371" t="str">
            <v>6378-56-541</v>
          </cell>
          <cell r="D371" t="str">
            <v>6378</v>
          </cell>
          <cell r="E371" t="str">
            <v>6378 SPG FLD OPR 1911 STX TAC FGR RH</v>
          </cell>
          <cell r="F371" t="str">
            <v>DG-HOLSTER-DTC</v>
          </cell>
          <cell r="G371" t="str">
            <v>1420-210-FG</v>
          </cell>
          <cell r="H371" t="str">
            <v>R</v>
          </cell>
          <cell r="I371" t="str">
            <v>06/04/2024</v>
          </cell>
          <cell r="J371" t="str">
            <v>06/10/2024</v>
          </cell>
          <cell r="K371" t="str">
            <v>06/14/2024</v>
          </cell>
          <cell r="L371">
            <v>1</v>
          </cell>
          <cell r="M371" t="str">
            <v>6/6/2024 8:13:54 AM</v>
          </cell>
          <cell r="N371" t="str">
            <v>24</v>
          </cell>
          <cell r="O371">
            <v>1</v>
          </cell>
          <cell r="P371">
            <v>0.41</v>
          </cell>
        </row>
        <row r="372">
          <cell r="A372" t="str">
            <v>6724867</v>
          </cell>
          <cell r="B372" t="str">
            <v>1336326</v>
          </cell>
          <cell r="C372" t="str">
            <v>6378RDS-2582-411</v>
          </cell>
          <cell r="D372" t="str">
            <v>6378RDS</v>
          </cell>
          <cell r="E372" t="str">
            <v>6378RDS 2011 STCC 5"X300U STX PLN BLK RH</v>
          </cell>
          <cell r="F372" t="str">
            <v>DG-HOLSTER-RDS-DTC</v>
          </cell>
          <cell r="G372" t="str">
            <v>1420-210-FG</v>
          </cell>
          <cell r="H372" t="str">
            <v>R</v>
          </cell>
          <cell r="I372" t="str">
            <v>06/04/2024</v>
          </cell>
          <cell r="J372" t="str">
            <v>06/11/2024</v>
          </cell>
          <cell r="K372" t="str">
            <v>06/14/2024</v>
          </cell>
          <cell r="L372">
            <v>1</v>
          </cell>
          <cell r="M372" t="str">
            <v>6/6/2024 7:54:33 AM</v>
          </cell>
          <cell r="N372" t="str">
            <v>24</v>
          </cell>
          <cell r="O372">
            <v>1</v>
          </cell>
          <cell r="P372">
            <v>0.4</v>
          </cell>
        </row>
        <row r="373">
          <cell r="A373" t="str">
            <v>6725494</v>
          </cell>
          <cell r="B373" t="str">
            <v>1336728</v>
          </cell>
          <cell r="C373" t="str">
            <v>6378RDS-28328-751</v>
          </cell>
          <cell r="D373" t="str">
            <v>6378RDS</v>
          </cell>
          <cell r="E373" t="str">
            <v>6378RDS GLOCK 19MOS  TLR-8 COR KHAKI RH</v>
          </cell>
          <cell r="F373" t="str">
            <v>DG-HOLSTER-RDS-DTC</v>
          </cell>
          <cell r="G373" t="str">
            <v>1420-210-FG</v>
          </cell>
          <cell r="H373" t="str">
            <v>R</v>
          </cell>
          <cell r="I373" t="str">
            <v>06/05/2024</v>
          </cell>
          <cell r="J373" t="str">
            <v>06/11/2024</v>
          </cell>
          <cell r="K373" t="str">
            <v>06/14/2024</v>
          </cell>
          <cell r="L373">
            <v>1</v>
          </cell>
          <cell r="M373" t="str">
            <v>6/6/2024 8:19:11 AM</v>
          </cell>
          <cell r="N373" t="str">
            <v>24</v>
          </cell>
          <cell r="O373">
            <v>1</v>
          </cell>
          <cell r="P373">
            <v>0.43</v>
          </cell>
        </row>
        <row r="374">
          <cell r="A374" t="str">
            <v>6724882</v>
          </cell>
          <cell r="B374" t="str">
            <v>1336724</v>
          </cell>
          <cell r="C374" t="str">
            <v>6378RDS-28328-131</v>
          </cell>
          <cell r="D374" t="str">
            <v>6378RDS</v>
          </cell>
          <cell r="E374" t="str">
            <v>6378RDS GLOCK 19MOS TLR-8 STX TAC BLK RH</v>
          </cell>
          <cell r="F374" t="str">
            <v>DG-HOLSTER-RDS-DTC</v>
          </cell>
          <cell r="G374" t="str">
            <v>1420-210-FG</v>
          </cell>
          <cell r="H374" t="str">
            <v>R</v>
          </cell>
          <cell r="I374" t="str">
            <v>06/04/2024</v>
          </cell>
          <cell r="J374" t="str">
            <v>06/05/2024</v>
          </cell>
          <cell r="K374" t="str">
            <v>06/14/2024</v>
          </cell>
          <cell r="L374">
            <v>2</v>
          </cell>
          <cell r="M374" t="str">
            <v>6/6/2024 8:16:55 AM</v>
          </cell>
          <cell r="N374" t="str">
            <v>24</v>
          </cell>
          <cell r="O374">
            <v>2</v>
          </cell>
          <cell r="P374">
            <v>0.87</v>
          </cell>
        </row>
        <row r="375">
          <cell r="A375" t="str">
            <v>6724905</v>
          </cell>
          <cell r="B375" t="str">
            <v>1161484</v>
          </cell>
          <cell r="C375" t="str">
            <v>6378USN-2832-731-MS19</v>
          </cell>
          <cell r="D375" t="str">
            <v>6378USN</v>
          </cell>
          <cell r="E375" t="str">
            <v>6378USN GLK 19/23 W/X300 COR CAM GRN RH</v>
          </cell>
          <cell r="F375" t="str">
            <v>DG-HOLSTER-USN-DTC</v>
          </cell>
          <cell r="G375" t="str">
            <v>1420-210-FG</v>
          </cell>
          <cell r="H375" t="str">
            <v>R</v>
          </cell>
          <cell r="I375" t="str">
            <v>06/04/2024</v>
          </cell>
          <cell r="J375" t="str">
            <v>06/10/2024</v>
          </cell>
          <cell r="K375" t="str">
            <v>06/14/2024</v>
          </cell>
          <cell r="L375">
            <v>1</v>
          </cell>
          <cell r="M375" t="str">
            <v>6/6/2024 8:51:49 AM</v>
          </cell>
          <cell r="N375" t="str">
            <v>24</v>
          </cell>
          <cell r="O375">
            <v>1</v>
          </cell>
          <cell r="P375">
            <v>0.38</v>
          </cell>
        </row>
        <row r="376">
          <cell r="A376" t="str">
            <v>6724907</v>
          </cell>
          <cell r="B376" t="str">
            <v>1314701</v>
          </cell>
          <cell r="C376" t="str">
            <v>6378USN-83-702-MS19</v>
          </cell>
          <cell r="D376" t="str">
            <v>6378USN</v>
          </cell>
          <cell r="E376" t="str">
            <v>6378USN GLOCK 17/22 CORD MUL CAM LH</v>
          </cell>
          <cell r="F376" t="str">
            <v>DG-HOLSTER-USN-DTC</v>
          </cell>
          <cell r="G376" t="str">
            <v>1420-210-FG</v>
          </cell>
          <cell r="H376" t="str">
            <v>R</v>
          </cell>
          <cell r="I376" t="str">
            <v>06/04/2024</v>
          </cell>
          <cell r="J376" t="str">
            <v>06/07/2024</v>
          </cell>
          <cell r="K376" t="str">
            <v>06/14/2024</v>
          </cell>
          <cell r="L376">
            <v>2</v>
          </cell>
          <cell r="M376" t="str">
            <v>6/6/2024 8:51:49 AM</v>
          </cell>
          <cell r="N376" t="str">
            <v>24</v>
          </cell>
          <cell r="O376">
            <v>2</v>
          </cell>
          <cell r="P376">
            <v>0.56000000000000005</v>
          </cell>
        </row>
        <row r="377">
          <cell r="A377" t="str">
            <v>6724906</v>
          </cell>
          <cell r="B377" t="str">
            <v>1314697</v>
          </cell>
          <cell r="C377" t="str">
            <v>6378USN-83-701-MS19</v>
          </cell>
          <cell r="D377" t="str">
            <v>6378USN</v>
          </cell>
          <cell r="E377" t="str">
            <v>6378USN GLOCK 17/22 CORD MUL CAM RH</v>
          </cell>
          <cell r="F377" t="str">
            <v>DG-HOLSTER-USN-DTC</v>
          </cell>
          <cell r="G377" t="str">
            <v>1420-210-FG</v>
          </cell>
          <cell r="H377" t="str">
            <v>R</v>
          </cell>
          <cell r="I377" t="str">
            <v>06/04/2024</v>
          </cell>
          <cell r="J377" t="str">
            <v>06/07/2024</v>
          </cell>
          <cell r="K377" t="str">
            <v>06/14/2024</v>
          </cell>
          <cell r="L377">
            <v>10</v>
          </cell>
          <cell r="M377" t="str">
            <v>6/6/2024 8:51:49 AM</v>
          </cell>
          <cell r="N377" t="str">
            <v>24</v>
          </cell>
          <cell r="O377">
            <v>10</v>
          </cell>
          <cell r="P377">
            <v>2.62</v>
          </cell>
        </row>
        <row r="378">
          <cell r="A378" t="str">
            <v>6724764</v>
          </cell>
          <cell r="B378" t="str">
            <v>1314183</v>
          </cell>
          <cell r="C378" t="str">
            <v>6384RDS-2192-702-SP10</v>
          </cell>
          <cell r="D378" t="str">
            <v>6384RDS</v>
          </cell>
          <cell r="E378" t="str">
            <v>6384RDS S&amp;W M&amp;P 4IN X300U COR MLTCM LH</v>
          </cell>
          <cell r="F378" t="str">
            <v>DG-HOLSTER-RDS</v>
          </cell>
          <cell r="G378" t="str">
            <v>1420-210-FG</v>
          </cell>
          <cell r="H378" t="str">
            <v>R</v>
          </cell>
          <cell r="I378" t="str">
            <v>06/04/2024</v>
          </cell>
          <cell r="J378" t="str">
            <v>06/10/2024</v>
          </cell>
          <cell r="K378" t="str">
            <v>06/14/2024</v>
          </cell>
          <cell r="L378">
            <v>1</v>
          </cell>
          <cell r="M378" t="str">
            <v>6/6/2024 8:51:49 AM</v>
          </cell>
          <cell r="N378" t="str">
            <v>24</v>
          </cell>
          <cell r="O378">
            <v>1</v>
          </cell>
          <cell r="P378">
            <v>0.4</v>
          </cell>
        </row>
        <row r="379">
          <cell r="A379" t="str">
            <v>6725499</v>
          </cell>
          <cell r="B379" t="str">
            <v>1171620</v>
          </cell>
          <cell r="C379" t="str">
            <v>6390-283-541</v>
          </cell>
          <cell r="D379" t="str">
            <v>6390</v>
          </cell>
          <cell r="E379" t="str">
            <v>6390 GLOCK 19/23 STX TAC FGR RH</v>
          </cell>
          <cell r="F379" t="str">
            <v>DG-HOLSTER-DTC</v>
          </cell>
          <cell r="G379" t="str">
            <v>1420-210-FG</v>
          </cell>
          <cell r="H379" t="str">
            <v>R</v>
          </cell>
          <cell r="I379" t="str">
            <v>06/05/2024</v>
          </cell>
          <cell r="J379" t="str">
            <v>06/11/2024</v>
          </cell>
          <cell r="K379" t="str">
            <v>06/14/2024</v>
          </cell>
          <cell r="L379">
            <v>1</v>
          </cell>
          <cell r="M379" t="str">
            <v>6/6/2024 8:14:16 AM</v>
          </cell>
          <cell r="N379" t="str">
            <v>24</v>
          </cell>
          <cell r="O379">
            <v>1</v>
          </cell>
          <cell r="P379">
            <v>0.27</v>
          </cell>
        </row>
        <row r="380">
          <cell r="A380" t="str">
            <v>6725489</v>
          </cell>
          <cell r="B380" t="str">
            <v>1332680</v>
          </cell>
          <cell r="C380" t="str">
            <v>6390RDS-8327-782</v>
          </cell>
          <cell r="D380" t="str">
            <v>6390RDS</v>
          </cell>
          <cell r="E380" t="str">
            <v>6390RDS  GLOCK 17MOS TLR-7 CORD BLK LH</v>
          </cell>
          <cell r="F380" t="str">
            <v>DG-HOLSTER-RDS-DTC</v>
          </cell>
          <cell r="G380" t="str">
            <v>1420-210-FG</v>
          </cell>
          <cell r="H380" t="str">
            <v>R</v>
          </cell>
          <cell r="I380" t="str">
            <v>06/05/2024</v>
          </cell>
          <cell r="J380" t="str">
            <v>06/11/2024</v>
          </cell>
          <cell r="K380" t="str">
            <v>06/14/2024</v>
          </cell>
          <cell r="L380">
            <v>1</v>
          </cell>
          <cell r="M380" t="str">
            <v>6/6/2024 8:53:38 AM</v>
          </cell>
          <cell r="N380" t="str">
            <v>24</v>
          </cell>
          <cell r="O380">
            <v>1</v>
          </cell>
          <cell r="P380">
            <v>0.43</v>
          </cell>
        </row>
        <row r="381">
          <cell r="A381" t="str">
            <v>6724847</v>
          </cell>
          <cell r="B381" t="str">
            <v>1332701</v>
          </cell>
          <cell r="C381" t="str">
            <v>6390RDS-8327-132</v>
          </cell>
          <cell r="D381" t="str">
            <v>6390RDS</v>
          </cell>
          <cell r="E381" t="str">
            <v>6390RDS GLOCK 17MOS TLR-7 STX TAC BLK LH</v>
          </cell>
          <cell r="F381" t="str">
            <v>DG-HOLSTER-RDS-DTC</v>
          </cell>
          <cell r="G381" t="str">
            <v>1420-210-FG</v>
          </cell>
          <cell r="H381" t="str">
            <v>R</v>
          </cell>
          <cell r="I381" t="str">
            <v>06/04/2024</v>
          </cell>
          <cell r="J381" t="str">
            <v>06/11/2024</v>
          </cell>
          <cell r="K381" t="str">
            <v>06/14/2024</v>
          </cell>
          <cell r="L381">
            <v>1</v>
          </cell>
          <cell r="M381" t="str">
            <v>6/6/2024 8:34:43 AM</v>
          </cell>
          <cell r="N381" t="str">
            <v>24</v>
          </cell>
          <cell r="O381">
            <v>1</v>
          </cell>
          <cell r="P381">
            <v>0.43</v>
          </cell>
        </row>
        <row r="382">
          <cell r="A382" t="str">
            <v>6723827</v>
          </cell>
          <cell r="B382" t="str">
            <v>1204722</v>
          </cell>
          <cell r="C382" t="str">
            <v>6390RDS-832-782</v>
          </cell>
          <cell r="D382" t="str">
            <v>6390RDS</v>
          </cell>
          <cell r="E382" t="str">
            <v>6390RDS GLOCK 17MOS X300U COR BLK LH</v>
          </cell>
          <cell r="F382" t="str">
            <v>DG-HOLSTER-RDS-DTC</v>
          </cell>
          <cell r="G382" t="str">
            <v>1420-210-FG</v>
          </cell>
          <cell r="H382" t="str">
            <v>R</v>
          </cell>
          <cell r="I382" t="str">
            <v>06/03/2024</v>
          </cell>
          <cell r="J382" t="str">
            <v>06/03/2024</v>
          </cell>
          <cell r="K382" t="str">
            <v>06/14/2024</v>
          </cell>
          <cell r="L382">
            <v>5</v>
          </cell>
          <cell r="M382" t="str">
            <v>6/6/2024 8:51:49 AM</v>
          </cell>
          <cell r="N382" t="str">
            <v>24</v>
          </cell>
          <cell r="O382">
            <v>5</v>
          </cell>
          <cell r="P382">
            <v>2.17</v>
          </cell>
        </row>
        <row r="383">
          <cell r="A383" t="str">
            <v>6723824</v>
          </cell>
          <cell r="B383" t="str">
            <v>1204715</v>
          </cell>
          <cell r="C383" t="str">
            <v>6390RDS-832-701</v>
          </cell>
          <cell r="D383" t="str">
            <v>6390RDS</v>
          </cell>
          <cell r="E383" t="str">
            <v>6390RDS GLOCK 17MOS X300U COR MLTCM RH</v>
          </cell>
          <cell r="F383" t="str">
            <v>DG-HOLSTER-RDS-DTC</v>
          </cell>
          <cell r="G383" t="str">
            <v>1420-210-FG</v>
          </cell>
          <cell r="H383" t="str">
            <v>F</v>
          </cell>
          <cell r="I383" t="str">
            <v>06/03/2024</v>
          </cell>
          <cell r="J383" t="str">
            <v>06/03/2024</v>
          </cell>
          <cell r="K383" t="str">
            <v>06/14/2024</v>
          </cell>
          <cell r="L383">
            <v>20</v>
          </cell>
          <cell r="M383" t="str">
            <v/>
          </cell>
          <cell r="N383" t="str">
            <v>24</v>
          </cell>
          <cell r="O383">
            <v>20</v>
          </cell>
          <cell r="P383">
            <v>8.66</v>
          </cell>
        </row>
        <row r="384">
          <cell r="A384" t="str">
            <v>6726116</v>
          </cell>
          <cell r="B384" t="str">
            <v>1201956</v>
          </cell>
          <cell r="C384" t="str">
            <v>6390RDS-832-491</v>
          </cell>
          <cell r="D384" t="str">
            <v>6390RDS</v>
          </cell>
          <cell r="E384" t="str">
            <v>6390RDS GLOCK 17MOS X300U STX HGS BLK RH</v>
          </cell>
          <cell r="F384" t="str">
            <v>DG-HOLSTER-RDS-DTC</v>
          </cell>
          <cell r="G384" t="str">
            <v>1420-210-FG</v>
          </cell>
          <cell r="H384" t="str">
            <v>R</v>
          </cell>
          <cell r="I384" t="str">
            <v>06/07/2024</v>
          </cell>
          <cell r="J384" t="str">
            <v>06/07/2024</v>
          </cell>
          <cell r="K384" t="str">
            <v>06/14/2024</v>
          </cell>
          <cell r="L384">
            <v>6</v>
          </cell>
          <cell r="M384" t="str">
            <v>6/11/2024 4:54:51 PM</v>
          </cell>
          <cell r="N384" t="str">
            <v>24</v>
          </cell>
          <cell r="O384">
            <v>6</v>
          </cell>
          <cell r="P384">
            <v>2.6</v>
          </cell>
        </row>
        <row r="385">
          <cell r="A385" t="str">
            <v>6725952</v>
          </cell>
          <cell r="B385" t="str">
            <v>1337153</v>
          </cell>
          <cell r="C385" t="str">
            <v>6390RDS-8314-551-2-NP</v>
          </cell>
          <cell r="D385" t="str">
            <v>6390RDS</v>
          </cell>
          <cell r="E385" t="str">
            <v>6390RDS GLOCK 17MOS X400U STX TAC FDE RH</v>
          </cell>
          <cell r="F385" t="str">
            <v>DG-HOLSTER-RDS-DTC</v>
          </cell>
          <cell r="G385" t="str">
            <v>1420-210-FG</v>
          </cell>
          <cell r="H385" t="str">
            <v>R</v>
          </cell>
          <cell r="I385" t="str">
            <v>06/07/2024</v>
          </cell>
          <cell r="J385" t="str">
            <v>06/07/2024</v>
          </cell>
          <cell r="K385" t="str">
            <v>06/14/2024</v>
          </cell>
          <cell r="L385">
            <v>15</v>
          </cell>
          <cell r="M385" t="str">
            <v>6/7/2024 8:54:42 AM</v>
          </cell>
          <cell r="N385" t="str">
            <v>24</v>
          </cell>
          <cell r="O385">
            <v>15</v>
          </cell>
          <cell r="P385">
            <v>6.5</v>
          </cell>
        </row>
        <row r="386">
          <cell r="A386" t="str">
            <v>6723762</v>
          </cell>
          <cell r="B386" t="str">
            <v>1206386</v>
          </cell>
          <cell r="C386" t="str">
            <v>6390RDS-2832-701</v>
          </cell>
          <cell r="D386" t="str">
            <v>6390RDS</v>
          </cell>
          <cell r="E386" t="str">
            <v>6390RDS GLOCK 19MOS X300U CORD MLTCM RH</v>
          </cell>
          <cell r="F386" t="str">
            <v>DG-HOLSTER-RDS-DTC</v>
          </cell>
          <cell r="G386" t="str">
            <v>1420-210-FG</v>
          </cell>
          <cell r="H386" t="str">
            <v>F</v>
          </cell>
          <cell r="I386" t="str">
            <v>06/03/2024</v>
          </cell>
          <cell r="J386" t="str">
            <v>06/03/2024</v>
          </cell>
          <cell r="K386" t="str">
            <v>06/14/2024</v>
          </cell>
          <cell r="L386">
            <v>15</v>
          </cell>
          <cell r="M386" t="str">
            <v/>
          </cell>
          <cell r="N386" t="str">
            <v>24</v>
          </cell>
          <cell r="O386">
            <v>15</v>
          </cell>
          <cell r="P386">
            <v>6</v>
          </cell>
        </row>
        <row r="387">
          <cell r="A387" t="str">
            <v>6724747</v>
          </cell>
          <cell r="B387" t="str">
            <v>1204862</v>
          </cell>
          <cell r="C387" t="str">
            <v>6390RDS-6832-781</v>
          </cell>
          <cell r="D387" t="str">
            <v>6390RDS</v>
          </cell>
          <cell r="E387" t="str">
            <v>6390RDS GLOCK 34/35 X300U COR BLK RH</v>
          </cell>
          <cell r="F387" t="str">
            <v>DG-HOLSTER-RDS</v>
          </cell>
          <cell r="G387" t="str">
            <v>1420-210-FG</v>
          </cell>
          <cell r="H387" t="str">
            <v>R</v>
          </cell>
          <cell r="I387" t="str">
            <v>06/04/2024</v>
          </cell>
          <cell r="J387" t="str">
            <v>06/06/2024</v>
          </cell>
          <cell r="K387" t="str">
            <v>06/14/2024</v>
          </cell>
          <cell r="L387">
            <v>7</v>
          </cell>
          <cell r="M387" t="str">
            <v>6/6/2024 8:51:49 AM</v>
          </cell>
          <cell r="N387" t="str">
            <v>24</v>
          </cell>
          <cell r="O387">
            <v>7</v>
          </cell>
          <cell r="P387">
            <v>2.8</v>
          </cell>
        </row>
        <row r="388">
          <cell r="A388" t="str">
            <v>6725078</v>
          </cell>
          <cell r="B388" t="str">
            <v>1336755</v>
          </cell>
          <cell r="C388" t="str">
            <v>6390RDS-8252-701</v>
          </cell>
          <cell r="D388" t="str">
            <v>6390RDS</v>
          </cell>
          <cell r="E388" t="str">
            <v>6390RDS GLOCK22 GEN5 X300U COR MLTCM RH</v>
          </cell>
          <cell r="F388" t="str">
            <v>DG-HOLSTER-RDS-DTC</v>
          </cell>
          <cell r="G388" t="str">
            <v>1420-210-FG</v>
          </cell>
          <cell r="H388" t="str">
            <v>R</v>
          </cell>
          <cell r="I388" t="str">
            <v>06/05/2024</v>
          </cell>
          <cell r="J388" t="str">
            <v>06/05/2024</v>
          </cell>
          <cell r="K388" t="str">
            <v>06/14/2024</v>
          </cell>
          <cell r="L388">
            <v>1</v>
          </cell>
          <cell r="M388" t="str">
            <v>6/6/2024 8:53:38 AM</v>
          </cell>
          <cell r="N388" t="str">
            <v>24</v>
          </cell>
          <cell r="O388">
            <v>1</v>
          </cell>
          <cell r="P388">
            <v>0.4</v>
          </cell>
        </row>
        <row r="389">
          <cell r="A389" t="str">
            <v>6726127</v>
          </cell>
          <cell r="B389" t="str">
            <v>1336754</v>
          </cell>
          <cell r="C389" t="str">
            <v>6390RDS-8252-132</v>
          </cell>
          <cell r="D389" t="str">
            <v>6390RDS</v>
          </cell>
          <cell r="E389" t="str">
            <v>6390RDS GLOCK22 GEN5 X300U STXTAC BLK LH</v>
          </cell>
          <cell r="F389" t="str">
            <v>DG-HOLSTER-RDS-DTC</v>
          </cell>
          <cell r="G389" t="str">
            <v>1420-210-FG</v>
          </cell>
          <cell r="H389" t="str">
            <v>R</v>
          </cell>
          <cell r="I389" t="str">
            <v>06/07/2024</v>
          </cell>
          <cell r="J389" t="str">
            <v>06/07/2024</v>
          </cell>
          <cell r="K389" t="str">
            <v>06/14/2024</v>
          </cell>
          <cell r="L389">
            <v>1</v>
          </cell>
          <cell r="M389" t="str">
            <v>6/11/2024 3:44:53 PM</v>
          </cell>
          <cell r="N389" t="str">
            <v>24</v>
          </cell>
          <cell r="O389">
            <v>1</v>
          </cell>
          <cell r="P389">
            <v>0.4</v>
          </cell>
        </row>
        <row r="390">
          <cell r="A390" t="str">
            <v>6724854</v>
          </cell>
          <cell r="B390" t="str">
            <v>1334690</v>
          </cell>
          <cell r="C390" t="str">
            <v>6390RDS-75228-702</v>
          </cell>
          <cell r="D390" t="str">
            <v>6390RDS</v>
          </cell>
          <cell r="E390" t="str">
            <v>6390RDS SIG P320C RX TLR8 COR MLTCM LH</v>
          </cell>
          <cell r="F390" t="str">
            <v>DG-HOLSTER-RDS-DTC</v>
          </cell>
          <cell r="G390" t="str">
            <v>1420-210-FG</v>
          </cell>
          <cell r="H390" t="str">
            <v>R</v>
          </cell>
          <cell r="I390" t="str">
            <v>06/04/2024</v>
          </cell>
          <cell r="J390" t="str">
            <v>06/10/2024</v>
          </cell>
          <cell r="K390" t="str">
            <v>06/14/2024</v>
          </cell>
          <cell r="L390">
            <v>1</v>
          </cell>
          <cell r="M390" t="str">
            <v>6/6/2024 8:53:38 AM</v>
          </cell>
          <cell r="N390" t="str">
            <v>24</v>
          </cell>
          <cell r="O390">
            <v>1</v>
          </cell>
          <cell r="P390">
            <v>0.43</v>
          </cell>
        </row>
        <row r="391">
          <cell r="A391" t="str">
            <v>6724363</v>
          </cell>
          <cell r="B391" t="str">
            <v>1335344</v>
          </cell>
          <cell r="C391" t="str">
            <v>6390RDSO-1582-131</v>
          </cell>
          <cell r="D391" t="str">
            <v>6390RDSO</v>
          </cell>
          <cell r="E391" t="str">
            <v>6390RDSO STI STACCP 4.4" X300U STXBLK RH</v>
          </cell>
          <cell r="F391" t="str">
            <v>DG-HOLSTER-RDS</v>
          </cell>
          <cell r="G391" t="str">
            <v>1420-210-FG</v>
          </cell>
          <cell r="H391" t="str">
            <v>F</v>
          </cell>
          <cell r="I391" t="str">
            <v>06/04/2024</v>
          </cell>
          <cell r="J391" t="str">
            <v>06/04/2024</v>
          </cell>
          <cell r="K391" t="str">
            <v>06/14/2024</v>
          </cell>
          <cell r="L391">
            <v>20</v>
          </cell>
          <cell r="M391" t="str">
            <v/>
          </cell>
          <cell r="N391" t="str">
            <v>24</v>
          </cell>
          <cell r="O391">
            <v>20</v>
          </cell>
          <cell r="P391">
            <v>8</v>
          </cell>
        </row>
        <row r="392">
          <cell r="A392" t="str">
            <v>6724842</v>
          </cell>
          <cell r="B392" t="str">
            <v>1328702</v>
          </cell>
          <cell r="C392" t="str">
            <v>6395RDS-8314-412</v>
          </cell>
          <cell r="D392" t="str">
            <v>6395RDS</v>
          </cell>
          <cell r="E392" t="str">
            <v>6395RDS GLOCK 17MOS X400U STX PLN BLK LH</v>
          </cell>
          <cell r="F392" t="str">
            <v>DG-HOLSTER-RDS-DTC</v>
          </cell>
          <cell r="G392" t="str">
            <v>1420-210-FG</v>
          </cell>
          <cell r="H392" t="str">
            <v>R</v>
          </cell>
          <cell r="I392" t="str">
            <v>06/04/2024</v>
          </cell>
          <cell r="J392" t="str">
            <v>06/10/2024</v>
          </cell>
          <cell r="K392" t="str">
            <v>06/14/2024</v>
          </cell>
          <cell r="L392">
            <v>1</v>
          </cell>
          <cell r="M392" t="str">
            <v>6/6/2024 8:27:44 AM</v>
          </cell>
          <cell r="N392" t="str">
            <v>24</v>
          </cell>
          <cell r="O392">
            <v>1</v>
          </cell>
          <cell r="P392">
            <v>0.43</v>
          </cell>
        </row>
        <row r="393">
          <cell r="A393" t="str">
            <v>6725495</v>
          </cell>
          <cell r="B393" t="str">
            <v>1333452</v>
          </cell>
          <cell r="C393" t="str">
            <v>6395RDS-75227-132</v>
          </cell>
          <cell r="D393" t="str">
            <v>6395RDS</v>
          </cell>
          <cell r="E393" t="str">
            <v>6395RDS SIG P320C RX TLR7 STX TAC BLK LH</v>
          </cell>
          <cell r="F393" t="str">
            <v>DG-HOLSTER-RDS</v>
          </cell>
          <cell r="G393" t="str">
            <v>1420-210-FG</v>
          </cell>
          <cell r="H393" t="str">
            <v>R</v>
          </cell>
          <cell r="I393" t="str">
            <v>06/05/2024</v>
          </cell>
          <cell r="J393" t="str">
            <v>06/11/2024</v>
          </cell>
          <cell r="K393" t="str">
            <v>06/14/2024</v>
          </cell>
          <cell r="L393">
            <v>1</v>
          </cell>
          <cell r="M393" t="str">
            <v>6/6/2024 8:34:43 AM</v>
          </cell>
          <cell r="N393" t="str">
            <v>24</v>
          </cell>
          <cell r="O393">
            <v>1</v>
          </cell>
          <cell r="P393">
            <v>0.43</v>
          </cell>
        </row>
        <row r="394">
          <cell r="A394" t="str">
            <v>6723550</v>
          </cell>
          <cell r="B394" t="str">
            <v>1324679</v>
          </cell>
          <cell r="C394" t="str">
            <v>6395RDS-1582-131</v>
          </cell>
          <cell r="D394" t="str">
            <v>6395RDS</v>
          </cell>
          <cell r="E394" t="str">
            <v>6395RDS STI STACC P 4.4" X300U STXBLK RH</v>
          </cell>
          <cell r="F394" t="str">
            <v>DG-HOLSTER-RDS</v>
          </cell>
          <cell r="G394" t="str">
            <v>1420-210-FG</v>
          </cell>
          <cell r="H394" t="str">
            <v>R</v>
          </cell>
          <cell r="I394" t="str">
            <v>06/03/2024</v>
          </cell>
          <cell r="J394" t="str">
            <v>06/03/2024</v>
          </cell>
          <cell r="K394" t="str">
            <v>06/14/2024</v>
          </cell>
          <cell r="L394">
            <v>10</v>
          </cell>
          <cell r="M394" t="str">
            <v>6/6/2024 7:47:45 AM</v>
          </cell>
          <cell r="N394" t="str">
            <v>24</v>
          </cell>
          <cell r="O394">
            <v>10</v>
          </cell>
          <cell r="P394">
            <v>4</v>
          </cell>
        </row>
        <row r="395">
          <cell r="A395" t="str">
            <v>6722135</v>
          </cell>
          <cell r="B395" t="str">
            <v>1331212</v>
          </cell>
          <cell r="C395" t="str">
            <v>76-83-563PBL-MSA</v>
          </cell>
          <cell r="D395" t="str">
            <v>76</v>
          </cell>
          <cell r="E395" t="str">
            <v>76 GLOCK 17/22 STX ODG</v>
          </cell>
          <cell r="F395" t="str">
            <v>DG-POUCH-F1</v>
          </cell>
          <cell r="G395" t="str">
            <v>1420-210-FG</v>
          </cell>
          <cell r="H395" t="str">
            <v>R</v>
          </cell>
          <cell r="I395" t="str">
            <v>05/29/2024</v>
          </cell>
          <cell r="J395" t="str">
            <v>05/29/2024</v>
          </cell>
          <cell r="K395" t="str">
            <v>06/14/2024</v>
          </cell>
          <cell r="L395">
            <v>1</v>
          </cell>
          <cell r="M395" t="str">
            <v>6/13/2024 4:04:42 PM</v>
          </cell>
          <cell r="N395" t="str">
            <v>24</v>
          </cell>
          <cell r="O395">
            <v>1</v>
          </cell>
          <cell r="P395">
            <v>0.31</v>
          </cell>
        </row>
        <row r="396">
          <cell r="A396" t="str">
            <v>6721995</v>
          </cell>
          <cell r="B396" t="str">
            <v>1331270</v>
          </cell>
          <cell r="C396" t="str">
            <v>79-83-23-MSA</v>
          </cell>
          <cell r="D396" t="str">
            <v>79</v>
          </cell>
          <cell r="E396" t="str">
            <v>79 GLOCK 17/22 STX TAC BLK</v>
          </cell>
          <cell r="F396" t="str">
            <v>DG-POUCH-F1</v>
          </cell>
          <cell r="G396" t="str">
            <v>1420-210-FG</v>
          </cell>
          <cell r="H396" t="str">
            <v>R</v>
          </cell>
          <cell r="I396" t="str">
            <v>05/28/2024</v>
          </cell>
          <cell r="J396" t="str">
            <v>05/31/2024</v>
          </cell>
          <cell r="K396" t="str">
            <v>06/14/2024</v>
          </cell>
          <cell r="L396">
            <v>30</v>
          </cell>
          <cell r="M396" t="str">
            <v>5/29/2024 3:41:07 PM</v>
          </cell>
          <cell r="N396" t="str">
            <v>24</v>
          </cell>
          <cell r="O396">
            <v>30</v>
          </cell>
          <cell r="P396">
            <v>9.3000000000000007</v>
          </cell>
        </row>
        <row r="397">
          <cell r="A397" t="str">
            <v>6724886</v>
          </cell>
          <cell r="B397" t="str">
            <v>1158722</v>
          </cell>
          <cell r="C397" t="str">
            <v>6287-3930-561</v>
          </cell>
          <cell r="D397" t="str">
            <v>6287</v>
          </cell>
          <cell r="E397" t="str">
            <v>BELT HOLSTER</v>
          </cell>
          <cell r="F397" t="str">
            <v>DG-HOLSTER-SEW</v>
          </cell>
          <cell r="G397" t="str">
            <v>1420-210-FG</v>
          </cell>
          <cell r="H397" t="str">
            <v>R</v>
          </cell>
          <cell r="I397" t="str">
            <v>06/04/2024</v>
          </cell>
          <cell r="J397" t="str">
            <v>06/10/2024</v>
          </cell>
          <cell r="K397" t="str">
            <v>06/14/2024</v>
          </cell>
          <cell r="L397">
            <v>1</v>
          </cell>
          <cell r="M397" t="str">
            <v>6/6/2024 8:12:53 AM</v>
          </cell>
          <cell r="N397" t="str">
            <v>24</v>
          </cell>
          <cell r="O397">
            <v>1</v>
          </cell>
          <cell r="P397">
            <v>0.36</v>
          </cell>
        </row>
        <row r="398">
          <cell r="A398" t="str">
            <v>6725986</v>
          </cell>
          <cell r="B398" t="str">
            <v>1167163</v>
          </cell>
          <cell r="C398" t="str">
            <v>MH6005-CYB</v>
          </cell>
          <cell r="D398" t="str">
            <v>MH6005</v>
          </cell>
          <cell r="E398" t="str">
            <v>DETACHABLE HRNSS /DOUBLE ELSTIC 6005 CYB</v>
          </cell>
          <cell r="F398" t="str">
            <v>DG-HARNESS</v>
          </cell>
          <cell r="G398" t="str">
            <v>1420-210-SB</v>
          </cell>
          <cell r="H398" t="str">
            <v>R</v>
          </cell>
          <cell r="I398" t="str">
            <v>06/07/2024</v>
          </cell>
          <cell r="J398" t="str">
            <v>06/07/2024</v>
          </cell>
          <cell r="K398" t="str">
            <v>06/14/2024</v>
          </cell>
          <cell r="L398">
            <v>16</v>
          </cell>
          <cell r="M398" t="str">
            <v>6/13/2024 8:22:47 AM</v>
          </cell>
          <cell r="N398" t="str">
            <v>24</v>
          </cell>
          <cell r="O398">
            <v>16</v>
          </cell>
          <cell r="P398">
            <v>4.5599999999999996</v>
          </cell>
        </row>
        <row r="399">
          <cell r="A399" t="str">
            <v>6725988</v>
          </cell>
          <cell r="B399" t="str">
            <v>1201623</v>
          </cell>
          <cell r="C399" t="str">
            <v>MH6005-10-ODG</v>
          </cell>
          <cell r="D399" t="str">
            <v>MH6005</v>
          </cell>
          <cell r="E399" t="str">
            <v>DTCBL HRNSS /SNGL ELSTC FOR 6005-10 ODG</v>
          </cell>
          <cell r="F399" t="str">
            <v>DG-HARNESS</v>
          </cell>
          <cell r="G399" t="str">
            <v>1420-210-SB</v>
          </cell>
          <cell r="H399" t="str">
            <v>R</v>
          </cell>
          <cell r="I399" t="str">
            <v>06/07/2024</v>
          </cell>
          <cell r="J399" t="str">
            <v>06/07/2024</v>
          </cell>
          <cell r="K399" t="str">
            <v>06/14/2024</v>
          </cell>
          <cell r="L399">
            <v>1</v>
          </cell>
          <cell r="M399" t="str">
            <v>6/13/2024 8:17:52 AM</v>
          </cell>
          <cell r="N399" t="str">
            <v>24</v>
          </cell>
          <cell r="O399">
            <v>1</v>
          </cell>
          <cell r="P399">
            <v>0.13</v>
          </cell>
        </row>
        <row r="400">
          <cell r="A400" t="str">
            <v>6721563</v>
          </cell>
          <cell r="B400" t="str">
            <v>1103520</v>
          </cell>
          <cell r="C400" t="str">
            <v>999-3-2</v>
          </cell>
          <cell r="D400" t="str">
            <v>999</v>
          </cell>
          <cell r="E400" t="str">
            <v>GARRISON BELT VELCRO</v>
          </cell>
          <cell r="F400" t="str">
            <v>DG-BELT</v>
          </cell>
          <cell r="G400" t="str">
            <v>1420-210-FG</v>
          </cell>
          <cell r="H400" t="str">
            <v>R</v>
          </cell>
          <cell r="I400" t="str">
            <v>05/28/2024</v>
          </cell>
          <cell r="J400" t="str">
            <v>05/31/2024</v>
          </cell>
          <cell r="K400" t="str">
            <v>06/14/2024</v>
          </cell>
          <cell r="L400">
            <v>5</v>
          </cell>
          <cell r="M400" t="str">
            <v>5/28/2024 10:51:05 AM</v>
          </cell>
          <cell r="N400" t="str">
            <v>24</v>
          </cell>
          <cell r="O400">
            <v>5</v>
          </cell>
          <cell r="P400">
            <v>3.29</v>
          </cell>
        </row>
        <row r="401">
          <cell r="A401" t="str">
            <v>6725987</v>
          </cell>
          <cell r="B401" t="str">
            <v>1167164</v>
          </cell>
          <cell r="C401" t="str">
            <v>MH6004-10-BLK</v>
          </cell>
          <cell r="D401" t="str">
            <v>MH6004</v>
          </cell>
          <cell r="E401" t="str">
            <v>HARNESS W/SINGLE ELASTIC FOR 6004-10 BKA</v>
          </cell>
          <cell r="F401" t="str">
            <v>DG-HARNESS-DTC</v>
          </cell>
          <cell r="G401" t="str">
            <v>1420-210-SB</v>
          </cell>
          <cell r="H401" t="str">
            <v>R</v>
          </cell>
          <cell r="I401" t="str">
            <v>06/07/2024</v>
          </cell>
          <cell r="J401" t="str">
            <v>06/07/2024</v>
          </cell>
          <cell r="K401" t="str">
            <v>06/14/2024</v>
          </cell>
          <cell r="L401">
            <v>1</v>
          </cell>
          <cell r="M401" t="str">
            <v>6/13/2024 8:22:47 AM</v>
          </cell>
          <cell r="N401" t="str">
            <v>24</v>
          </cell>
          <cell r="O401">
            <v>1</v>
          </cell>
          <cell r="P401">
            <v>0.24</v>
          </cell>
        </row>
        <row r="402">
          <cell r="A402" t="str">
            <v>6724293</v>
          </cell>
          <cell r="B402" t="str">
            <v>1120485</v>
          </cell>
          <cell r="C402" t="str">
            <v>6285-27721-131</v>
          </cell>
          <cell r="D402" t="str">
            <v>6285</v>
          </cell>
          <cell r="E402" t="str">
            <v>LOW-RIDE LEVEL II OR LEVEL III</v>
          </cell>
          <cell r="F402" t="str">
            <v>DG-HOLSTER</v>
          </cell>
          <cell r="G402" t="str">
            <v>1420-210-FG</v>
          </cell>
          <cell r="H402" t="str">
            <v>R</v>
          </cell>
          <cell r="I402" t="str">
            <v>06/04/2024</v>
          </cell>
          <cell r="J402" t="str">
            <v>06/04/2024</v>
          </cell>
          <cell r="K402" t="str">
            <v>06/14/2024</v>
          </cell>
          <cell r="L402">
            <v>10</v>
          </cell>
          <cell r="M402" t="str">
            <v>6/6/2024 8:03:50 AM</v>
          </cell>
          <cell r="N402" t="str">
            <v>24</v>
          </cell>
          <cell r="O402">
            <v>10</v>
          </cell>
          <cell r="P402">
            <v>4.17</v>
          </cell>
        </row>
        <row r="403">
          <cell r="A403" t="str">
            <v>6725044</v>
          </cell>
          <cell r="B403" t="str">
            <v>1131525</v>
          </cell>
          <cell r="C403" t="str">
            <v>6280-180-481</v>
          </cell>
          <cell r="D403" t="str">
            <v>6280</v>
          </cell>
          <cell r="E403" t="str">
            <v>MID-RIDE LEVEL II OR LEVEL III</v>
          </cell>
          <cell r="F403" t="str">
            <v>DG-HOLSTER</v>
          </cell>
          <cell r="G403" t="str">
            <v>1420-210-FG</v>
          </cell>
          <cell r="H403" t="str">
            <v>R</v>
          </cell>
          <cell r="I403" t="str">
            <v>06/05/2024</v>
          </cell>
          <cell r="J403" t="str">
            <v>06/05/2024</v>
          </cell>
          <cell r="K403" t="str">
            <v>06/14/2024</v>
          </cell>
          <cell r="L403">
            <v>1</v>
          </cell>
          <cell r="M403" t="str">
            <v>6/6/2024 8:13:24 AM</v>
          </cell>
          <cell r="N403" t="str">
            <v>24</v>
          </cell>
          <cell r="O403">
            <v>1</v>
          </cell>
          <cell r="P403">
            <v>0.3</v>
          </cell>
        </row>
        <row r="404">
          <cell r="A404" t="str">
            <v>6724956</v>
          </cell>
          <cell r="B404" t="str">
            <v>1335805</v>
          </cell>
          <cell r="C404" t="str">
            <v>20-565-B991</v>
          </cell>
          <cell r="D404" t="str">
            <v>SPECIES</v>
          </cell>
          <cell r="E404" t="str">
            <v>SPECIES P365 X-MACRO COR VTS RH</v>
          </cell>
          <cell r="F404" t="str">
            <v>DG-HOLSTER</v>
          </cell>
          <cell r="G404" t="str">
            <v>1420-210-FG</v>
          </cell>
          <cell r="H404" t="str">
            <v>R</v>
          </cell>
          <cell r="I404" t="str">
            <v>06/04/2024</v>
          </cell>
          <cell r="J404" t="str">
            <v>06/10/2024</v>
          </cell>
          <cell r="K404" t="str">
            <v>06/14/2024</v>
          </cell>
          <cell r="L404">
            <v>2</v>
          </cell>
          <cell r="M404" t="str">
            <v>6/6/2024 8:18:57 AM</v>
          </cell>
          <cell r="N404" t="str">
            <v>24</v>
          </cell>
          <cell r="O404">
            <v>2</v>
          </cell>
          <cell r="P404">
            <v>0.39</v>
          </cell>
        </row>
        <row r="405">
          <cell r="A405" t="str">
            <v>6724953</v>
          </cell>
          <cell r="B405" t="str">
            <v>1335790</v>
          </cell>
          <cell r="C405" t="str">
            <v>20-179-241</v>
          </cell>
          <cell r="D405" t="str">
            <v>SPECIES</v>
          </cell>
          <cell r="E405" t="str">
            <v>SPECIES SHIELD-PLUS COR GREY RH</v>
          </cell>
          <cell r="F405" t="str">
            <v>DG-HOLSTER</v>
          </cell>
          <cell r="G405" t="str">
            <v>1420-210-FG</v>
          </cell>
          <cell r="H405" t="str">
            <v>R</v>
          </cell>
          <cell r="I405" t="str">
            <v>06/04/2024</v>
          </cell>
          <cell r="J405" t="str">
            <v>06/10/2024</v>
          </cell>
          <cell r="K405" t="str">
            <v>06/14/2024</v>
          </cell>
          <cell r="L405">
            <v>1</v>
          </cell>
          <cell r="M405" t="str">
            <v>6/6/2024 8:18:38 AM</v>
          </cell>
          <cell r="N405" t="str">
            <v>24</v>
          </cell>
          <cell r="O405">
            <v>1</v>
          </cell>
          <cell r="P405">
            <v>0.22</v>
          </cell>
        </row>
        <row r="406">
          <cell r="A406" t="str">
            <v>6727690</v>
          </cell>
          <cell r="B406" t="str">
            <v>1014010</v>
          </cell>
          <cell r="C406" t="str">
            <v>20054</v>
          </cell>
          <cell r="D406" t="str">
            <v>580</v>
          </cell>
          <cell r="E406" t="str">
            <v>SPEED STRIP PAIR .38/.357</v>
          </cell>
          <cell r="F406" t="str">
            <v>DG-MISC</v>
          </cell>
          <cell r="G406" t="str">
            <v>1420-210-FG</v>
          </cell>
          <cell r="H406" t="str">
            <v>F</v>
          </cell>
          <cell r="I406" t="str">
            <v>06/11/2024</v>
          </cell>
          <cell r="J406" t="str">
            <v>06/11/2024</v>
          </cell>
          <cell r="K406" t="str">
            <v>06/15/2024</v>
          </cell>
          <cell r="L406">
            <v>100</v>
          </cell>
          <cell r="M406" t="str">
            <v/>
          </cell>
          <cell r="N406" t="str">
            <v>24</v>
          </cell>
          <cell r="O406">
            <v>100</v>
          </cell>
          <cell r="P406">
            <v>0.73</v>
          </cell>
        </row>
        <row r="407">
          <cell r="A407" t="str">
            <v>6726713</v>
          </cell>
          <cell r="B407" t="str">
            <v>1103379</v>
          </cell>
          <cell r="C407" t="str">
            <v>94-36-2</v>
          </cell>
          <cell r="D407" t="str">
            <v>94</v>
          </cell>
          <cell r="E407" t="str">
            <v>94 SZ36 PLN BLK</v>
          </cell>
          <cell r="F407" t="str">
            <v>DG-BELT</v>
          </cell>
          <cell r="G407" t="str">
            <v>1420-210-FG</v>
          </cell>
          <cell r="H407" t="str">
            <v>R</v>
          </cell>
          <cell r="I407" t="str">
            <v>06/10/2024</v>
          </cell>
          <cell r="J407" t="str">
            <v>06/10/2024</v>
          </cell>
          <cell r="K407" t="str">
            <v>06/16/2024</v>
          </cell>
          <cell r="L407">
            <v>62</v>
          </cell>
          <cell r="M407" t="str">
            <v>6/11/2024 3:02:21 PM</v>
          </cell>
          <cell r="N407" t="str">
            <v>24</v>
          </cell>
          <cell r="O407">
            <v>62</v>
          </cell>
          <cell r="P407">
            <v>31.94</v>
          </cell>
        </row>
        <row r="408">
          <cell r="A408" t="str">
            <v>6726776</v>
          </cell>
          <cell r="B408" t="str">
            <v>1112471</v>
          </cell>
          <cell r="C408" t="str">
            <v>030-34-2</v>
          </cell>
          <cell r="D408" t="str">
            <v>030</v>
          </cell>
          <cell r="E408" t="str">
            <v>030 UNDR BLT BUCKLESS SZ34 PLN BLK</v>
          </cell>
          <cell r="F408" t="str">
            <v>DG-BELT</v>
          </cell>
          <cell r="G408" t="str">
            <v>1420-210-FG</v>
          </cell>
          <cell r="H408" t="str">
            <v>R</v>
          </cell>
          <cell r="I408" t="str">
            <v>06/10/2024</v>
          </cell>
          <cell r="J408" t="str">
            <v>06/10/2024</v>
          </cell>
          <cell r="K408" t="str">
            <v>06/17/2024</v>
          </cell>
          <cell r="L408">
            <v>10</v>
          </cell>
          <cell r="M408" t="str">
            <v>6/11/2024 3:09:40 PM</v>
          </cell>
          <cell r="N408" t="str">
            <v>25</v>
          </cell>
          <cell r="O408">
            <v>10</v>
          </cell>
          <cell r="P408">
            <v>1.9</v>
          </cell>
        </row>
        <row r="409">
          <cell r="A409" t="str">
            <v>6726777</v>
          </cell>
          <cell r="B409" t="str">
            <v>1112473</v>
          </cell>
          <cell r="C409" t="str">
            <v>030-38-2</v>
          </cell>
          <cell r="D409" t="str">
            <v>030</v>
          </cell>
          <cell r="E409" t="str">
            <v>030 UNDR BLT BUCKLESS SZ38 PLN BLK</v>
          </cell>
          <cell r="F409" t="str">
            <v>DG-BELT</v>
          </cell>
          <cell r="G409" t="str">
            <v>1420-210-FG</v>
          </cell>
          <cell r="H409" t="str">
            <v>R</v>
          </cell>
          <cell r="I409" t="str">
            <v>06/10/2024</v>
          </cell>
          <cell r="J409" t="str">
            <v>06/10/2024</v>
          </cell>
          <cell r="K409" t="str">
            <v>06/17/2024</v>
          </cell>
          <cell r="L409">
            <v>10</v>
          </cell>
          <cell r="M409" t="str">
            <v>6/11/2024 3:09:40 PM</v>
          </cell>
          <cell r="N409" t="str">
            <v>25</v>
          </cell>
          <cell r="O409">
            <v>10</v>
          </cell>
          <cell r="P409">
            <v>1.9</v>
          </cell>
        </row>
        <row r="410">
          <cell r="A410" t="str">
            <v>6726778</v>
          </cell>
          <cell r="B410" t="str">
            <v>1112475</v>
          </cell>
          <cell r="C410" t="str">
            <v>030-42-2</v>
          </cell>
          <cell r="D410" t="str">
            <v>030</v>
          </cell>
          <cell r="E410" t="str">
            <v>030 UNDR BLT BUCKLESS SZ42 PLN BLK</v>
          </cell>
          <cell r="F410" t="str">
            <v>DG-BELT</v>
          </cell>
          <cell r="G410" t="str">
            <v>1420-210-FG</v>
          </cell>
          <cell r="H410" t="str">
            <v>R</v>
          </cell>
          <cell r="I410" t="str">
            <v>06/10/2024</v>
          </cell>
          <cell r="J410" t="str">
            <v>06/10/2024</v>
          </cell>
          <cell r="K410" t="str">
            <v>06/17/2024</v>
          </cell>
          <cell r="L410">
            <v>10</v>
          </cell>
          <cell r="M410" t="str">
            <v>6/11/2024 3:09:40 PM</v>
          </cell>
          <cell r="N410" t="str">
            <v>25</v>
          </cell>
          <cell r="O410">
            <v>10</v>
          </cell>
          <cell r="P410">
            <v>1.9</v>
          </cell>
        </row>
        <row r="411">
          <cell r="A411" t="str">
            <v>6726781</v>
          </cell>
          <cell r="B411" t="str">
            <v>1138905</v>
          </cell>
          <cell r="C411" t="str">
            <v>032-32-26</v>
          </cell>
          <cell r="D411" t="str">
            <v>032</v>
          </cell>
          <cell r="E411" t="str">
            <v>032 ELS COMP BLT SZ32 NYL LK BLK</v>
          </cell>
          <cell r="F411" t="str">
            <v>DG-BELT</v>
          </cell>
          <cell r="G411" t="str">
            <v>1420-210-FG</v>
          </cell>
          <cell r="H411" t="str">
            <v>R</v>
          </cell>
          <cell r="I411" t="str">
            <v>06/10/2024</v>
          </cell>
          <cell r="J411" t="str">
            <v>06/10/2024</v>
          </cell>
          <cell r="K411" t="str">
            <v>06/17/2024</v>
          </cell>
          <cell r="L411">
            <v>5</v>
          </cell>
          <cell r="M411" t="str">
            <v>6/11/2024 3:06:23 PM</v>
          </cell>
          <cell r="N411" t="str">
            <v>25</v>
          </cell>
          <cell r="O411">
            <v>5</v>
          </cell>
          <cell r="P411">
            <v>2.65</v>
          </cell>
        </row>
        <row r="412">
          <cell r="A412" t="str">
            <v>6726782</v>
          </cell>
          <cell r="B412" t="str">
            <v>1138909</v>
          </cell>
          <cell r="C412" t="str">
            <v>032-34-26</v>
          </cell>
          <cell r="D412" t="str">
            <v>032</v>
          </cell>
          <cell r="E412" t="str">
            <v>032 ELS COMP BLT SZ34 NYL LK BLK</v>
          </cell>
          <cell r="F412" t="str">
            <v>DG-BELT</v>
          </cell>
          <cell r="G412" t="str">
            <v>1420-210-FG</v>
          </cell>
          <cell r="H412" t="str">
            <v>R</v>
          </cell>
          <cell r="I412" t="str">
            <v>06/10/2024</v>
          </cell>
          <cell r="J412" t="str">
            <v>06/10/2024</v>
          </cell>
          <cell r="K412" t="str">
            <v>06/17/2024</v>
          </cell>
          <cell r="L412">
            <v>5</v>
          </cell>
          <cell r="M412" t="str">
            <v>6/11/2024 3:06:34 PM</v>
          </cell>
          <cell r="N412" t="str">
            <v>25</v>
          </cell>
          <cell r="O412">
            <v>5</v>
          </cell>
          <cell r="P412">
            <v>2.65</v>
          </cell>
        </row>
        <row r="413">
          <cell r="A413" t="str">
            <v>6726785</v>
          </cell>
          <cell r="B413" t="str">
            <v>1139071</v>
          </cell>
          <cell r="C413" t="str">
            <v>032-36-18</v>
          </cell>
          <cell r="D413" t="str">
            <v>032</v>
          </cell>
          <cell r="E413" t="str">
            <v>032 ELS COMP BLT SZ36 BASKET BLK</v>
          </cell>
          <cell r="F413" t="str">
            <v>DG-BELT</v>
          </cell>
          <cell r="G413" t="str">
            <v>1420-210-FG</v>
          </cell>
          <cell r="H413" t="str">
            <v>R</v>
          </cell>
          <cell r="I413" t="str">
            <v>06/10/2024</v>
          </cell>
          <cell r="J413" t="str">
            <v>06/10/2024</v>
          </cell>
          <cell r="K413" t="str">
            <v>06/17/2024</v>
          </cell>
          <cell r="L413">
            <v>5</v>
          </cell>
          <cell r="M413" t="str">
            <v>6/11/2024 3:09:40 PM</v>
          </cell>
          <cell r="N413" t="str">
            <v>25</v>
          </cell>
          <cell r="O413">
            <v>5</v>
          </cell>
          <cell r="P413">
            <v>3.19</v>
          </cell>
        </row>
        <row r="414">
          <cell r="A414" t="str">
            <v>6723242</v>
          </cell>
          <cell r="B414" t="str">
            <v>1198371</v>
          </cell>
          <cell r="C414" t="str">
            <v>032-36-55</v>
          </cell>
          <cell r="D414" t="str">
            <v>032</v>
          </cell>
          <cell r="E414" t="str">
            <v>032 ELS COMP BLT SZ36 PLN FDE</v>
          </cell>
          <cell r="F414" t="str">
            <v>DG-BELT</v>
          </cell>
          <cell r="G414" t="str">
            <v>1420-210-FG</v>
          </cell>
          <cell r="H414" t="str">
            <v>R</v>
          </cell>
          <cell r="I414" t="str">
            <v>06/03/2024</v>
          </cell>
          <cell r="J414" t="str">
            <v>06/03/2024</v>
          </cell>
          <cell r="K414" t="str">
            <v>06/17/2024</v>
          </cell>
          <cell r="L414">
            <v>20</v>
          </cell>
          <cell r="M414" t="str">
            <v>6/4/2024 2:05:06 PM</v>
          </cell>
          <cell r="N414" t="str">
            <v>25</v>
          </cell>
          <cell r="O414">
            <v>20</v>
          </cell>
          <cell r="P414">
            <v>5.73</v>
          </cell>
        </row>
        <row r="415">
          <cell r="A415" t="str">
            <v>6723271</v>
          </cell>
          <cell r="B415" t="str">
            <v>1198371</v>
          </cell>
          <cell r="C415" t="str">
            <v>032-36-55</v>
          </cell>
          <cell r="D415" t="str">
            <v>032</v>
          </cell>
          <cell r="E415" t="str">
            <v>032 ELS COMP BLT SZ36 PLN FDE</v>
          </cell>
          <cell r="F415" t="str">
            <v>DG-BELT</v>
          </cell>
          <cell r="G415" t="str">
            <v>1420-210-FG</v>
          </cell>
          <cell r="H415" t="str">
            <v>R</v>
          </cell>
          <cell r="I415" t="str">
            <v>06/03/2024</v>
          </cell>
          <cell r="J415" t="str">
            <v>06/03/2024</v>
          </cell>
          <cell r="K415" t="str">
            <v>06/17/2024</v>
          </cell>
          <cell r="L415">
            <v>9</v>
          </cell>
          <cell r="M415" t="str">
            <v>6/4/2024 2:05:06 PM</v>
          </cell>
          <cell r="N415" t="str">
            <v>25</v>
          </cell>
          <cell r="O415">
            <v>9</v>
          </cell>
          <cell r="P415">
            <v>2.57</v>
          </cell>
        </row>
        <row r="416">
          <cell r="A416" t="str">
            <v>6726783</v>
          </cell>
          <cell r="B416" t="str">
            <v>1138914</v>
          </cell>
          <cell r="C416" t="str">
            <v>032-44-26</v>
          </cell>
          <cell r="D416" t="str">
            <v>032</v>
          </cell>
          <cell r="E416" t="str">
            <v>032 ELS COMP BLT SZ44 NYL LK BLK</v>
          </cell>
          <cell r="F416" t="str">
            <v>DG-BELT</v>
          </cell>
          <cell r="G416" t="str">
            <v>1420-210-FG</v>
          </cell>
          <cell r="H416" t="str">
            <v>R</v>
          </cell>
          <cell r="I416" t="str">
            <v>06/10/2024</v>
          </cell>
          <cell r="J416" t="str">
            <v>06/10/2024</v>
          </cell>
          <cell r="K416" t="str">
            <v>06/17/2024</v>
          </cell>
          <cell r="L416">
            <v>5</v>
          </cell>
          <cell r="M416" t="str">
            <v>6/11/2024 3:06:47 PM</v>
          </cell>
          <cell r="N416" t="str">
            <v>25</v>
          </cell>
          <cell r="O416">
            <v>5</v>
          </cell>
          <cell r="P416">
            <v>2.65</v>
          </cell>
        </row>
        <row r="417">
          <cell r="A417" t="str">
            <v>6724895</v>
          </cell>
          <cell r="B417" t="str">
            <v>1179852</v>
          </cell>
          <cell r="C417" t="str">
            <v>1051-283-411</v>
          </cell>
          <cell r="D417" t="str">
            <v>1051</v>
          </cell>
          <cell r="E417" t="str">
            <v>1051 GLOCK 19/23 STX PLN BLK RH</v>
          </cell>
          <cell r="F417" t="str">
            <v>DG-HOLSTER-SEW-DTC</v>
          </cell>
          <cell r="G417" t="str">
            <v>1420-210-FG</v>
          </cell>
          <cell r="H417" t="str">
            <v>R</v>
          </cell>
          <cell r="I417" t="str">
            <v>06/04/2024</v>
          </cell>
          <cell r="J417" t="str">
            <v>06/10/2024</v>
          </cell>
          <cell r="K417" t="str">
            <v>06/17/2024</v>
          </cell>
          <cell r="L417">
            <v>5</v>
          </cell>
          <cell r="M417" t="str">
            <v>6/6/2024 9:47:12 AM</v>
          </cell>
          <cell r="N417" t="str">
            <v>25</v>
          </cell>
          <cell r="O417">
            <v>5</v>
          </cell>
          <cell r="P417">
            <v>2.87</v>
          </cell>
        </row>
        <row r="418">
          <cell r="A418" t="str">
            <v>6726733</v>
          </cell>
          <cell r="B418" t="str">
            <v>1097198</v>
          </cell>
          <cell r="C418" t="str">
            <v>146-40-4B</v>
          </cell>
          <cell r="D418" t="str">
            <v>146</v>
          </cell>
          <cell r="E418" t="str">
            <v>146 BORDER PATROL BLT BSK BLK SZ40 BR</v>
          </cell>
          <cell r="F418" t="str">
            <v>DG-BELT</v>
          </cell>
          <cell r="G418" t="str">
            <v>1420-210-FG</v>
          </cell>
          <cell r="H418" t="str">
            <v>F</v>
          </cell>
          <cell r="I418" t="str">
            <v>06/10/2024</v>
          </cell>
          <cell r="J418" t="str">
            <v>06/10/2024</v>
          </cell>
          <cell r="K418" t="str">
            <v>06/17/2024</v>
          </cell>
          <cell r="L418">
            <v>5</v>
          </cell>
          <cell r="M418" t="str">
            <v/>
          </cell>
          <cell r="N418" t="str">
            <v>25</v>
          </cell>
          <cell r="O418">
            <v>5</v>
          </cell>
          <cell r="P418">
            <v>2.6</v>
          </cell>
        </row>
        <row r="419">
          <cell r="A419" t="str">
            <v>6726732</v>
          </cell>
          <cell r="B419" t="str">
            <v>1097196</v>
          </cell>
          <cell r="C419" t="str">
            <v>146-40-4</v>
          </cell>
          <cell r="D419" t="str">
            <v>146</v>
          </cell>
          <cell r="E419" t="str">
            <v>146 BORDER PATROL BLT BSK BLK SZ40 CH</v>
          </cell>
          <cell r="F419" t="str">
            <v>DG-BELT</v>
          </cell>
          <cell r="G419" t="str">
            <v>1420-210-FG</v>
          </cell>
          <cell r="H419" t="str">
            <v>F</v>
          </cell>
          <cell r="I419" t="str">
            <v>06/10/2024</v>
          </cell>
          <cell r="J419" t="str">
            <v>06/10/2024</v>
          </cell>
          <cell r="K419" t="str">
            <v>06/17/2024</v>
          </cell>
          <cell r="L419">
            <v>5</v>
          </cell>
          <cell r="M419" t="str">
            <v/>
          </cell>
          <cell r="N419" t="str">
            <v>25</v>
          </cell>
          <cell r="O419">
            <v>5</v>
          </cell>
          <cell r="P419">
            <v>2.6</v>
          </cell>
        </row>
        <row r="420">
          <cell r="A420" t="str">
            <v>6726734</v>
          </cell>
          <cell r="B420" t="str">
            <v>1097203</v>
          </cell>
          <cell r="C420" t="str">
            <v>146-42-2</v>
          </cell>
          <cell r="D420" t="str">
            <v>146</v>
          </cell>
          <cell r="E420" t="str">
            <v>146 BORDER PATROL BLT PLN BLK SZ42 CH</v>
          </cell>
          <cell r="F420" t="str">
            <v>DG-BELT</v>
          </cell>
          <cell r="G420" t="str">
            <v>1420-210-FG</v>
          </cell>
          <cell r="H420" t="str">
            <v>F</v>
          </cell>
          <cell r="I420" t="str">
            <v>06/10/2024</v>
          </cell>
          <cell r="J420" t="str">
            <v>06/10/2024</v>
          </cell>
          <cell r="K420" t="str">
            <v>06/17/2024</v>
          </cell>
          <cell r="L420">
            <v>5</v>
          </cell>
          <cell r="M420" t="str">
            <v/>
          </cell>
          <cell r="N420" t="str">
            <v>25</v>
          </cell>
          <cell r="O420">
            <v>5</v>
          </cell>
          <cell r="P420">
            <v>2.4300000000000002</v>
          </cell>
        </row>
        <row r="421">
          <cell r="A421" t="str">
            <v>6726708</v>
          </cell>
          <cell r="B421" t="str">
            <v>1096567</v>
          </cell>
          <cell r="C421" t="str">
            <v>146V-38-2B</v>
          </cell>
          <cell r="D421" t="str">
            <v>146V</v>
          </cell>
          <cell r="E421" t="str">
            <v>146V BORDER PATROL BLT PLN BLK SZ38 BR</v>
          </cell>
          <cell r="F421" t="str">
            <v>DG-BELT</v>
          </cell>
          <cell r="G421" t="str">
            <v>1420-210-FG</v>
          </cell>
          <cell r="H421" t="str">
            <v>R</v>
          </cell>
          <cell r="I421" t="str">
            <v>06/10/2024</v>
          </cell>
          <cell r="J421" t="str">
            <v>06/10/2024</v>
          </cell>
          <cell r="K421" t="str">
            <v>06/17/2024</v>
          </cell>
          <cell r="L421">
            <v>62</v>
          </cell>
          <cell r="M421" t="str">
            <v>6/13/2024 12:33:50 PM</v>
          </cell>
          <cell r="N421" t="str">
            <v>25</v>
          </cell>
          <cell r="O421">
            <v>62</v>
          </cell>
          <cell r="P421">
            <v>32.799999999999997</v>
          </cell>
        </row>
        <row r="422">
          <cell r="A422" t="str">
            <v>6726724</v>
          </cell>
          <cell r="B422" t="str">
            <v>1096568</v>
          </cell>
          <cell r="C422" t="str">
            <v>146V-40-2B</v>
          </cell>
          <cell r="D422" t="str">
            <v>146V</v>
          </cell>
          <cell r="E422" t="str">
            <v>146V BORDER PATROL BLT PLN BLK SZ40 BR</v>
          </cell>
          <cell r="F422" t="str">
            <v>DG-BELT</v>
          </cell>
          <cell r="G422" t="str">
            <v>1420-210-FG</v>
          </cell>
          <cell r="H422" t="str">
            <v>F</v>
          </cell>
          <cell r="I422" t="str">
            <v>06/10/2024</v>
          </cell>
          <cell r="J422" t="str">
            <v>06/10/2024</v>
          </cell>
          <cell r="K422" t="str">
            <v>06/17/2024</v>
          </cell>
          <cell r="L422">
            <v>15</v>
          </cell>
          <cell r="M422" t="str">
            <v/>
          </cell>
          <cell r="N422" t="str">
            <v>25</v>
          </cell>
          <cell r="O422">
            <v>15</v>
          </cell>
          <cell r="P422">
            <v>7.95</v>
          </cell>
        </row>
        <row r="423">
          <cell r="A423" t="str">
            <v>6726725</v>
          </cell>
          <cell r="B423" t="str">
            <v>1096569</v>
          </cell>
          <cell r="C423" t="str">
            <v>146V-42-2B</v>
          </cell>
          <cell r="D423" t="str">
            <v>146V</v>
          </cell>
          <cell r="E423" t="str">
            <v>146V BORDER PATROL BLT PLN BLK SZ42 BR</v>
          </cell>
          <cell r="F423" t="str">
            <v>DG-BELT</v>
          </cell>
          <cell r="G423" t="str">
            <v>1420-210-FG</v>
          </cell>
          <cell r="H423" t="str">
            <v>R</v>
          </cell>
          <cell r="I423" t="str">
            <v>06/10/2024</v>
          </cell>
          <cell r="J423" t="str">
            <v>06/10/2024</v>
          </cell>
          <cell r="K423" t="str">
            <v>06/17/2024</v>
          </cell>
          <cell r="L423">
            <v>18</v>
          </cell>
          <cell r="M423" t="str">
            <v>6/13/2024 12:33:50 PM</v>
          </cell>
          <cell r="N423" t="str">
            <v>25</v>
          </cell>
          <cell r="O423">
            <v>18</v>
          </cell>
          <cell r="P423">
            <v>9.52</v>
          </cell>
        </row>
        <row r="424">
          <cell r="A424" t="str">
            <v>6726726</v>
          </cell>
          <cell r="B424" t="str">
            <v>1096572</v>
          </cell>
          <cell r="C424" t="str">
            <v>146V-48-2B</v>
          </cell>
          <cell r="D424" t="str">
            <v>146V</v>
          </cell>
          <cell r="E424" t="str">
            <v>146V BORDER PATROL BLT PLN BLK SZ48 BR</v>
          </cell>
          <cell r="F424" t="str">
            <v>DG-BELT</v>
          </cell>
          <cell r="G424" t="str">
            <v>1420-210-FG</v>
          </cell>
          <cell r="H424" t="str">
            <v>R</v>
          </cell>
          <cell r="I424" t="str">
            <v>06/10/2024</v>
          </cell>
          <cell r="J424" t="str">
            <v>06/10/2024</v>
          </cell>
          <cell r="K424" t="str">
            <v>06/17/2024</v>
          </cell>
          <cell r="L424">
            <v>19</v>
          </cell>
          <cell r="M424" t="str">
            <v>6/13/2024 12:33:50 PM</v>
          </cell>
          <cell r="N424" t="str">
            <v>25</v>
          </cell>
          <cell r="O424">
            <v>19</v>
          </cell>
          <cell r="P424">
            <v>10.07</v>
          </cell>
        </row>
        <row r="425">
          <cell r="A425" t="str">
            <v>6723930</v>
          </cell>
          <cell r="B425" t="str">
            <v>1207881</v>
          </cell>
          <cell r="C425" t="str">
            <v>17-179-131</v>
          </cell>
          <cell r="D425" t="str">
            <v>17</v>
          </cell>
          <cell r="E425" t="str">
            <v>17 S&amp;W M&amp;P SHIELD 2.0 STX TAC BLK RH</v>
          </cell>
          <cell r="F425" t="str">
            <v>DG-HOLSTER-SEW-DTC</v>
          </cell>
          <cell r="G425" t="str">
            <v>1420-210-FG</v>
          </cell>
          <cell r="H425" t="str">
            <v>R</v>
          </cell>
          <cell r="I425" t="str">
            <v>06/03/2024</v>
          </cell>
          <cell r="J425" t="str">
            <v>06/03/2024</v>
          </cell>
          <cell r="K425" t="str">
            <v>06/17/2024</v>
          </cell>
          <cell r="L425">
            <v>10</v>
          </cell>
          <cell r="M425" t="str">
            <v>6/6/2024 8:56:49 AM</v>
          </cell>
          <cell r="N425" t="str">
            <v>25</v>
          </cell>
          <cell r="O425">
            <v>10</v>
          </cell>
          <cell r="P425">
            <v>1.52</v>
          </cell>
        </row>
        <row r="426">
          <cell r="A426" t="str">
            <v>6725694</v>
          </cell>
          <cell r="B426" t="str">
            <v>1164069</v>
          </cell>
          <cell r="C426" t="str">
            <v>LCE-20866BKA-01</v>
          </cell>
          <cell r="D426" t="str">
            <v/>
          </cell>
          <cell r="E426" t="str">
            <v>20866 LIGHT CAP EXTENDED:EXT ABS BLK</v>
          </cell>
          <cell r="F426" t="str">
            <v>DG-MOLDING</v>
          </cell>
          <cell r="G426" t="str">
            <v>1420-210-SB</v>
          </cell>
          <cell r="H426" t="str">
            <v>F</v>
          </cell>
          <cell r="I426" t="str">
            <v>06/06/2024</v>
          </cell>
          <cell r="J426" t="str">
            <v>06/06/2024</v>
          </cell>
          <cell r="K426" t="str">
            <v>06/17/2024</v>
          </cell>
          <cell r="L426">
            <v>1500</v>
          </cell>
          <cell r="M426" t="str">
            <v/>
          </cell>
          <cell r="N426" t="str">
            <v>25</v>
          </cell>
          <cell r="O426">
            <v>1500</v>
          </cell>
          <cell r="P426">
            <v>5.25</v>
          </cell>
        </row>
        <row r="427">
          <cell r="A427" t="str">
            <v>6724894</v>
          </cell>
          <cell r="B427" t="str">
            <v>1169345</v>
          </cell>
          <cell r="C427" t="str">
            <v>27-283-62</v>
          </cell>
          <cell r="D427" t="str">
            <v>27</v>
          </cell>
          <cell r="E427" t="str">
            <v>27 GLOCK 19/23 PLN BLK LH</v>
          </cell>
          <cell r="F427" t="str">
            <v>DG-HOLSTER-SEW-DTC</v>
          </cell>
          <cell r="G427" t="str">
            <v>1420-210-FG</v>
          </cell>
          <cell r="H427" t="str">
            <v>R</v>
          </cell>
          <cell r="I427" t="str">
            <v>06/04/2024</v>
          </cell>
          <cell r="J427" t="str">
            <v>06/10/2024</v>
          </cell>
          <cell r="K427" t="str">
            <v>06/17/2024</v>
          </cell>
          <cell r="L427">
            <v>5</v>
          </cell>
          <cell r="M427" t="str">
            <v>6/6/2024 9:44:19 AM</v>
          </cell>
          <cell r="N427" t="str">
            <v>25</v>
          </cell>
          <cell r="O427">
            <v>5</v>
          </cell>
          <cell r="P427">
            <v>1.22</v>
          </cell>
        </row>
        <row r="428">
          <cell r="A428" t="str">
            <v>6724901</v>
          </cell>
          <cell r="B428" t="str">
            <v>1189668</v>
          </cell>
          <cell r="C428" t="str">
            <v>27-895-61</v>
          </cell>
          <cell r="D428" t="str">
            <v>27</v>
          </cell>
          <cell r="E428" t="str">
            <v>27 GLOCK 43 PLN BLK RH</v>
          </cell>
          <cell r="F428" t="str">
            <v>DG-HOLSTER-SEW-DTC</v>
          </cell>
          <cell r="G428" t="str">
            <v>1420-210-FG</v>
          </cell>
          <cell r="H428" t="str">
            <v>R</v>
          </cell>
          <cell r="I428" t="str">
            <v>06/04/2024</v>
          </cell>
          <cell r="J428" t="str">
            <v>06/07/2024</v>
          </cell>
          <cell r="K428" t="str">
            <v>06/17/2024</v>
          </cell>
          <cell r="L428">
            <v>50</v>
          </cell>
          <cell r="M428" t="str">
            <v>6/6/2024 9:44:29 AM</v>
          </cell>
          <cell r="N428" t="str">
            <v>25</v>
          </cell>
          <cell r="O428">
            <v>50</v>
          </cell>
          <cell r="P428">
            <v>8.15</v>
          </cell>
        </row>
        <row r="429">
          <cell r="A429" t="str">
            <v>6726165</v>
          </cell>
          <cell r="B429" t="str">
            <v>1128856</v>
          </cell>
          <cell r="C429" t="str">
            <v>306-2-48</v>
          </cell>
          <cell r="D429" t="str">
            <v>306</v>
          </cell>
          <cell r="E429" t="str">
            <v>306 SCORPION STX BSK BLK</v>
          </cell>
          <cell r="F429" t="str">
            <v>DG-POUCH-F1</v>
          </cell>
          <cell r="G429" t="str">
            <v>1420-210-FG</v>
          </cell>
          <cell r="H429" t="str">
            <v>R</v>
          </cell>
          <cell r="I429" t="str">
            <v>06/07/2024</v>
          </cell>
          <cell r="J429" t="str">
            <v>06/07/2024</v>
          </cell>
          <cell r="K429" t="str">
            <v>06/17/2024</v>
          </cell>
          <cell r="L429">
            <v>5</v>
          </cell>
          <cell r="M429" t="str">
            <v>6/7/2024 11:44:04 AM</v>
          </cell>
          <cell r="N429" t="str">
            <v>25</v>
          </cell>
          <cell r="O429">
            <v>5</v>
          </cell>
          <cell r="P429">
            <v>1.43</v>
          </cell>
        </row>
        <row r="430">
          <cell r="A430" t="str">
            <v>6722004</v>
          </cell>
          <cell r="B430" t="str">
            <v>1099523</v>
          </cell>
          <cell r="C430" t="str">
            <v>306-11-13</v>
          </cell>
          <cell r="D430" t="str">
            <v>306</v>
          </cell>
          <cell r="E430" t="str">
            <v>306 STRINGER W/ PLY GRP STX TAC BLK</v>
          </cell>
          <cell r="F430" t="str">
            <v>DG-POUCH-F1</v>
          </cell>
          <cell r="G430" t="str">
            <v>1420-210-FG</v>
          </cell>
          <cell r="H430" t="str">
            <v>R</v>
          </cell>
          <cell r="I430" t="str">
            <v>05/28/2024</v>
          </cell>
          <cell r="J430" t="str">
            <v>06/03/2024</v>
          </cell>
          <cell r="K430" t="str">
            <v>06/17/2024</v>
          </cell>
          <cell r="L430">
            <v>10</v>
          </cell>
          <cell r="M430" t="str">
            <v>5/29/2024 3:34:08 PM</v>
          </cell>
          <cell r="N430" t="str">
            <v>25</v>
          </cell>
          <cell r="O430">
            <v>10</v>
          </cell>
          <cell r="P430">
            <v>4.5599999999999996</v>
          </cell>
        </row>
        <row r="431">
          <cell r="A431" t="str">
            <v>6724409</v>
          </cell>
          <cell r="B431" t="str">
            <v>1099523</v>
          </cell>
          <cell r="C431" t="str">
            <v>306-11-13</v>
          </cell>
          <cell r="D431" t="str">
            <v>306</v>
          </cell>
          <cell r="E431" t="str">
            <v>306 STRINGER W/ PLY GRP STX TAC BLK</v>
          </cell>
          <cell r="F431" t="str">
            <v>DG-POUCH-F1</v>
          </cell>
          <cell r="G431" t="str">
            <v>1420-210-FG</v>
          </cell>
          <cell r="H431" t="str">
            <v>R</v>
          </cell>
          <cell r="I431" t="str">
            <v>06/04/2024</v>
          </cell>
          <cell r="J431" t="str">
            <v>06/04/2024</v>
          </cell>
          <cell r="K431" t="str">
            <v>06/17/2024</v>
          </cell>
          <cell r="L431">
            <v>10</v>
          </cell>
          <cell r="M431" t="str">
            <v>6/6/2024 11:35:56 AM</v>
          </cell>
          <cell r="N431" t="str">
            <v>25</v>
          </cell>
          <cell r="O431">
            <v>10</v>
          </cell>
          <cell r="P431">
            <v>4.5599999999999996</v>
          </cell>
        </row>
        <row r="432">
          <cell r="A432" t="str">
            <v>6726179</v>
          </cell>
          <cell r="B432" t="str">
            <v>1137656</v>
          </cell>
          <cell r="C432" t="str">
            <v>306-7-2</v>
          </cell>
          <cell r="D432" t="str">
            <v>306</v>
          </cell>
          <cell r="E432" t="str">
            <v>306 STRMLGT STINGER PLN BLK</v>
          </cell>
          <cell r="F432" t="str">
            <v>DG-POUCH-F1</v>
          </cell>
          <cell r="G432" t="str">
            <v>1420-210-FG</v>
          </cell>
          <cell r="H432" t="str">
            <v>R</v>
          </cell>
          <cell r="I432" t="str">
            <v>06/07/2024</v>
          </cell>
          <cell r="J432" t="str">
            <v>06/07/2024</v>
          </cell>
          <cell r="K432" t="str">
            <v>06/17/2024</v>
          </cell>
          <cell r="L432">
            <v>20</v>
          </cell>
          <cell r="M432" t="str">
            <v>6/7/2024 11:44:04 AM</v>
          </cell>
          <cell r="N432" t="str">
            <v>25</v>
          </cell>
          <cell r="O432">
            <v>20</v>
          </cell>
          <cell r="P432">
            <v>5.7</v>
          </cell>
        </row>
        <row r="433">
          <cell r="A433" t="str">
            <v>6726175</v>
          </cell>
          <cell r="B433" t="str">
            <v>1099494</v>
          </cell>
          <cell r="C433" t="str">
            <v>306-1-13</v>
          </cell>
          <cell r="D433" t="str">
            <v>306</v>
          </cell>
          <cell r="E433" t="str">
            <v>306 STRMLGT STINGER STX TAC BLK</v>
          </cell>
          <cell r="F433" t="str">
            <v>DG-POUCH-F1</v>
          </cell>
          <cell r="G433" t="str">
            <v>1420-210-FG</v>
          </cell>
          <cell r="H433" t="str">
            <v>R</v>
          </cell>
          <cell r="I433" t="str">
            <v>06/07/2024</v>
          </cell>
          <cell r="J433" t="str">
            <v>06/07/2024</v>
          </cell>
          <cell r="K433" t="str">
            <v>06/17/2024</v>
          </cell>
          <cell r="L433">
            <v>33</v>
          </cell>
          <cell r="M433" t="str">
            <v>6/7/2024 11:41:41 AM</v>
          </cell>
          <cell r="N433" t="str">
            <v>25</v>
          </cell>
          <cell r="O433">
            <v>33</v>
          </cell>
          <cell r="P433">
            <v>15.02</v>
          </cell>
        </row>
        <row r="434">
          <cell r="A434" t="str">
            <v>6726669</v>
          </cell>
          <cell r="B434" t="str">
            <v>1201161</v>
          </cell>
          <cell r="C434" t="str">
            <v>4333-2-4</v>
          </cell>
          <cell r="D434" t="str">
            <v>4333</v>
          </cell>
          <cell r="E434" t="str">
            <v>4333 SZ2 PLN BLK</v>
          </cell>
          <cell r="F434" t="str">
            <v>BN-BELT</v>
          </cell>
          <cell r="G434" t="str">
            <v>1420-210-FG</v>
          </cell>
          <cell r="H434" t="str">
            <v>R</v>
          </cell>
          <cell r="I434" t="str">
            <v>06/10/2024</v>
          </cell>
          <cell r="J434" t="str">
            <v>06/10/2024</v>
          </cell>
          <cell r="K434" t="str">
            <v>06/17/2024</v>
          </cell>
          <cell r="L434">
            <v>5</v>
          </cell>
          <cell r="M434" t="str">
            <v>6/11/2024 2:36:12 PM</v>
          </cell>
          <cell r="N434" t="str">
            <v>25</v>
          </cell>
          <cell r="O434">
            <v>5</v>
          </cell>
          <cell r="P434">
            <v>3.73</v>
          </cell>
        </row>
        <row r="435">
          <cell r="A435" t="str">
            <v>6724898</v>
          </cell>
          <cell r="B435" t="str">
            <v>1185612</v>
          </cell>
          <cell r="C435" t="str">
            <v>5198-73-131</v>
          </cell>
          <cell r="D435" t="str">
            <v>5198</v>
          </cell>
          <cell r="E435" t="str">
            <v>5198 BERETTA 92FS STX TAC BLK RH</v>
          </cell>
          <cell r="F435" t="str">
            <v>DG-HOLSTER-SEW-DTC</v>
          </cell>
          <cell r="G435" t="str">
            <v>1420-210-FG</v>
          </cell>
          <cell r="H435" t="str">
            <v>R</v>
          </cell>
          <cell r="I435" t="str">
            <v>06/04/2024</v>
          </cell>
          <cell r="J435" t="str">
            <v>06/07/2024</v>
          </cell>
          <cell r="K435" t="str">
            <v>06/17/2024</v>
          </cell>
          <cell r="L435">
            <v>5</v>
          </cell>
          <cell r="M435" t="str">
            <v>6/6/2024 8:59:08 AM</v>
          </cell>
          <cell r="N435" t="str">
            <v>25</v>
          </cell>
          <cell r="O435">
            <v>5</v>
          </cell>
          <cell r="P435">
            <v>0.76</v>
          </cell>
        </row>
        <row r="436">
          <cell r="A436" t="str">
            <v>6723931</v>
          </cell>
          <cell r="B436" t="str">
            <v>1317104</v>
          </cell>
          <cell r="C436" t="str">
            <v>5198-590-411</v>
          </cell>
          <cell r="D436" t="str">
            <v>5198</v>
          </cell>
          <cell r="E436" t="str">
            <v>5198 CZ SHADOW 2 STX PLN BLK RH</v>
          </cell>
          <cell r="F436" t="str">
            <v>DG-HOLSTER-SEW-DTC</v>
          </cell>
          <cell r="G436" t="str">
            <v>1420-210-FG</v>
          </cell>
          <cell r="H436" t="str">
            <v>R</v>
          </cell>
          <cell r="I436" t="str">
            <v>06/03/2024</v>
          </cell>
          <cell r="J436" t="str">
            <v>06/03/2024</v>
          </cell>
          <cell r="K436" t="str">
            <v>06/17/2024</v>
          </cell>
          <cell r="L436">
            <v>5</v>
          </cell>
          <cell r="M436" t="str">
            <v>6/6/2024 9:47:12 AM</v>
          </cell>
          <cell r="N436" t="str">
            <v>25</v>
          </cell>
          <cell r="O436">
            <v>5</v>
          </cell>
          <cell r="P436">
            <v>0.76</v>
          </cell>
        </row>
        <row r="437">
          <cell r="A437" t="str">
            <v>6724401</v>
          </cell>
          <cell r="B437" t="str">
            <v>1150850</v>
          </cell>
          <cell r="C437" t="str">
            <v>5198-283-411</v>
          </cell>
          <cell r="D437" t="str">
            <v>5198</v>
          </cell>
          <cell r="E437" t="str">
            <v>5198 GLOCK 19/23 STX PLN BLK RH</v>
          </cell>
          <cell r="F437" t="str">
            <v>DG-HOLSTER-SEW-DTC</v>
          </cell>
          <cell r="G437" t="str">
            <v>1420-210-FG</v>
          </cell>
          <cell r="H437" t="str">
            <v>R</v>
          </cell>
          <cell r="I437" t="str">
            <v>06/04/2024</v>
          </cell>
          <cell r="J437" t="str">
            <v>06/04/2024</v>
          </cell>
          <cell r="K437" t="str">
            <v>06/17/2024</v>
          </cell>
          <cell r="L437">
            <v>100</v>
          </cell>
          <cell r="M437" t="str">
            <v>6/6/2024 9:47:12 AM</v>
          </cell>
          <cell r="N437" t="str">
            <v>25</v>
          </cell>
          <cell r="O437">
            <v>100</v>
          </cell>
          <cell r="P437">
            <v>31.46</v>
          </cell>
        </row>
        <row r="438">
          <cell r="A438" t="str">
            <v>6723926</v>
          </cell>
          <cell r="B438" t="str">
            <v>1150078</v>
          </cell>
          <cell r="C438" t="str">
            <v>5198-383-411</v>
          </cell>
          <cell r="D438" t="str">
            <v>5198</v>
          </cell>
          <cell r="E438" t="str">
            <v>5198 GLOCK 20/21 STX PLN BLK RH</v>
          </cell>
          <cell r="F438" t="str">
            <v>DG-HOLSTER-SEW-DTC</v>
          </cell>
          <cell r="G438" t="str">
            <v>1420-210-FG</v>
          </cell>
          <cell r="H438" t="str">
            <v>R</v>
          </cell>
          <cell r="I438" t="str">
            <v>06/03/2024</v>
          </cell>
          <cell r="J438" t="str">
            <v>06/03/2024</v>
          </cell>
          <cell r="K438" t="str">
            <v>06/17/2024</v>
          </cell>
          <cell r="L438">
            <v>5</v>
          </cell>
          <cell r="M438" t="str">
            <v>6/6/2024 9:47:12 AM</v>
          </cell>
          <cell r="N438" t="str">
            <v>25</v>
          </cell>
          <cell r="O438">
            <v>5</v>
          </cell>
          <cell r="P438">
            <v>1.4</v>
          </cell>
        </row>
        <row r="439">
          <cell r="A439" t="str">
            <v>6723929</v>
          </cell>
          <cell r="B439" t="str">
            <v>1200734</v>
          </cell>
          <cell r="C439" t="str">
            <v>5198-593-411</v>
          </cell>
          <cell r="D439" t="str">
            <v>5198</v>
          </cell>
          <cell r="E439" t="str">
            <v>5198 H&amp;K VP9 STX PLN BLK RH</v>
          </cell>
          <cell r="F439" t="str">
            <v>DG-HOLSTER-SEW-DTC</v>
          </cell>
          <cell r="G439" t="str">
            <v>1420-210-FG</v>
          </cell>
          <cell r="H439" t="str">
            <v>R</v>
          </cell>
          <cell r="I439" t="str">
            <v>06/03/2024</v>
          </cell>
          <cell r="J439" t="str">
            <v>06/03/2024</v>
          </cell>
          <cell r="K439" t="str">
            <v>06/17/2024</v>
          </cell>
          <cell r="L439">
            <v>5</v>
          </cell>
          <cell r="M439" t="str">
            <v>6/6/2024 9:47:12 AM</v>
          </cell>
          <cell r="N439" t="str">
            <v>25</v>
          </cell>
          <cell r="O439">
            <v>5</v>
          </cell>
          <cell r="P439">
            <v>0.76</v>
          </cell>
        </row>
        <row r="440">
          <cell r="A440" t="str">
            <v>6724897</v>
          </cell>
          <cell r="B440" t="str">
            <v>1185046</v>
          </cell>
          <cell r="C440" t="str">
            <v>537-391-61</v>
          </cell>
          <cell r="D440" t="str">
            <v>537</v>
          </cell>
          <cell r="E440" t="str">
            <v>537 H&amp;K P10 PLN BLK RH</v>
          </cell>
          <cell r="F440" t="str">
            <v>DG-HOLSTER-SEW-DTC</v>
          </cell>
          <cell r="G440" t="str">
            <v>1420-210-FG</v>
          </cell>
          <cell r="H440" t="str">
            <v>R</v>
          </cell>
          <cell r="I440" t="str">
            <v>06/04/2024</v>
          </cell>
          <cell r="J440" t="str">
            <v>06/07/2024</v>
          </cell>
          <cell r="K440" t="str">
            <v>06/17/2024</v>
          </cell>
          <cell r="L440">
            <v>5</v>
          </cell>
          <cell r="M440" t="str">
            <v>6/6/2024 8:57:36 AM</v>
          </cell>
          <cell r="N440" t="str">
            <v>25</v>
          </cell>
          <cell r="O440">
            <v>5</v>
          </cell>
          <cell r="P440">
            <v>2.0499999999999998</v>
          </cell>
        </row>
        <row r="441">
          <cell r="A441" t="str">
            <v>6727265</v>
          </cell>
          <cell r="B441" t="str">
            <v>1116161</v>
          </cell>
          <cell r="C441" t="str">
            <v>573-76-131</v>
          </cell>
          <cell r="D441" t="str">
            <v>573</v>
          </cell>
          <cell r="E441" t="str">
            <v>573 BERETTA 92FS STX TAC BLK RH</v>
          </cell>
          <cell r="F441" t="str">
            <v>DG-POUCH-F2-F3</v>
          </cell>
          <cell r="G441" t="str">
            <v>1420-210-FG</v>
          </cell>
          <cell r="H441" t="str">
            <v>R</v>
          </cell>
          <cell r="I441" t="str">
            <v>06/10/2024</v>
          </cell>
          <cell r="J441" t="str">
            <v>06/10/2024</v>
          </cell>
          <cell r="K441" t="str">
            <v>06/17/2024</v>
          </cell>
          <cell r="L441">
            <v>10</v>
          </cell>
          <cell r="M441" t="str">
            <v>6/12/2024 11:32:04 AM</v>
          </cell>
          <cell r="N441" t="str">
            <v>25</v>
          </cell>
          <cell r="O441">
            <v>10</v>
          </cell>
          <cell r="P441">
            <v>4.21</v>
          </cell>
        </row>
        <row r="442">
          <cell r="A442" t="str">
            <v>6727268</v>
          </cell>
          <cell r="B442" t="str">
            <v>1130724</v>
          </cell>
          <cell r="C442" t="str">
            <v>573-83-481</v>
          </cell>
          <cell r="D442" t="str">
            <v>573</v>
          </cell>
          <cell r="E442" t="str">
            <v>573 GLOCK 17/22 STX BSK BLK RH</v>
          </cell>
          <cell r="F442" t="str">
            <v>DG-POUCH-F2-F3</v>
          </cell>
          <cell r="G442" t="str">
            <v>1420-210-FG</v>
          </cell>
          <cell r="H442" t="str">
            <v>R</v>
          </cell>
          <cell r="I442" t="str">
            <v>06/10/2024</v>
          </cell>
          <cell r="J442" t="str">
            <v>06/10/2024</v>
          </cell>
          <cell r="K442" t="str">
            <v>06/17/2024</v>
          </cell>
          <cell r="L442">
            <v>15</v>
          </cell>
          <cell r="M442" t="str">
            <v>6/11/2024 3:31:22 PM</v>
          </cell>
          <cell r="N442" t="str">
            <v>25</v>
          </cell>
          <cell r="O442">
            <v>15</v>
          </cell>
          <cell r="P442">
            <v>6.33</v>
          </cell>
        </row>
        <row r="443">
          <cell r="A443" t="str">
            <v>6727264</v>
          </cell>
          <cell r="B443" t="str">
            <v>1100322</v>
          </cell>
          <cell r="C443" t="str">
            <v>573-383-21</v>
          </cell>
          <cell r="D443" t="str">
            <v>573</v>
          </cell>
          <cell r="E443" t="str">
            <v>573 GLOCK 20/21 PLN BLK RH</v>
          </cell>
          <cell r="F443" t="str">
            <v>DG-POUCH-F2-F3</v>
          </cell>
          <cell r="G443" t="str">
            <v>1420-210-FG</v>
          </cell>
          <cell r="H443" t="str">
            <v>R</v>
          </cell>
          <cell r="I443" t="str">
            <v>06/10/2024</v>
          </cell>
          <cell r="J443" t="str">
            <v>06/10/2024</v>
          </cell>
          <cell r="K443" t="str">
            <v>06/17/2024</v>
          </cell>
          <cell r="L443">
            <v>5</v>
          </cell>
          <cell r="M443" t="str">
            <v>6/12/2024 11:32:04 AM</v>
          </cell>
          <cell r="N443" t="str">
            <v>25</v>
          </cell>
          <cell r="O443">
            <v>5</v>
          </cell>
          <cell r="P443">
            <v>2.11</v>
          </cell>
        </row>
        <row r="444">
          <cell r="A444" t="str">
            <v>6726048</v>
          </cell>
          <cell r="B444" t="str">
            <v>1120594</v>
          </cell>
          <cell r="C444" t="str">
            <v>6004-25-2</v>
          </cell>
          <cell r="D444" t="str">
            <v>6004</v>
          </cell>
          <cell r="E444" t="str">
            <v>6004 SNG LEG STRP W/DFA BLK</v>
          </cell>
          <cell r="F444" t="str">
            <v>DG-HARNESS-DTC</v>
          </cell>
          <cell r="G444" t="str">
            <v>1420-210-FG</v>
          </cell>
          <cell r="H444" t="str">
            <v>F</v>
          </cell>
          <cell r="I444" t="str">
            <v>06/07/2024</v>
          </cell>
          <cell r="J444" t="str">
            <v>06/07/2024</v>
          </cell>
          <cell r="K444" t="str">
            <v>06/17/2024</v>
          </cell>
          <cell r="L444">
            <v>100</v>
          </cell>
          <cell r="M444" t="str">
            <v/>
          </cell>
          <cell r="N444" t="str">
            <v>25</v>
          </cell>
          <cell r="O444">
            <v>100</v>
          </cell>
          <cell r="P444">
            <v>10</v>
          </cell>
        </row>
        <row r="445">
          <cell r="A445" t="str">
            <v>6726798</v>
          </cell>
          <cell r="B445" t="str">
            <v>1164030</v>
          </cell>
          <cell r="C445" t="str">
            <v>6004-25-76</v>
          </cell>
          <cell r="D445" t="str">
            <v>6004</v>
          </cell>
          <cell r="E445" t="str">
            <v>6004 SNG LEG STRP W/DFA CYB</v>
          </cell>
          <cell r="F445" t="str">
            <v>DG-HARNESS-DTC</v>
          </cell>
          <cell r="G445" t="str">
            <v>1420-210-FG</v>
          </cell>
          <cell r="H445" t="str">
            <v>F</v>
          </cell>
          <cell r="I445" t="str">
            <v>06/10/2024</v>
          </cell>
          <cell r="J445" t="str">
            <v>06/10/2024</v>
          </cell>
          <cell r="K445" t="str">
            <v>06/17/2024</v>
          </cell>
          <cell r="L445">
            <v>22</v>
          </cell>
          <cell r="M445" t="str">
            <v/>
          </cell>
          <cell r="N445" t="str">
            <v>25</v>
          </cell>
          <cell r="O445">
            <v>22</v>
          </cell>
          <cell r="P445">
            <v>1.54</v>
          </cell>
        </row>
        <row r="446">
          <cell r="A446" t="str">
            <v>6723294</v>
          </cell>
          <cell r="B446" t="str">
            <v>1134058</v>
          </cell>
          <cell r="C446" t="str">
            <v>6004-25-55</v>
          </cell>
          <cell r="D446" t="str">
            <v>6004</v>
          </cell>
          <cell r="E446" t="str">
            <v>6004 SNG LEG STRP W/DFA FDE</v>
          </cell>
          <cell r="F446" t="str">
            <v>DG-HARNESS-DTC</v>
          </cell>
          <cell r="G446" t="str">
            <v>1420-210-FG</v>
          </cell>
          <cell r="H446" t="str">
            <v>R</v>
          </cell>
          <cell r="I446" t="str">
            <v>06/03/2024</v>
          </cell>
          <cell r="J446" t="str">
            <v>06/03/2024</v>
          </cell>
          <cell r="K446" t="str">
            <v>06/17/2024</v>
          </cell>
          <cell r="L446">
            <v>15</v>
          </cell>
          <cell r="M446" t="str">
            <v>6/13/2024 8:15:32 AM</v>
          </cell>
          <cell r="N446" t="str">
            <v>25</v>
          </cell>
          <cell r="O446">
            <v>15</v>
          </cell>
          <cell r="P446">
            <v>1.05</v>
          </cell>
        </row>
        <row r="447">
          <cell r="A447" t="str">
            <v>6726051</v>
          </cell>
          <cell r="B447" t="str">
            <v>1134058</v>
          </cell>
          <cell r="C447" t="str">
            <v>6004-25-55</v>
          </cell>
          <cell r="D447" t="str">
            <v>6004</v>
          </cell>
          <cell r="E447" t="str">
            <v>6004 SNG LEG STRP W/DFA FDE</v>
          </cell>
          <cell r="F447" t="str">
            <v>DG-HARNESS-DTC</v>
          </cell>
          <cell r="G447" t="str">
            <v>1420-210-FG</v>
          </cell>
          <cell r="H447" t="str">
            <v>F</v>
          </cell>
          <cell r="I447" t="str">
            <v>06/07/2024</v>
          </cell>
          <cell r="J447" t="str">
            <v>06/07/2024</v>
          </cell>
          <cell r="K447" t="str">
            <v>06/17/2024</v>
          </cell>
          <cell r="L447">
            <v>15</v>
          </cell>
          <cell r="M447" t="str">
            <v/>
          </cell>
          <cell r="N447" t="str">
            <v>25</v>
          </cell>
          <cell r="O447">
            <v>15</v>
          </cell>
          <cell r="P447">
            <v>1.05</v>
          </cell>
        </row>
        <row r="448">
          <cell r="A448" t="str">
            <v>6724312</v>
          </cell>
          <cell r="B448" t="str">
            <v>1101683</v>
          </cell>
          <cell r="C448" t="str">
            <v>6280-83-131-S</v>
          </cell>
          <cell r="D448" t="str">
            <v>6280</v>
          </cell>
          <cell r="E448" t="str">
            <v>6280 GLOCK 17/22 STX TAC BLK RH</v>
          </cell>
          <cell r="F448" t="str">
            <v>DG-HOLSTER-DTC</v>
          </cell>
          <cell r="G448" t="str">
            <v>1420-210-FG</v>
          </cell>
          <cell r="H448" t="str">
            <v>R</v>
          </cell>
          <cell r="I448" t="str">
            <v>06/04/2024</v>
          </cell>
          <cell r="J448" t="str">
            <v>06/04/2024</v>
          </cell>
          <cell r="K448" t="str">
            <v>06/17/2024</v>
          </cell>
          <cell r="L448">
            <v>5</v>
          </cell>
          <cell r="M448" t="str">
            <v>6/6/2024 8:59:08 AM</v>
          </cell>
          <cell r="N448" t="str">
            <v>25</v>
          </cell>
          <cell r="O448">
            <v>5</v>
          </cell>
          <cell r="P448">
            <v>1.17</v>
          </cell>
        </row>
        <row r="449">
          <cell r="A449" t="str">
            <v>6724647</v>
          </cell>
          <cell r="B449" t="str">
            <v>1101746</v>
          </cell>
          <cell r="C449" t="str">
            <v>6280-832-81</v>
          </cell>
          <cell r="D449" t="str">
            <v>6280</v>
          </cell>
          <cell r="E449" t="str">
            <v>6280 GLOCK 17/22 X300 BSK BLK RH</v>
          </cell>
          <cell r="F449" t="str">
            <v>DG-HOLSTER-DTC</v>
          </cell>
          <cell r="G449" t="str">
            <v>1420-210-FG</v>
          </cell>
          <cell r="H449" t="str">
            <v>R</v>
          </cell>
          <cell r="I449" t="str">
            <v>06/04/2024</v>
          </cell>
          <cell r="J449" t="str">
            <v>06/07/2024</v>
          </cell>
          <cell r="K449" t="str">
            <v>06/17/2024</v>
          </cell>
          <cell r="L449">
            <v>5</v>
          </cell>
          <cell r="M449" t="str">
            <v>6/6/2024 8:59:08 AM</v>
          </cell>
          <cell r="N449" t="str">
            <v>25</v>
          </cell>
          <cell r="O449">
            <v>5</v>
          </cell>
          <cell r="P449">
            <v>3.61</v>
          </cell>
        </row>
        <row r="450">
          <cell r="A450" t="str">
            <v>6726056</v>
          </cell>
          <cell r="B450" t="str">
            <v>1101252</v>
          </cell>
          <cell r="C450" t="str">
            <v>6280-683-61</v>
          </cell>
          <cell r="D450" t="str">
            <v>6280</v>
          </cell>
          <cell r="E450" t="str">
            <v>6280 GLOCK 34/35 PLN BLK RH</v>
          </cell>
          <cell r="F450" t="str">
            <v>DG-HOLSTER</v>
          </cell>
          <cell r="G450" t="str">
            <v>1420-210-FG</v>
          </cell>
          <cell r="H450" t="str">
            <v>R</v>
          </cell>
          <cell r="I450" t="str">
            <v>06/07/2024</v>
          </cell>
          <cell r="J450" t="str">
            <v>06/07/2024</v>
          </cell>
          <cell r="K450" t="str">
            <v>06/17/2024</v>
          </cell>
          <cell r="L450">
            <v>1</v>
          </cell>
          <cell r="M450" t="str">
            <v>6/10/2024 12:49:45 PM</v>
          </cell>
          <cell r="N450" t="str">
            <v>25</v>
          </cell>
          <cell r="O450">
            <v>1</v>
          </cell>
          <cell r="P450">
            <v>0.32</v>
          </cell>
        </row>
        <row r="451">
          <cell r="A451" t="str">
            <v>6726887</v>
          </cell>
          <cell r="B451" t="str">
            <v>1323464</v>
          </cell>
          <cell r="C451" t="str">
            <v>6304-151-131-SP10</v>
          </cell>
          <cell r="D451" t="str">
            <v>6304</v>
          </cell>
          <cell r="E451" t="str">
            <v>6304 CANIK TP9 SFx STX TAC BLK RH</v>
          </cell>
          <cell r="F451" t="str">
            <v>DG-HOLSTER</v>
          </cell>
          <cell r="G451" t="str">
            <v>1420-210-FG</v>
          </cell>
          <cell r="H451" t="str">
            <v>F</v>
          </cell>
          <cell r="I451" t="str">
            <v>06/10/2024</v>
          </cell>
          <cell r="J451" t="str">
            <v>06/10/2024</v>
          </cell>
          <cell r="K451" t="str">
            <v>06/17/2024</v>
          </cell>
          <cell r="L451">
            <v>5</v>
          </cell>
          <cell r="M451" t="str">
            <v/>
          </cell>
          <cell r="N451" t="str">
            <v>25</v>
          </cell>
          <cell r="O451">
            <v>5</v>
          </cell>
          <cell r="P451">
            <v>1.0900000000000001</v>
          </cell>
        </row>
        <row r="452">
          <cell r="A452" t="str">
            <v>6724728</v>
          </cell>
          <cell r="B452" t="str">
            <v>1151038</v>
          </cell>
          <cell r="C452" t="str">
            <v>6304-832-411</v>
          </cell>
          <cell r="D452" t="str">
            <v>6304</v>
          </cell>
          <cell r="E452" t="str">
            <v>6304 GLOCK 17/22 X300U STX PLN BLK RH</v>
          </cell>
          <cell r="F452" t="str">
            <v>DG-HOLSTER-H-DTC</v>
          </cell>
          <cell r="G452" t="str">
            <v>1420-210-FG</v>
          </cell>
          <cell r="H452" t="str">
            <v>R</v>
          </cell>
          <cell r="I452" t="str">
            <v>06/04/2024</v>
          </cell>
          <cell r="J452" t="str">
            <v>06/10/2024</v>
          </cell>
          <cell r="K452" t="str">
            <v>06/17/2024</v>
          </cell>
          <cell r="L452">
            <v>5</v>
          </cell>
          <cell r="M452" t="str">
            <v>6/6/2024 9:47:12 AM</v>
          </cell>
          <cell r="N452" t="str">
            <v>25</v>
          </cell>
          <cell r="O452">
            <v>5</v>
          </cell>
          <cell r="P452">
            <v>1.63</v>
          </cell>
        </row>
        <row r="453">
          <cell r="A453" t="str">
            <v>6724332</v>
          </cell>
          <cell r="B453" t="str">
            <v>1126540</v>
          </cell>
          <cell r="C453" t="str">
            <v>6304-832-561</v>
          </cell>
          <cell r="D453" t="str">
            <v>6304</v>
          </cell>
          <cell r="E453" t="str">
            <v>6304 GLOCK 17/22 X300U STX TAC ODG RH</v>
          </cell>
          <cell r="F453" t="str">
            <v>DG-HOLSTER-H-DTC</v>
          </cell>
          <cell r="G453" t="str">
            <v>1420-210-FG</v>
          </cell>
          <cell r="H453" t="str">
            <v>R</v>
          </cell>
          <cell r="I453" t="str">
            <v>06/04/2024</v>
          </cell>
          <cell r="J453" t="str">
            <v>06/04/2024</v>
          </cell>
          <cell r="K453" t="str">
            <v>06/17/2024</v>
          </cell>
          <cell r="L453">
            <v>5</v>
          </cell>
          <cell r="M453" t="str">
            <v>6/6/2024 9:50:42 AM</v>
          </cell>
          <cell r="N453" t="str">
            <v>25</v>
          </cell>
          <cell r="O453">
            <v>5</v>
          </cell>
          <cell r="P453">
            <v>1.63</v>
          </cell>
        </row>
        <row r="454">
          <cell r="A454" t="str">
            <v>6726946</v>
          </cell>
          <cell r="B454" t="str">
            <v>1121583</v>
          </cell>
          <cell r="C454" t="str">
            <v>6304-383-131</v>
          </cell>
          <cell r="D454" t="str">
            <v>6304</v>
          </cell>
          <cell r="E454" t="str">
            <v>6304 GLOCK 20/21 STX TAC BLK RH</v>
          </cell>
          <cell r="F454" t="str">
            <v>DG-HOLSTER-H</v>
          </cell>
          <cell r="G454" t="str">
            <v>1420-210-FG</v>
          </cell>
          <cell r="H454" t="str">
            <v>F</v>
          </cell>
          <cell r="I454" t="str">
            <v>06/10/2024</v>
          </cell>
          <cell r="J454" t="str">
            <v>06/10/2024</v>
          </cell>
          <cell r="K454" t="str">
            <v>06/17/2024</v>
          </cell>
          <cell r="L454">
            <v>5</v>
          </cell>
          <cell r="M454" t="str">
            <v/>
          </cell>
          <cell r="N454" t="str">
            <v>25</v>
          </cell>
          <cell r="O454">
            <v>5</v>
          </cell>
          <cell r="P454">
            <v>1.18</v>
          </cell>
        </row>
        <row r="455">
          <cell r="A455" t="str">
            <v>6727078</v>
          </cell>
          <cell r="B455" t="str">
            <v>1330169</v>
          </cell>
          <cell r="C455" t="str">
            <v>6304RDS-2712-711-MS19</v>
          </cell>
          <cell r="D455" t="str">
            <v>6304RDS</v>
          </cell>
          <cell r="E455" t="str">
            <v>6304RDS FN509T 4.5IN X300U MLTCM BLK RH</v>
          </cell>
          <cell r="F455" t="str">
            <v>DG-HOLSTER-RDS</v>
          </cell>
          <cell r="G455" t="str">
            <v>1420-210-FG</v>
          </cell>
          <cell r="H455" t="str">
            <v>F</v>
          </cell>
          <cell r="I455" t="str">
            <v>06/10/2024</v>
          </cell>
          <cell r="J455" t="str">
            <v>06/10/2024</v>
          </cell>
          <cell r="K455" t="str">
            <v>06/17/2024</v>
          </cell>
          <cell r="L455">
            <v>5</v>
          </cell>
          <cell r="M455" t="str">
            <v/>
          </cell>
          <cell r="N455" t="str">
            <v>25</v>
          </cell>
          <cell r="O455">
            <v>5</v>
          </cell>
          <cell r="P455">
            <v>2</v>
          </cell>
        </row>
        <row r="456">
          <cell r="A456" t="str">
            <v>6727230</v>
          </cell>
          <cell r="B456" t="str">
            <v>1335292</v>
          </cell>
          <cell r="C456" t="str">
            <v>6304RDS-832-E991-MS19</v>
          </cell>
          <cell r="D456" t="str">
            <v>6304RDS</v>
          </cell>
          <cell r="E456" t="str">
            <v>6304RDS GLK 17MOS X300U CR KTK HLD RH</v>
          </cell>
          <cell r="F456" t="str">
            <v>DG-HOLSTER-RDS-DTC</v>
          </cell>
          <cell r="G456" t="str">
            <v>1420-210-FG</v>
          </cell>
          <cell r="H456" t="str">
            <v>F</v>
          </cell>
          <cell r="I456" t="str">
            <v>06/10/2024</v>
          </cell>
          <cell r="J456" t="str">
            <v>06/10/2024</v>
          </cell>
          <cell r="K456" t="str">
            <v>06/17/2024</v>
          </cell>
          <cell r="L456">
            <v>10</v>
          </cell>
          <cell r="M456" t="str">
            <v/>
          </cell>
          <cell r="N456" t="str">
            <v>25</v>
          </cell>
          <cell r="O456">
            <v>10</v>
          </cell>
          <cell r="P456">
            <v>4.33</v>
          </cell>
        </row>
        <row r="457">
          <cell r="A457" t="str">
            <v>6727247</v>
          </cell>
          <cell r="B457" t="str">
            <v>1335866</v>
          </cell>
          <cell r="C457" t="str">
            <v>6304RDS-2832-801-MS19</v>
          </cell>
          <cell r="D457" t="str">
            <v>6304RDS</v>
          </cell>
          <cell r="E457" t="str">
            <v>6304RDS GLK 19MOS X300U COR MTCM ALPN RH</v>
          </cell>
          <cell r="F457" t="str">
            <v>DG-HOLSTER-RDS-DTC</v>
          </cell>
          <cell r="G457" t="str">
            <v>1420-210-FG</v>
          </cell>
          <cell r="H457" t="str">
            <v>F</v>
          </cell>
          <cell r="I457" t="str">
            <v>06/10/2024</v>
          </cell>
          <cell r="J457" t="str">
            <v>06/10/2024</v>
          </cell>
          <cell r="K457" t="str">
            <v>06/17/2024</v>
          </cell>
          <cell r="L457">
            <v>1</v>
          </cell>
          <cell r="M457" t="str">
            <v/>
          </cell>
          <cell r="N457" t="str">
            <v>25</v>
          </cell>
          <cell r="O457">
            <v>1</v>
          </cell>
          <cell r="P457">
            <v>0.43</v>
          </cell>
        </row>
        <row r="458">
          <cell r="A458" t="str">
            <v>6727231</v>
          </cell>
          <cell r="B458" t="str">
            <v>1335294</v>
          </cell>
          <cell r="C458" t="str">
            <v>6304RDS-2832-E991-MS19</v>
          </cell>
          <cell r="D458" t="str">
            <v>6304RDS</v>
          </cell>
          <cell r="E458" t="str">
            <v>6304RDS GLK 19MOS X300U CR KTK HLD RH</v>
          </cell>
          <cell r="F458" t="str">
            <v>DG-HOLSTER-RDS-DTC</v>
          </cell>
          <cell r="G458" t="str">
            <v>1420-210-FG</v>
          </cell>
          <cell r="H458" t="str">
            <v>F</v>
          </cell>
          <cell r="I458" t="str">
            <v>06/10/2024</v>
          </cell>
          <cell r="J458" t="str">
            <v>06/10/2024</v>
          </cell>
          <cell r="K458" t="str">
            <v>06/17/2024</v>
          </cell>
          <cell r="L458">
            <v>15</v>
          </cell>
          <cell r="M458" t="str">
            <v/>
          </cell>
          <cell r="N458" t="str">
            <v>25</v>
          </cell>
          <cell r="O458">
            <v>15</v>
          </cell>
          <cell r="P458">
            <v>6.5</v>
          </cell>
        </row>
        <row r="459">
          <cell r="A459" t="str">
            <v>6727137</v>
          </cell>
          <cell r="B459" t="str">
            <v>1332481</v>
          </cell>
          <cell r="C459" t="str">
            <v>6304RDS-832-791-MS19</v>
          </cell>
          <cell r="D459" t="str">
            <v>6304RDS</v>
          </cell>
          <cell r="E459" t="str">
            <v>6304RDS GLOCK 17MOS X300U COR TP MCAM RH</v>
          </cell>
          <cell r="F459" t="str">
            <v>DG-HOLSTER-RDS-DTC</v>
          </cell>
          <cell r="G459" t="str">
            <v>1420-210-FG</v>
          </cell>
          <cell r="H459" t="str">
            <v>F</v>
          </cell>
          <cell r="I459" t="str">
            <v>06/10/2024</v>
          </cell>
          <cell r="J459" t="str">
            <v>06/10/2024</v>
          </cell>
          <cell r="K459" t="str">
            <v>06/17/2024</v>
          </cell>
          <cell r="L459">
            <v>30</v>
          </cell>
          <cell r="M459" t="str">
            <v/>
          </cell>
          <cell r="N459" t="str">
            <v>25</v>
          </cell>
          <cell r="O459">
            <v>30</v>
          </cell>
          <cell r="P459">
            <v>12.99</v>
          </cell>
        </row>
        <row r="460">
          <cell r="A460" t="str">
            <v>6723858</v>
          </cell>
          <cell r="B460" t="str">
            <v>1330155</v>
          </cell>
          <cell r="C460" t="str">
            <v>6304RDS-832-711-MS19</v>
          </cell>
          <cell r="D460" t="str">
            <v>6304RDS</v>
          </cell>
          <cell r="E460" t="str">
            <v>6304RDS GLOCK  17MOS X300U COR BKMCAM RH</v>
          </cell>
          <cell r="F460" t="str">
            <v>DG-HOLSTER-RDS-DTC</v>
          </cell>
          <cell r="G460" t="str">
            <v>1420-210-FG</v>
          </cell>
          <cell r="H460" t="str">
            <v>F</v>
          </cell>
          <cell r="I460" t="str">
            <v>06/03/2024</v>
          </cell>
          <cell r="J460" t="str">
            <v>06/03/2024</v>
          </cell>
          <cell r="K460" t="str">
            <v>06/17/2024</v>
          </cell>
          <cell r="L460">
            <v>5</v>
          </cell>
          <cell r="M460" t="str">
            <v/>
          </cell>
          <cell r="N460" t="str">
            <v>25</v>
          </cell>
          <cell r="O460">
            <v>5</v>
          </cell>
          <cell r="P460">
            <v>2.17</v>
          </cell>
        </row>
        <row r="461">
          <cell r="A461" t="str">
            <v>6727081</v>
          </cell>
          <cell r="B461" t="str">
            <v>1332342</v>
          </cell>
          <cell r="C461" t="str">
            <v>6304RDS-8182-711-MS19</v>
          </cell>
          <cell r="D461" t="str">
            <v>6304RDS</v>
          </cell>
          <cell r="E461" t="str">
            <v>6304RDS MP 2.0 9MM X300U CR MLTCM BLKRH</v>
          </cell>
          <cell r="F461" t="str">
            <v>DG-HOLSTER-RDS</v>
          </cell>
          <cell r="G461" t="str">
            <v>1420-210-FG</v>
          </cell>
          <cell r="H461" t="str">
            <v>F</v>
          </cell>
          <cell r="I461" t="str">
            <v>06/10/2024</v>
          </cell>
          <cell r="J461" t="str">
            <v>06/10/2024</v>
          </cell>
          <cell r="K461" t="str">
            <v>06/17/2024</v>
          </cell>
          <cell r="L461">
            <v>5</v>
          </cell>
          <cell r="M461" t="str">
            <v/>
          </cell>
          <cell r="N461" t="str">
            <v>25</v>
          </cell>
          <cell r="O461">
            <v>5</v>
          </cell>
          <cell r="P461">
            <v>1.68</v>
          </cell>
        </row>
        <row r="462">
          <cell r="A462" t="str">
            <v>6727087</v>
          </cell>
          <cell r="B462" t="str">
            <v>1332598</v>
          </cell>
          <cell r="C462" t="str">
            <v>6304RDS-8182-791-MS19</v>
          </cell>
          <cell r="D462" t="str">
            <v>6304RDS</v>
          </cell>
          <cell r="E462" t="str">
            <v>6304RDS MP 2.0 9MM X300U TRPC MLTCM RH</v>
          </cell>
          <cell r="F462" t="str">
            <v>DG-HOLSTER-RDS</v>
          </cell>
          <cell r="G462" t="str">
            <v>1420-210-FG</v>
          </cell>
          <cell r="H462" t="str">
            <v>F</v>
          </cell>
          <cell r="I462" t="str">
            <v>06/10/2024</v>
          </cell>
          <cell r="J462" t="str">
            <v>06/10/2024</v>
          </cell>
          <cell r="K462" t="str">
            <v>06/17/2024</v>
          </cell>
          <cell r="L462">
            <v>5</v>
          </cell>
          <cell r="M462" t="str">
            <v/>
          </cell>
          <cell r="N462" t="str">
            <v>25</v>
          </cell>
          <cell r="O462">
            <v>5</v>
          </cell>
          <cell r="P462">
            <v>2</v>
          </cell>
        </row>
        <row r="463">
          <cell r="A463" t="str">
            <v>6723882</v>
          </cell>
          <cell r="B463" t="str">
            <v>1334975</v>
          </cell>
          <cell r="C463" t="str">
            <v>6304RDS-7502-251-MS19</v>
          </cell>
          <cell r="D463" t="str">
            <v>6304RDS</v>
          </cell>
          <cell r="E463" t="str">
            <v>6304RDS SIG 320CRX X300U CR ARID MCM RH</v>
          </cell>
          <cell r="F463" t="str">
            <v>DG-HOLSTER-RDS-DTC</v>
          </cell>
          <cell r="G463" t="str">
            <v>1420-210-FG</v>
          </cell>
          <cell r="H463" t="str">
            <v>R</v>
          </cell>
          <cell r="I463" t="str">
            <v>06/03/2024</v>
          </cell>
          <cell r="J463" t="str">
            <v>06/03/2024</v>
          </cell>
          <cell r="K463" t="str">
            <v>06/17/2024</v>
          </cell>
          <cell r="L463">
            <v>5</v>
          </cell>
          <cell r="M463" t="str">
            <v>6/6/2024 10:08:46 AM</v>
          </cell>
          <cell r="N463" t="str">
            <v>25</v>
          </cell>
          <cell r="O463">
            <v>5</v>
          </cell>
          <cell r="P463">
            <v>2</v>
          </cell>
        </row>
        <row r="464">
          <cell r="A464" t="str">
            <v>6727075</v>
          </cell>
          <cell r="B464" t="str">
            <v>1330163</v>
          </cell>
          <cell r="C464" t="str">
            <v>6304RDS-7502-711-MS19</v>
          </cell>
          <cell r="D464" t="str">
            <v>6304RDS</v>
          </cell>
          <cell r="E464" t="str">
            <v>6304RDS SIG P320CRX X300U CR MLTCM BLKRH</v>
          </cell>
          <cell r="F464" t="str">
            <v>DG-HOLSTER-RDS</v>
          </cell>
          <cell r="G464" t="str">
            <v>1420-210-FG</v>
          </cell>
          <cell r="H464" t="str">
            <v>F</v>
          </cell>
          <cell r="I464" t="str">
            <v>06/10/2024</v>
          </cell>
          <cell r="J464" t="str">
            <v>06/10/2024</v>
          </cell>
          <cell r="K464" t="str">
            <v>06/17/2024</v>
          </cell>
          <cell r="L464">
            <v>5</v>
          </cell>
          <cell r="M464" t="str">
            <v/>
          </cell>
          <cell r="N464" t="str">
            <v>25</v>
          </cell>
          <cell r="O464">
            <v>5</v>
          </cell>
          <cell r="P464">
            <v>2.17</v>
          </cell>
        </row>
        <row r="465">
          <cell r="A465" t="str">
            <v>6723881</v>
          </cell>
          <cell r="B465" t="str">
            <v>1334974</v>
          </cell>
          <cell r="C465" t="str">
            <v>6304RDS-4502-251-MS19</v>
          </cell>
          <cell r="D465" t="str">
            <v>6304RDS</v>
          </cell>
          <cell r="E465" t="str">
            <v>6304RDS SIG P320RX X300U CR ARID MCM RH</v>
          </cell>
          <cell r="F465" t="str">
            <v>DG-HOLSTER-RDS-DTC</v>
          </cell>
          <cell r="G465" t="str">
            <v>1420-210-FG</v>
          </cell>
          <cell r="H465" t="str">
            <v>R</v>
          </cell>
          <cell r="I465" t="str">
            <v>06/03/2024</v>
          </cell>
          <cell r="J465" t="str">
            <v>06/03/2024</v>
          </cell>
          <cell r="K465" t="str">
            <v>06/17/2024</v>
          </cell>
          <cell r="L465">
            <v>5</v>
          </cell>
          <cell r="M465" t="str">
            <v>6/6/2024 10:08:46 AM</v>
          </cell>
          <cell r="N465" t="str">
            <v>25</v>
          </cell>
          <cell r="O465">
            <v>5</v>
          </cell>
          <cell r="P465">
            <v>2.17</v>
          </cell>
        </row>
        <row r="466">
          <cell r="A466" t="str">
            <v>6727232</v>
          </cell>
          <cell r="B466" t="str">
            <v>1335296</v>
          </cell>
          <cell r="C466" t="str">
            <v>6304RDS-4502-E991-MS19</v>
          </cell>
          <cell r="D466" t="str">
            <v>6304RDS</v>
          </cell>
          <cell r="E466" t="str">
            <v>6304RDS SIG P320RX X300U CR KTK HLD RH</v>
          </cell>
          <cell r="F466" t="str">
            <v>DG-HOLSTER-RDS-DTC</v>
          </cell>
          <cell r="G466" t="str">
            <v>1420-210-FG</v>
          </cell>
          <cell r="H466" t="str">
            <v>F</v>
          </cell>
          <cell r="I466" t="str">
            <v>06/10/2024</v>
          </cell>
          <cell r="J466" t="str">
            <v>06/10/2024</v>
          </cell>
          <cell r="K466" t="str">
            <v>06/17/2024</v>
          </cell>
          <cell r="L466">
            <v>10</v>
          </cell>
          <cell r="M466" t="str">
            <v/>
          </cell>
          <cell r="N466" t="str">
            <v>25</v>
          </cell>
          <cell r="O466">
            <v>10</v>
          </cell>
          <cell r="P466">
            <v>4.33</v>
          </cell>
        </row>
        <row r="467">
          <cell r="A467" t="str">
            <v>6727088</v>
          </cell>
          <cell r="B467" t="str">
            <v>1332602</v>
          </cell>
          <cell r="C467" t="str">
            <v>6304RDS-4502-791-MS19</v>
          </cell>
          <cell r="D467" t="str">
            <v>6304RDS</v>
          </cell>
          <cell r="E467" t="str">
            <v>6304RDS SIG P320X X300U CR TRPC MLTCM RH</v>
          </cell>
          <cell r="F467" t="str">
            <v>DG-HOLSTER-RDS</v>
          </cell>
          <cell r="G467" t="str">
            <v>1420-210-FG</v>
          </cell>
          <cell r="H467" t="str">
            <v>F</v>
          </cell>
          <cell r="I467" t="str">
            <v>06/10/2024</v>
          </cell>
          <cell r="J467" t="str">
            <v>06/10/2024</v>
          </cell>
          <cell r="K467" t="str">
            <v>06/17/2024</v>
          </cell>
          <cell r="L467">
            <v>5</v>
          </cell>
          <cell r="M467" t="str">
            <v/>
          </cell>
          <cell r="N467" t="str">
            <v>25</v>
          </cell>
          <cell r="O467">
            <v>5</v>
          </cell>
          <cell r="P467">
            <v>2.17</v>
          </cell>
        </row>
        <row r="468">
          <cell r="A468" t="str">
            <v>6727048</v>
          </cell>
          <cell r="B468" t="str">
            <v>1325402</v>
          </cell>
          <cell r="C468" t="str">
            <v>6304RDS-1582-131-MS19</v>
          </cell>
          <cell r="D468" t="str">
            <v>6304RDS</v>
          </cell>
          <cell r="E468" t="str">
            <v>6304RDS STI STACC P 4.4" X300U STXBLK RH</v>
          </cell>
          <cell r="F468" t="str">
            <v>DG-HOLSTER-RDS</v>
          </cell>
          <cell r="G468" t="str">
            <v>1420-210-FG</v>
          </cell>
          <cell r="H468" t="str">
            <v>F</v>
          </cell>
          <cell r="I468" t="str">
            <v>06/10/2024</v>
          </cell>
          <cell r="J468" t="str">
            <v>06/10/2024</v>
          </cell>
          <cell r="K468" t="str">
            <v>06/17/2024</v>
          </cell>
          <cell r="L468">
            <v>5</v>
          </cell>
          <cell r="M468" t="str">
            <v/>
          </cell>
          <cell r="N468" t="str">
            <v>25</v>
          </cell>
          <cell r="O468">
            <v>5</v>
          </cell>
          <cell r="P468">
            <v>2</v>
          </cell>
        </row>
        <row r="469">
          <cell r="A469" t="str">
            <v>6726979</v>
          </cell>
          <cell r="B469" t="str">
            <v>1330167</v>
          </cell>
          <cell r="C469" t="str">
            <v>6304RDS-1582-711-MS19</v>
          </cell>
          <cell r="D469" t="str">
            <v>6304RDS</v>
          </cell>
          <cell r="E469" t="str">
            <v>6304RDS STI STACC P 4.4"X300U MLTCM BKRH</v>
          </cell>
          <cell r="F469" t="str">
            <v>DG-HOLSTER-RDS</v>
          </cell>
          <cell r="G469" t="str">
            <v>1420-210-FG</v>
          </cell>
          <cell r="H469" t="str">
            <v>F</v>
          </cell>
          <cell r="I469" t="str">
            <v>06/10/2024</v>
          </cell>
          <cell r="J469" t="str">
            <v>06/10/2024</v>
          </cell>
          <cell r="K469" t="str">
            <v>06/17/2024</v>
          </cell>
          <cell r="L469">
            <v>20</v>
          </cell>
          <cell r="M469" t="str">
            <v/>
          </cell>
          <cell r="N469" t="str">
            <v>25</v>
          </cell>
          <cell r="O469">
            <v>20</v>
          </cell>
          <cell r="P469">
            <v>8</v>
          </cell>
        </row>
        <row r="470">
          <cell r="A470" t="str">
            <v>6726954</v>
          </cell>
          <cell r="B470" t="str">
            <v>1128793</v>
          </cell>
          <cell r="C470" t="str">
            <v>6305-2832-131</v>
          </cell>
          <cell r="D470" t="str">
            <v>6305</v>
          </cell>
          <cell r="E470" t="str">
            <v>6305 GLOCK 19/23 X300U STX TAC BLK RH</v>
          </cell>
          <cell r="F470" t="str">
            <v>DG-HOLSTER-H-DTC</v>
          </cell>
          <cell r="G470" t="str">
            <v>1420-210-FG</v>
          </cell>
          <cell r="H470" t="str">
            <v>F</v>
          </cell>
          <cell r="I470" t="str">
            <v>06/10/2024</v>
          </cell>
          <cell r="J470" t="str">
            <v>06/10/2024</v>
          </cell>
          <cell r="K470" t="str">
            <v>06/17/2024</v>
          </cell>
          <cell r="L470">
            <v>5</v>
          </cell>
          <cell r="M470" t="str">
            <v/>
          </cell>
          <cell r="N470" t="str">
            <v>25</v>
          </cell>
          <cell r="O470">
            <v>5</v>
          </cell>
          <cell r="P470">
            <v>2.06</v>
          </cell>
        </row>
        <row r="471">
          <cell r="A471" t="str">
            <v>6726948</v>
          </cell>
          <cell r="B471" t="str">
            <v>1128610</v>
          </cell>
          <cell r="C471" t="str">
            <v>6305-3832-131</v>
          </cell>
          <cell r="D471" t="str">
            <v>6305</v>
          </cell>
          <cell r="E471" t="str">
            <v>6305 GLOCK 20/21 X300U STX TAC BLK RH</v>
          </cell>
          <cell r="F471" t="str">
            <v>DG-HOLSTER-H</v>
          </cell>
          <cell r="G471" t="str">
            <v>1420-210-FG</v>
          </cell>
          <cell r="H471" t="str">
            <v>F</v>
          </cell>
          <cell r="I471" t="str">
            <v>06/10/2024</v>
          </cell>
          <cell r="J471" t="str">
            <v>06/10/2024</v>
          </cell>
          <cell r="K471" t="str">
            <v>06/17/2024</v>
          </cell>
          <cell r="L471">
            <v>5</v>
          </cell>
          <cell r="M471" t="str">
            <v/>
          </cell>
          <cell r="N471" t="str">
            <v>25</v>
          </cell>
          <cell r="O471">
            <v>5</v>
          </cell>
          <cell r="P471">
            <v>1.89</v>
          </cell>
        </row>
        <row r="472">
          <cell r="A472" t="str">
            <v>6727162</v>
          </cell>
          <cell r="B472" t="str">
            <v>1204184</v>
          </cell>
          <cell r="C472" t="str">
            <v>6305RDS-2832-131</v>
          </cell>
          <cell r="D472" t="str">
            <v>6305RDS</v>
          </cell>
          <cell r="E472" t="str">
            <v>6305RDS GLOCK 19MOS X300U STX TAC BLK RH</v>
          </cell>
          <cell r="F472" t="str">
            <v>DG-HOLSTER-RDS-DTC</v>
          </cell>
          <cell r="G472" t="str">
            <v>1420-210-FG</v>
          </cell>
          <cell r="H472" t="str">
            <v>F</v>
          </cell>
          <cell r="I472" t="str">
            <v>06/10/2024</v>
          </cell>
          <cell r="J472" t="str">
            <v>06/10/2024</v>
          </cell>
          <cell r="K472" t="str">
            <v>06/17/2024</v>
          </cell>
          <cell r="L472">
            <v>5</v>
          </cell>
          <cell r="M472" t="str">
            <v/>
          </cell>
          <cell r="N472" t="str">
            <v>25</v>
          </cell>
          <cell r="O472">
            <v>5</v>
          </cell>
          <cell r="P472">
            <v>2</v>
          </cell>
        </row>
        <row r="473">
          <cell r="A473" t="str">
            <v>6727066</v>
          </cell>
          <cell r="B473" t="str">
            <v>1327514</v>
          </cell>
          <cell r="C473" t="str">
            <v>6305RDS-8182-411</v>
          </cell>
          <cell r="D473" t="str">
            <v>6305RDS</v>
          </cell>
          <cell r="E473" t="str">
            <v>6305RDS MP 2.0 9MM X300U STX PLN BLK RH</v>
          </cell>
          <cell r="F473" t="str">
            <v>DG-HOLSTER-RDS</v>
          </cell>
          <cell r="G473" t="str">
            <v>1420-210-FG</v>
          </cell>
          <cell r="H473" t="str">
            <v>F</v>
          </cell>
          <cell r="I473" t="str">
            <v>06/10/2024</v>
          </cell>
          <cell r="J473" t="str">
            <v>06/10/2024</v>
          </cell>
          <cell r="K473" t="str">
            <v>06/17/2024</v>
          </cell>
          <cell r="L473">
            <v>5</v>
          </cell>
          <cell r="M473" t="str">
            <v/>
          </cell>
          <cell r="N473" t="str">
            <v>25</v>
          </cell>
          <cell r="O473">
            <v>5</v>
          </cell>
          <cell r="P473">
            <v>2</v>
          </cell>
        </row>
        <row r="474">
          <cell r="A474" t="str">
            <v>6727036</v>
          </cell>
          <cell r="B474" t="str">
            <v>1324663</v>
          </cell>
          <cell r="C474" t="str">
            <v>6305RDS-1582-131</v>
          </cell>
          <cell r="D474" t="str">
            <v>6305RDS</v>
          </cell>
          <cell r="E474" t="str">
            <v>6305RDS STI STACC P 4.4" X300U STXBLK RH</v>
          </cell>
          <cell r="F474" t="str">
            <v>DG-HOLSTER-RDS</v>
          </cell>
          <cell r="G474" t="str">
            <v>1420-210-FG</v>
          </cell>
          <cell r="H474" t="str">
            <v>F</v>
          </cell>
          <cell r="I474" t="str">
            <v>06/10/2024</v>
          </cell>
          <cell r="J474" t="str">
            <v>06/10/2024</v>
          </cell>
          <cell r="K474" t="str">
            <v>06/17/2024</v>
          </cell>
          <cell r="L474">
            <v>9</v>
          </cell>
          <cell r="M474" t="str">
            <v/>
          </cell>
          <cell r="N474" t="str">
            <v>25</v>
          </cell>
          <cell r="O474">
            <v>9</v>
          </cell>
          <cell r="P474">
            <v>3.6</v>
          </cell>
        </row>
        <row r="475">
          <cell r="A475" t="str">
            <v>6723466</v>
          </cell>
          <cell r="B475" t="str">
            <v>1169188</v>
          </cell>
          <cell r="C475" t="str">
            <v>6354DO-832-781</v>
          </cell>
          <cell r="D475" t="str">
            <v>6354DO</v>
          </cell>
          <cell r="E475" t="str">
            <v>6354DO GLOCK 17/22 X300U CORD BLK RH</v>
          </cell>
          <cell r="F475" t="str">
            <v>DG-HOLSTER-DO-DTC</v>
          </cell>
          <cell r="G475" t="str">
            <v>1420-210-FG</v>
          </cell>
          <cell r="H475" t="str">
            <v>F</v>
          </cell>
          <cell r="I475" t="str">
            <v>06/03/2024</v>
          </cell>
          <cell r="J475" t="str">
            <v>06/03/2024</v>
          </cell>
          <cell r="K475" t="str">
            <v>06/17/2024</v>
          </cell>
          <cell r="L475">
            <v>5</v>
          </cell>
          <cell r="M475" t="str">
            <v/>
          </cell>
          <cell r="N475" t="str">
            <v>25</v>
          </cell>
          <cell r="O475">
            <v>5</v>
          </cell>
          <cell r="P475">
            <v>3.08</v>
          </cell>
        </row>
        <row r="476">
          <cell r="A476" t="str">
            <v>6723469</v>
          </cell>
          <cell r="B476" t="str">
            <v>1201560</v>
          </cell>
          <cell r="C476" t="str">
            <v>6354DO-283-781-MS19</v>
          </cell>
          <cell r="D476" t="str">
            <v>6354DO</v>
          </cell>
          <cell r="E476" t="str">
            <v>6354DO GLOCK 19/23 COR BLK RH</v>
          </cell>
          <cell r="F476" t="str">
            <v>DG-HOLSTER-DO-DTC</v>
          </cell>
          <cell r="G476" t="str">
            <v>1420-210-FG</v>
          </cell>
          <cell r="H476" t="str">
            <v>R</v>
          </cell>
          <cell r="I476" t="str">
            <v>06/03/2024</v>
          </cell>
          <cell r="J476" t="str">
            <v>06/03/2024</v>
          </cell>
          <cell r="K476" t="str">
            <v>06/17/2024</v>
          </cell>
          <cell r="L476">
            <v>5</v>
          </cell>
          <cell r="M476" t="str">
            <v>6/6/2024 10:14:11 AM</v>
          </cell>
          <cell r="N476" t="str">
            <v>25</v>
          </cell>
          <cell r="O476">
            <v>5</v>
          </cell>
          <cell r="P476">
            <v>2.42</v>
          </cell>
        </row>
        <row r="477">
          <cell r="A477" t="str">
            <v>6726921</v>
          </cell>
          <cell r="B477" t="str">
            <v>1206593</v>
          </cell>
          <cell r="C477" t="str">
            <v>6354DO-283-731-MS19</v>
          </cell>
          <cell r="D477" t="str">
            <v>6354DO</v>
          </cell>
          <cell r="E477" t="str">
            <v>6354DO GLOCK 19/23 COR CAM GRN RH</v>
          </cell>
          <cell r="F477" t="str">
            <v>DG-HOLSTER-DO-DTC</v>
          </cell>
          <cell r="G477" t="str">
            <v>1420-210-FG</v>
          </cell>
          <cell r="H477" t="str">
            <v>F</v>
          </cell>
          <cell r="I477" t="str">
            <v>06/10/2024</v>
          </cell>
          <cell r="J477" t="str">
            <v>06/10/2024</v>
          </cell>
          <cell r="K477" t="str">
            <v>06/17/2024</v>
          </cell>
          <cell r="L477">
            <v>5</v>
          </cell>
          <cell r="M477" t="str">
            <v/>
          </cell>
          <cell r="N477" t="str">
            <v>25</v>
          </cell>
          <cell r="O477">
            <v>5</v>
          </cell>
          <cell r="P477">
            <v>2.2999999999999998</v>
          </cell>
        </row>
        <row r="478">
          <cell r="A478" t="str">
            <v>6726075</v>
          </cell>
          <cell r="B478" t="str">
            <v>1171891</v>
          </cell>
          <cell r="C478" t="str">
            <v>6354DO-283-702-MS19</v>
          </cell>
          <cell r="D478" t="str">
            <v>6354DO</v>
          </cell>
          <cell r="E478" t="str">
            <v>6354DO GLOCK 19/23 CORD MTCM LH</v>
          </cell>
          <cell r="F478" t="str">
            <v>DG-HOLSTER-DO-DTC</v>
          </cell>
          <cell r="G478" t="str">
            <v>1420-210-FG</v>
          </cell>
          <cell r="H478" t="str">
            <v>R</v>
          </cell>
          <cell r="I478" t="str">
            <v>06/07/2024</v>
          </cell>
          <cell r="J478" t="str">
            <v>06/07/2024</v>
          </cell>
          <cell r="K478" t="str">
            <v>06/17/2024</v>
          </cell>
          <cell r="L478">
            <v>3</v>
          </cell>
          <cell r="M478" t="str">
            <v>6/10/2024 12:51:41 PM</v>
          </cell>
          <cell r="N478" t="str">
            <v>25</v>
          </cell>
          <cell r="O478">
            <v>3</v>
          </cell>
          <cell r="P478">
            <v>1.76</v>
          </cell>
        </row>
        <row r="479">
          <cell r="A479" t="str">
            <v>6726074</v>
          </cell>
          <cell r="B479" t="str">
            <v>1170053</v>
          </cell>
          <cell r="C479" t="str">
            <v>6354DO-283-701-MS19</v>
          </cell>
          <cell r="D479" t="str">
            <v>6354DO</v>
          </cell>
          <cell r="E479" t="str">
            <v>6354DO GLOCK 19/23 CORD MTCM RH</v>
          </cell>
          <cell r="F479" t="str">
            <v>DG-HOLSTER-DO-DTC</v>
          </cell>
          <cell r="G479" t="str">
            <v>1420-210-FG</v>
          </cell>
          <cell r="H479" t="str">
            <v>R</v>
          </cell>
          <cell r="I479" t="str">
            <v>06/07/2024</v>
          </cell>
          <cell r="J479" t="str">
            <v>06/07/2024</v>
          </cell>
          <cell r="K479" t="str">
            <v>06/17/2024</v>
          </cell>
          <cell r="L479">
            <v>10</v>
          </cell>
          <cell r="M479" t="str">
            <v>6/10/2024 12:51:41 PM</v>
          </cell>
          <cell r="N479" t="str">
            <v>25</v>
          </cell>
          <cell r="O479">
            <v>10</v>
          </cell>
          <cell r="P479">
            <v>5.86</v>
          </cell>
        </row>
        <row r="480">
          <cell r="A480" t="str">
            <v>6727124</v>
          </cell>
          <cell r="B480" t="str">
            <v>1335319</v>
          </cell>
          <cell r="C480" t="str">
            <v>6354RDS-2582-E991-MS19</v>
          </cell>
          <cell r="D480" t="str">
            <v>6354RDS</v>
          </cell>
          <cell r="E480" t="str">
            <v>6354RDS 2011 STCC 5" X300U CR KTK HLD RH</v>
          </cell>
          <cell r="F480" t="str">
            <v>DG-HOLSTER-RDS</v>
          </cell>
          <cell r="G480" t="str">
            <v>1420-210-FG</v>
          </cell>
          <cell r="H480" t="str">
            <v>F</v>
          </cell>
          <cell r="I480" t="str">
            <v>06/10/2024</v>
          </cell>
          <cell r="J480" t="str">
            <v>06/10/2024</v>
          </cell>
          <cell r="K480" t="str">
            <v>06/17/2024</v>
          </cell>
          <cell r="L480">
            <v>5</v>
          </cell>
          <cell r="M480" t="str">
            <v/>
          </cell>
          <cell r="N480" t="str">
            <v>25</v>
          </cell>
          <cell r="O480">
            <v>5</v>
          </cell>
          <cell r="P480">
            <v>2</v>
          </cell>
        </row>
        <row r="481">
          <cell r="A481" t="str">
            <v>6727217</v>
          </cell>
          <cell r="B481" t="str">
            <v>1335141</v>
          </cell>
          <cell r="C481" t="str">
            <v>6354RDS-2582-791-MS19</v>
          </cell>
          <cell r="D481" t="str">
            <v>6354RDS</v>
          </cell>
          <cell r="E481" t="str">
            <v>6354RDS 2011 STCC 5" X300U CR TP MCAM RH</v>
          </cell>
          <cell r="F481" t="str">
            <v>DG-HOLSTER-RDS-DTC</v>
          </cell>
          <cell r="G481" t="str">
            <v>1420-210-FG</v>
          </cell>
          <cell r="H481" t="str">
            <v>F</v>
          </cell>
          <cell r="I481" t="str">
            <v>06/10/2024</v>
          </cell>
          <cell r="J481" t="str">
            <v>06/10/2024</v>
          </cell>
          <cell r="K481" t="str">
            <v>06/17/2024</v>
          </cell>
          <cell r="L481">
            <v>6</v>
          </cell>
          <cell r="M481" t="str">
            <v/>
          </cell>
          <cell r="N481" t="str">
            <v>25</v>
          </cell>
          <cell r="O481">
            <v>6</v>
          </cell>
          <cell r="P481">
            <v>2.4</v>
          </cell>
        </row>
        <row r="482">
          <cell r="A482" t="str">
            <v>6727212</v>
          </cell>
          <cell r="B482" t="str">
            <v>1335126</v>
          </cell>
          <cell r="C482" t="str">
            <v>6354RDS-2582-132</v>
          </cell>
          <cell r="D482" t="str">
            <v>6354RDS</v>
          </cell>
          <cell r="E482" t="str">
            <v>6354RDS 2011 STCC 5"X300U STX TAC BLK LH</v>
          </cell>
          <cell r="F482" t="str">
            <v>DG-HOLSTER-RDS-DTC</v>
          </cell>
          <cell r="G482" t="str">
            <v>1420-210-FG</v>
          </cell>
          <cell r="H482" t="str">
            <v>F</v>
          </cell>
          <cell r="I482" t="str">
            <v>06/10/2024</v>
          </cell>
          <cell r="J482" t="str">
            <v>06/10/2024</v>
          </cell>
          <cell r="K482" t="str">
            <v>06/17/2024</v>
          </cell>
          <cell r="L482">
            <v>1</v>
          </cell>
          <cell r="M482" t="str">
            <v/>
          </cell>
          <cell r="N482" t="str">
            <v>25</v>
          </cell>
          <cell r="O482">
            <v>1</v>
          </cell>
          <cell r="P482">
            <v>0.4</v>
          </cell>
        </row>
        <row r="483">
          <cell r="A483" t="str">
            <v>6727219</v>
          </cell>
          <cell r="B483" t="str">
            <v>1335195</v>
          </cell>
          <cell r="C483" t="str">
            <v>6354RDS-2582-131-MS19</v>
          </cell>
          <cell r="D483" t="str">
            <v>6354RDS</v>
          </cell>
          <cell r="E483" t="str">
            <v>6354RDS 2011 STCC 5"X300U STX TAC BLKRH</v>
          </cell>
          <cell r="F483" t="str">
            <v>DG-HOLSTER-RDS-DTC</v>
          </cell>
          <cell r="G483" t="str">
            <v>1420-210-FG</v>
          </cell>
          <cell r="H483" t="str">
            <v>F</v>
          </cell>
          <cell r="I483" t="str">
            <v>06/10/2024</v>
          </cell>
          <cell r="J483" t="str">
            <v>06/10/2024</v>
          </cell>
          <cell r="K483" t="str">
            <v>06/17/2024</v>
          </cell>
          <cell r="L483">
            <v>1</v>
          </cell>
          <cell r="M483" t="str">
            <v/>
          </cell>
          <cell r="N483" t="str">
            <v>25</v>
          </cell>
          <cell r="O483">
            <v>1</v>
          </cell>
          <cell r="P483">
            <v>0.4</v>
          </cell>
        </row>
        <row r="484">
          <cell r="A484" t="str">
            <v>6727127</v>
          </cell>
          <cell r="B484" t="str">
            <v>1335891</v>
          </cell>
          <cell r="C484" t="str">
            <v>6354RDS-2582-801-MS19</v>
          </cell>
          <cell r="D484" t="str">
            <v>6354RDS</v>
          </cell>
          <cell r="E484" t="str">
            <v>6354RDS 2011STCC 5"X300U CR MTCM ALPN RH</v>
          </cell>
          <cell r="F484" t="str">
            <v>DG-HOLSTER-RDS</v>
          </cell>
          <cell r="G484" t="str">
            <v>1420-210-FG</v>
          </cell>
          <cell r="H484" t="str">
            <v>F</v>
          </cell>
          <cell r="I484" t="str">
            <v>06/10/2024</v>
          </cell>
          <cell r="J484" t="str">
            <v>06/10/2024</v>
          </cell>
          <cell r="K484" t="str">
            <v>06/17/2024</v>
          </cell>
          <cell r="L484">
            <v>5</v>
          </cell>
          <cell r="M484" t="str">
            <v/>
          </cell>
          <cell r="N484" t="str">
            <v>25</v>
          </cell>
          <cell r="O484">
            <v>5</v>
          </cell>
          <cell r="P484">
            <v>2</v>
          </cell>
        </row>
        <row r="485">
          <cell r="A485" t="str">
            <v>6727077</v>
          </cell>
          <cell r="B485" t="str">
            <v>1330168</v>
          </cell>
          <cell r="C485" t="str">
            <v>6354RDS-2712-711-MS19</v>
          </cell>
          <cell r="D485" t="str">
            <v>6354RDS</v>
          </cell>
          <cell r="E485" t="str">
            <v xml:space="preserve">6354RDS FN509T 4.5IN X300U MLTCM BLK RH </v>
          </cell>
          <cell r="F485" t="str">
            <v>DG-HOLSTER-RDS</v>
          </cell>
          <cell r="G485" t="str">
            <v>1420-210-FG</v>
          </cell>
          <cell r="H485" t="str">
            <v>F</v>
          </cell>
          <cell r="I485" t="str">
            <v>06/10/2024</v>
          </cell>
          <cell r="J485" t="str">
            <v>06/10/2024</v>
          </cell>
          <cell r="K485" t="str">
            <v>06/17/2024</v>
          </cell>
          <cell r="L485">
            <v>15</v>
          </cell>
          <cell r="M485" t="str">
            <v/>
          </cell>
          <cell r="N485" t="str">
            <v>25</v>
          </cell>
          <cell r="O485">
            <v>15</v>
          </cell>
          <cell r="P485">
            <v>6</v>
          </cell>
        </row>
        <row r="486">
          <cell r="A486" t="str">
            <v>6727085</v>
          </cell>
          <cell r="B486" t="str">
            <v>1332582</v>
          </cell>
          <cell r="C486" t="str">
            <v>6354RDS-2712-791-MS19</v>
          </cell>
          <cell r="D486" t="str">
            <v>6354RDS</v>
          </cell>
          <cell r="E486" t="str">
            <v>6354RDS FN509T 4.5IN X300U TRPC MLTCM RH</v>
          </cell>
          <cell r="F486" t="str">
            <v>DG-HOLSTER-RDS</v>
          </cell>
          <cell r="G486" t="str">
            <v>1420-210-FG</v>
          </cell>
          <cell r="H486" t="str">
            <v>F</v>
          </cell>
          <cell r="I486" t="str">
            <v>06/10/2024</v>
          </cell>
          <cell r="J486" t="str">
            <v>06/10/2024</v>
          </cell>
          <cell r="K486" t="str">
            <v>06/17/2024</v>
          </cell>
          <cell r="L486">
            <v>17</v>
          </cell>
          <cell r="M486" t="str">
            <v/>
          </cell>
          <cell r="N486" t="str">
            <v>25</v>
          </cell>
          <cell r="O486">
            <v>17</v>
          </cell>
          <cell r="P486">
            <v>6.8</v>
          </cell>
        </row>
        <row r="487">
          <cell r="A487" t="str">
            <v>6727202</v>
          </cell>
          <cell r="B487" t="str">
            <v>1334949</v>
          </cell>
          <cell r="C487" t="str">
            <v>6354RDS-832-252-MS19</v>
          </cell>
          <cell r="D487" t="str">
            <v>6354RDS</v>
          </cell>
          <cell r="E487" t="str">
            <v>6354RDS GLK 17MOS X300U CR ARID MLTCM LH</v>
          </cell>
          <cell r="F487" t="str">
            <v>DG-HOLSTER-RDS-DTC</v>
          </cell>
          <cell r="G487" t="str">
            <v>1420-210-FG</v>
          </cell>
          <cell r="H487" t="str">
            <v>F</v>
          </cell>
          <cell r="I487" t="str">
            <v>06/10/2024</v>
          </cell>
          <cell r="J487" t="str">
            <v>06/10/2024</v>
          </cell>
          <cell r="K487" t="str">
            <v>06/17/2024</v>
          </cell>
          <cell r="L487">
            <v>10</v>
          </cell>
          <cell r="M487" t="str">
            <v/>
          </cell>
          <cell r="N487" t="str">
            <v>25</v>
          </cell>
          <cell r="O487">
            <v>10</v>
          </cell>
          <cell r="P487">
            <v>4.33</v>
          </cell>
        </row>
        <row r="488">
          <cell r="A488" t="str">
            <v>6727227</v>
          </cell>
          <cell r="B488" t="str">
            <v>1335272</v>
          </cell>
          <cell r="C488" t="str">
            <v>6354RDS-832-E991-MS19</v>
          </cell>
          <cell r="D488" t="str">
            <v>6354RDS</v>
          </cell>
          <cell r="E488" t="str">
            <v>6354RDS GLK 17MOS X300U CR KTK HLD RH</v>
          </cell>
          <cell r="F488" t="str">
            <v>DG-HOLSTER-RDS-DTC</v>
          </cell>
          <cell r="G488" t="str">
            <v>1420-210-FG</v>
          </cell>
          <cell r="H488" t="str">
            <v>F</v>
          </cell>
          <cell r="I488" t="str">
            <v>06/10/2024</v>
          </cell>
          <cell r="J488" t="str">
            <v>06/10/2024</v>
          </cell>
          <cell r="K488" t="str">
            <v>06/17/2024</v>
          </cell>
          <cell r="L488">
            <v>10</v>
          </cell>
          <cell r="M488" t="str">
            <v/>
          </cell>
          <cell r="N488" t="str">
            <v>25</v>
          </cell>
          <cell r="O488">
            <v>10</v>
          </cell>
          <cell r="P488">
            <v>4.33</v>
          </cell>
        </row>
        <row r="489">
          <cell r="A489" t="str">
            <v>6727164</v>
          </cell>
          <cell r="B489" t="str">
            <v>1204230</v>
          </cell>
          <cell r="C489" t="str">
            <v>6354RDS-2832-131</v>
          </cell>
          <cell r="D489" t="str">
            <v>6354RDS</v>
          </cell>
          <cell r="E489" t="str">
            <v>6354RDS GLOCK 19MOS X300U STX TAC BLK RH</v>
          </cell>
          <cell r="F489" t="str">
            <v>DG-HOLSTER-RDS-DTC</v>
          </cell>
          <cell r="G489" t="str">
            <v>1420-210-FG</v>
          </cell>
          <cell r="H489" t="str">
            <v>F</v>
          </cell>
          <cell r="I489" t="str">
            <v>06/10/2024</v>
          </cell>
          <cell r="J489" t="str">
            <v>06/10/2024</v>
          </cell>
          <cell r="K489" t="str">
            <v>06/17/2024</v>
          </cell>
          <cell r="L489">
            <v>5</v>
          </cell>
          <cell r="M489" t="str">
            <v/>
          </cell>
          <cell r="N489" t="str">
            <v>25</v>
          </cell>
          <cell r="O489">
            <v>5</v>
          </cell>
          <cell r="P489">
            <v>2</v>
          </cell>
        </row>
        <row r="490">
          <cell r="A490" t="str">
            <v>6727198</v>
          </cell>
          <cell r="B490" t="str">
            <v>1334603</v>
          </cell>
          <cell r="C490" t="str">
            <v>6354RDS-5932-551</v>
          </cell>
          <cell r="D490" t="str">
            <v>6354RDS</v>
          </cell>
          <cell r="E490" t="str">
            <v>6354RDS H&amp;K VP9 X300U STX TAC FDE RH</v>
          </cell>
          <cell r="F490" t="str">
            <v>DG-HOLSTER-RDS-DTC</v>
          </cell>
          <cell r="G490" t="str">
            <v>1420-210-FG</v>
          </cell>
          <cell r="H490" t="str">
            <v>F</v>
          </cell>
          <cell r="I490" t="str">
            <v>06/10/2024</v>
          </cell>
          <cell r="J490" t="str">
            <v>06/10/2024</v>
          </cell>
          <cell r="K490" t="str">
            <v>06/17/2024</v>
          </cell>
          <cell r="L490">
            <v>5</v>
          </cell>
          <cell r="M490" t="str">
            <v/>
          </cell>
          <cell r="N490" t="str">
            <v>25</v>
          </cell>
          <cell r="O490">
            <v>5</v>
          </cell>
          <cell r="P490">
            <v>2</v>
          </cell>
        </row>
        <row r="491">
          <cell r="A491" t="str">
            <v>6727080</v>
          </cell>
          <cell r="B491" t="str">
            <v>1331967</v>
          </cell>
          <cell r="C491" t="str">
            <v>6354RDS-8182-241-MS19</v>
          </cell>
          <cell r="D491" t="str">
            <v>6354RDS</v>
          </cell>
          <cell r="E491" t="str">
            <v>6354RDS MP 2.0 9MM X300U CORD GREY RH</v>
          </cell>
          <cell r="F491" t="str">
            <v>DG-HOLSTER-RDS</v>
          </cell>
          <cell r="G491" t="str">
            <v>1420-210-FG</v>
          </cell>
          <cell r="H491" t="str">
            <v>F</v>
          </cell>
          <cell r="I491" t="str">
            <v>06/10/2024</v>
          </cell>
          <cell r="J491" t="str">
            <v>06/10/2024</v>
          </cell>
          <cell r="K491" t="str">
            <v>06/17/2024</v>
          </cell>
          <cell r="L491">
            <v>5</v>
          </cell>
          <cell r="M491" t="str">
            <v/>
          </cell>
          <cell r="N491" t="str">
            <v>25</v>
          </cell>
          <cell r="O491">
            <v>5</v>
          </cell>
          <cell r="P491">
            <v>2</v>
          </cell>
        </row>
        <row r="492">
          <cell r="A492" t="str">
            <v>6723681</v>
          </cell>
          <cell r="B492" t="str">
            <v>1332340</v>
          </cell>
          <cell r="C492" t="str">
            <v>6354RDS-8182-711-MS19</v>
          </cell>
          <cell r="D492" t="str">
            <v>6354RDS</v>
          </cell>
          <cell r="E492" t="str">
            <v>6354RDS MP 2.0 9MM X300U CR MLTCM BLKRH</v>
          </cell>
          <cell r="F492" t="str">
            <v>DG-HOLSTER-RDS</v>
          </cell>
          <cell r="G492" t="str">
            <v>1420-210-FG</v>
          </cell>
          <cell r="H492" t="str">
            <v>R</v>
          </cell>
          <cell r="I492" t="str">
            <v>06/03/2024</v>
          </cell>
          <cell r="J492" t="str">
            <v>06/03/2024</v>
          </cell>
          <cell r="K492" t="str">
            <v>06/17/2024</v>
          </cell>
          <cell r="L492">
            <v>5</v>
          </cell>
          <cell r="M492" t="str">
            <v>6/6/2024 10:08:46 AM</v>
          </cell>
          <cell r="N492" t="str">
            <v>25</v>
          </cell>
          <cell r="O492">
            <v>5</v>
          </cell>
          <cell r="P492">
            <v>2</v>
          </cell>
        </row>
        <row r="493">
          <cell r="A493" t="str">
            <v>6727246</v>
          </cell>
          <cell r="B493" t="str">
            <v>1335835</v>
          </cell>
          <cell r="C493" t="str">
            <v>6354RDS-2222-801-MS19</v>
          </cell>
          <cell r="D493" t="str">
            <v>6354RDS</v>
          </cell>
          <cell r="E493" t="str">
            <v>6354RDS MP2.0 9 CORE X300U CR MTC ALP RH</v>
          </cell>
          <cell r="F493" t="str">
            <v>DG-HOLSTER-RDS-DTC</v>
          </cell>
          <cell r="G493" t="str">
            <v>1420-210-FG</v>
          </cell>
          <cell r="H493" t="str">
            <v>F</v>
          </cell>
          <cell r="I493" t="str">
            <v>06/10/2024</v>
          </cell>
          <cell r="J493" t="str">
            <v>06/10/2024</v>
          </cell>
          <cell r="K493" t="str">
            <v>06/17/2024</v>
          </cell>
          <cell r="L493">
            <v>3</v>
          </cell>
          <cell r="M493" t="str">
            <v/>
          </cell>
          <cell r="N493" t="str">
            <v>25</v>
          </cell>
          <cell r="O493">
            <v>3</v>
          </cell>
          <cell r="P493">
            <v>1.2</v>
          </cell>
        </row>
        <row r="494">
          <cell r="A494" t="str">
            <v>6727076</v>
          </cell>
          <cell r="B494" t="str">
            <v>1330164</v>
          </cell>
          <cell r="C494" t="str">
            <v>6354RDS-2222-711-MS19</v>
          </cell>
          <cell r="D494" t="str">
            <v>6354RDS</v>
          </cell>
          <cell r="E494" t="str">
            <v>6354RDS MP2.0 9CORE X300U CR MLTCM BLKRH</v>
          </cell>
          <cell r="F494" t="str">
            <v>DG-HOLSTER-RDS</v>
          </cell>
          <cell r="G494" t="str">
            <v>1420-210-FG</v>
          </cell>
          <cell r="H494" t="str">
            <v>F</v>
          </cell>
          <cell r="I494" t="str">
            <v>06/10/2024</v>
          </cell>
          <cell r="J494" t="str">
            <v>06/10/2024</v>
          </cell>
          <cell r="K494" t="str">
            <v>06/17/2024</v>
          </cell>
          <cell r="L494">
            <v>5</v>
          </cell>
          <cell r="M494" t="str">
            <v/>
          </cell>
          <cell r="N494" t="str">
            <v>25</v>
          </cell>
          <cell r="O494">
            <v>5</v>
          </cell>
          <cell r="P494">
            <v>2</v>
          </cell>
        </row>
        <row r="495">
          <cell r="A495" t="str">
            <v>6727083</v>
          </cell>
          <cell r="B495" t="str">
            <v>1332578</v>
          </cell>
          <cell r="C495" t="str">
            <v>6354RDS-1582-791-MS19</v>
          </cell>
          <cell r="D495" t="str">
            <v>6354RDS</v>
          </cell>
          <cell r="E495" t="str">
            <v>6354RDS STI STAC P 4.4"X300U TRPCMLTCMRH</v>
          </cell>
          <cell r="F495" t="str">
            <v>DG-HOLSTER-RDS</v>
          </cell>
          <cell r="G495" t="str">
            <v>1420-210-FG</v>
          </cell>
          <cell r="H495" t="str">
            <v>F</v>
          </cell>
          <cell r="I495" t="str">
            <v>06/10/2024</v>
          </cell>
          <cell r="J495" t="str">
            <v>06/10/2024</v>
          </cell>
          <cell r="K495" t="str">
            <v>06/17/2024</v>
          </cell>
          <cell r="L495">
            <v>5</v>
          </cell>
          <cell r="M495" t="str">
            <v/>
          </cell>
          <cell r="N495" t="str">
            <v>25</v>
          </cell>
          <cell r="O495">
            <v>5</v>
          </cell>
          <cell r="P495">
            <v>2</v>
          </cell>
        </row>
        <row r="496">
          <cell r="A496" t="str">
            <v>6727044</v>
          </cell>
          <cell r="B496" t="str">
            <v>1325326</v>
          </cell>
          <cell r="C496" t="str">
            <v>6354RDS-1582-131-MS19</v>
          </cell>
          <cell r="D496" t="str">
            <v>6354RDS</v>
          </cell>
          <cell r="E496" t="str">
            <v>6354RDS STI STACC P 4.4" X300U STXBLK RH</v>
          </cell>
          <cell r="F496" t="str">
            <v>DG-HOLSTER-RDS</v>
          </cell>
          <cell r="G496" t="str">
            <v>1420-210-FG</v>
          </cell>
          <cell r="H496" t="str">
            <v>F</v>
          </cell>
          <cell r="I496" t="str">
            <v>06/10/2024</v>
          </cell>
          <cell r="J496" t="str">
            <v>06/10/2024</v>
          </cell>
          <cell r="K496" t="str">
            <v>06/17/2024</v>
          </cell>
          <cell r="L496">
            <v>1</v>
          </cell>
          <cell r="M496" t="str">
            <v/>
          </cell>
          <cell r="N496" t="str">
            <v>25</v>
          </cell>
          <cell r="O496">
            <v>1</v>
          </cell>
          <cell r="P496">
            <v>0.4</v>
          </cell>
        </row>
        <row r="497">
          <cell r="A497" t="str">
            <v>6727068</v>
          </cell>
          <cell r="B497" t="str">
            <v>1327980</v>
          </cell>
          <cell r="C497" t="str">
            <v>6354RDS-1582-131-SP10</v>
          </cell>
          <cell r="D497" t="str">
            <v>6354RDS</v>
          </cell>
          <cell r="E497" t="str">
            <v>6354RDS STI STACC P 4.4" X300U STXBLK RH</v>
          </cell>
          <cell r="F497" t="str">
            <v>DG-HOLSTER-RDS</v>
          </cell>
          <cell r="G497" t="str">
            <v>1420-210-FG</v>
          </cell>
          <cell r="H497" t="str">
            <v>F</v>
          </cell>
          <cell r="I497" t="str">
            <v>06/10/2024</v>
          </cell>
          <cell r="J497" t="str">
            <v>06/10/2024</v>
          </cell>
          <cell r="K497" t="str">
            <v>06/17/2024</v>
          </cell>
          <cell r="L497">
            <v>1</v>
          </cell>
          <cell r="M497" t="str">
            <v/>
          </cell>
          <cell r="N497" t="str">
            <v>25</v>
          </cell>
          <cell r="O497">
            <v>1</v>
          </cell>
          <cell r="P497">
            <v>0.4</v>
          </cell>
        </row>
        <row r="498">
          <cell r="A498" t="str">
            <v>6727123</v>
          </cell>
          <cell r="B498" t="str">
            <v>1335278</v>
          </cell>
          <cell r="C498" t="str">
            <v>6354RDS-1582-E991-MS19</v>
          </cell>
          <cell r="D498" t="str">
            <v>6354RDS</v>
          </cell>
          <cell r="E498" t="str">
            <v>6354RDS STI STACC P 4.4"X300U KTK HLD RH</v>
          </cell>
          <cell r="F498" t="str">
            <v>DG-HOLSTER-RDS</v>
          </cell>
          <cell r="G498" t="str">
            <v>1420-210-FG</v>
          </cell>
          <cell r="H498" t="str">
            <v>F</v>
          </cell>
          <cell r="I498" t="str">
            <v>06/10/2024</v>
          </cell>
          <cell r="J498" t="str">
            <v>06/10/2024</v>
          </cell>
          <cell r="K498" t="str">
            <v>06/17/2024</v>
          </cell>
          <cell r="L498">
            <v>5</v>
          </cell>
          <cell r="M498" t="str">
            <v/>
          </cell>
          <cell r="N498" t="str">
            <v>25</v>
          </cell>
          <cell r="O498">
            <v>5</v>
          </cell>
          <cell r="P498">
            <v>2</v>
          </cell>
        </row>
        <row r="499">
          <cell r="A499" t="str">
            <v>6727082</v>
          </cell>
          <cell r="B499" t="str">
            <v>1332344</v>
          </cell>
          <cell r="C499" t="str">
            <v>6354RDS-1582-712-MS19</v>
          </cell>
          <cell r="D499" t="str">
            <v>6354RDS</v>
          </cell>
          <cell r="E499" t="str">
            <v>6354RDS STI STACC P 4.4"X300U MLTCM BKLH</v>
          </cell>
          <cell r="F499" t="str">
            <v>DG-HOLSTER-RDS</v>
          </cell>
          <cell r="G499" t="str">
            <v>1420-210-FG</v>
          </cell>
          <cell r="H499" t="str">
            <v>F</v>
          </cell>
          <cell r="I499" t="str">
            <v>06/10/2024</v>
          </cell>
          <cell r="J499" t="str">
            <v>06/10/2024</v>
          </cell>
          <cell r="K499" t="str">
            <v>06/17/2024</v>
          </cell>
          <cell r="L499">
            <v>5</v>
          </cell>
          <cell r="M499" t="str">
            <v/>
          </cell>
          <cell r="N499" t="str">
            <v>25</v>
          </cell>
          <cell r="O499">
            <v>5</v>
          </cell>
          <cell r="P499">
            <v>2</v>
          </cell>
        </row>
        <row r="500">
          <cell r="A500" t="str">
            <v>6726978</v>
          </cell>
          <cell r="B500" t="str">
            <v>1330166</v>
          </cell>
          <cell r="C500" t="str">
            <v>6354RDS-1582-711-MS19</v>
          </cell>
          <cell r="D500" t="str">
            <v>6354RDS</v>
          </cell>
          <cell r="E500" t="str">
            <v>6354RDS STI STACC P 4.4"X300U MLTCM BKRH</v>
          </cell>
          <cell r="F500" t="str">
            <v>DG-HOLSTER-RDS</v>
          </cell>
          <cell r="G500" t="str">
            <v>1420-210-FG</v>
          </cell>
          <cell r="H500" t="str">
            <v>F</v>
          </cell>
          <cell r="I500" t="str">
            <v>06/10/2024</v>
          </cell>
          <cell r="J500" t="str">
            <v>06/10/2024</v>
          </cell>
          <cell r="K500" t="str">
            <v>06/17/2024</v>
          </cell>
          <cell r="L500">
            <v>20</v>
          </cell>
          <cell r="M500" t="str">
            <v/>
          </cell>
          <cell r="N500" t="str">
            <v>25</v>
          </cell>
          <cell r="O500">
            <v>20</v>
          </cell>
          <cell r="P500">
            <v>8</v>
          </cell>
        </row>
        <row r="501">
          <cell r="A501" t="str">
            <v>6727079</v>
          </cell>
          <cell r="B501" t="str">
            <v>1331961</v>
          </cell>
          <cell r="C501" t="str">
            <v>6354RDS-1582-241-MS19</v>
          </cell>
          <cell r="D501" t="str">
            <v>6354RDS</v>
          </cell>
          <cell r="E501" t="str">
            <v>6354RDS STI STC P 4.4"X300U CORD GREY RH</v>
          </cell>
          <cell r="F501" t="str">
            <v>DG-HOLSTER-RDS</v>
          </cell>
          <cell r="G501" t="str">
            <v>1420-210-FG</v>
          </cell>
          <cell r="H501" t="str">
            <v>F</v>
          </cell>
          <cell r="I501" t="str">
            <v>06/10/2024</v>
          </cell>
          <cell r="J501" t="str">
            <v>06/10/2024</v>
          </cell>
          <cell r="K501" t="str">
            <v>06/17/2024</v>
          </cell>
          <cell r="L501">
            <v>5</v>
          </cell>
          <cell r="M501" t="str">
            <v/>
          </cell>
          <cell r="N501" t="str">
            <v>25</v>
          </cell>
          <cell r="O501">
            <v>5</v>
          </cell>
          <cell r="P501">
            <v>2</v>
          </cell>
        </row>
        <row r="502">
          <cell r="A502" t="str">
            <v>6727226</v>
          </cell>
          <cell r="B502" t="str">
            <v>1335270</v>
          </cell>
          <cell r="C502" t="str">
            <v>6354RDSO-2582-E991-MS19</v>
          </cell>
          <cell r="D502" t="str">
            <v>6354RDSO</v>
          </cell>
          <cell r="E502" t="str">
            <v>6354RDSO 2011 STCC 5" X300U C KTK HLD RH</v>
          </cell>
          <cell r="F502" t="str">
            <v>DG-HOLSTER-RDS-DTC</v>
          </cell>
          <cell r="G502" t="str">
            <v>1420-210-FG</v>
          </cell>
          <cell r="H502" t="str">
            <v>F</v>
          </cell>
          <cell r="I502" t="str">
            <v>06/10/2024</v>
          </cell>
          <cell r="J502" t="str">
            <v>06/10/2024</v>
          </cell>
          <cell r="K502" t="str">
            <v>06/17/2024</v>
          </cell>
          <cell r="L502">
            <v>11</v>
          </cell>
          <cell r="M502" t="str">
            <v/>
          </cell>
          <cell r="N502" t="str">
            <v>25</v>
          </cell>
          <cell r="O502">
            <v>11</v>
          </cell>
          <cell r="P502">
            <v>4.4000000000000004</v>
          </cell>
        </row>
        <row r="503">
          <cell r="A503" t="str">
            <v>6727245</v>
          </cell>
          <cell r="B503" t="str">
            <v>1335821</v>
          </cell>
          <cell r="C503" t="str">
            <v>6354RDSO-2582-801-MS19</v>
          </cell>
          <cell r="D503" t="str">
            <v>6354RDSO</v>
          </cell>
          <cell r="E503" t="str">
            <v>6354RDSO 2011 STCC 5" X300U C MTC ALP RH</v>
          </cell>
          <cell r="F503" t="str">
            <v>DG-HOLSTER-RDS-DTC</v>
          </cell>
          <cell r="G503" t="str">
            <v>1420-210-FG</v>
          </cell>
          <cell r="H503" t="str">
            <v>F</v>
          </cell>
          <cell r="I503" t="str">
            <v>06/10/2024</v>
          </cell>
          <cell r="J503" t="str">
            <v>06/10/2024</v>
          </cell>
          <cell r="K503" t="str">
            <v>06/17/2024</v>
          </cell>
          <cell r="L503">
            <v>5</v>
          </cell>
          <cell r="M503" t="str">
            <v/>
          </cell>
          <cell r="N503" t="str">
            <v>25</v>
          </cell>
          <cell r="O503">
            <v>5</v>
          </cell>
          <cell r="P503">
            <v>2</v>
          </cell>
        </row>
        <row r="504">
          <cell r="A504" t="str">
            <v>6727214</v>
          </cell>
          <cell r="B504" t="str">
            <v>1335134</v>
          </cell>
          <cell r="C504" t="str">
            <v>6354RDSO-2582-702-MS19</v>
          </cell>
          <cell r="D504" t="str">
            <v>6354RDSO</v>
          </cell>
          <cell r="E504" t="str">
            <v>6354RDSO 2011 STCC 5" X300U COR MCM LH</v>
          </cell>
          <cell r="F504" t="str">
            <v>DG-HOLSTER-RDS-DTC</v>
          </cell>
          <cell r="G504" t="str">
            <v>1420-210-FG</v>
          </cell>
          <cell r="H504" t="str">
            <v>F</v>
          </cell>
          <cell r="I504" t="str">
            <v>06/10/2024</v>
          </cell>
          <cell r="J504" t="str">
            <v>06/10/2024</v>
          </cell>
          <cell r="K504" t="str">
            <v>06/17/2024</v>
          </cell>
          <cell r="L504">
            <v>6</v>
          </cell>
          <cell r="M504" t="str">
            <v/>
          </cell>
          <cell r="N504" t="str">
            <v>25</v>
          </cell>
          <cell r="O504">
            <v>6</v>
          </cell>
          <cell r="P504">
            <v>2.4</v>
          </cell>
        </row>
        <row r="505">
          <cell r="A505" t="str">
            <v>6727143</v>
          </cell>
          <cell r="B505" t="str">
            <v>1335133</v>
          </cell>
          <cell r="C505" t="str">
            <v>6354RDSO-2582-701-MS19</v>
          </cell>
          <cell r="D505" t="str">
            <v>6354RDSO</v>
          </cell>
          <cell r="E505" t="str">
            <v>6354RDSO 2011 STCC 5" X300U COR MCM RH</v>
          </cell>
          <cell r="F505" t="str">
            <v>DG-HOLSTER-RDS-DTC</v>
          </cell>
          <cell r="G505" t="str">
            <v>1420-210-FG</v>
          </cell>
          <cell r="H505" t="str">
            <v>F</v>
          </cell>
          <cell r="I505" t="str">
            <v>06/10/2024</v>
          </cell>
          <cell r="J505" t="str">
            <v>06/10/2024</v>
          </cell>
          <cell r="K505" t="str">
            <v>06/17/2024</v>
          </cell>
          <cell r="L505">
            <v>69</v>
          </cell>
          <cell r="M505" t="str">
            <v/>
          </cell>
          <cell r="N505" t="str">
            <v>25</v>
          </cell>
          <cell r="O505">
            <v>69</v>
          </cell>
          <cell r="P505">
            <v>27.6</v>
          </cell>
        </row>
        <row r="506">
          <cell r="A506" t="str">
            <v>6727220</v>
          </cell>
          <cell r="B506" t="str">
            <v>1335198</v>
          </cell>
          <cell r="C506" t="str">
            <v>6354RDSO-2582-132-MS19</v>
          </cell>
          <cell r="D506" t="str">
            <v>6354RDSO</v>
          </cell>
          <cell r="E506" t="str">
            <v>6354RDSO 2011 STCC 5"X300U STX TAC BLKLH</v>
          </cell>
          <cell r="F506" t="str">
            <v>DG-HOLSTER-RDS-DTC</v>
          </cell>
          <cell r="G506" t="str">
            <v>1420-210-FG</v>
          </cell>
          <cell r="H506" t="str">
            <v>F</v>
          </cell>
          <cell r="I506" t="str">
            <v>06/10/2024</v>
          </cell>
          <cell r="J506" t="str">
            <v>06/10/2024</v>
          </cell>
          <cell r="K506" t="str">
            <v>06/17/2024</v>
          </cell>
          <cell r="L506">
            <v>5</v>
          </cell>
          <cell r="M506" t="str">
            <v/>
          </cell>
          <cell r="N506" t="str">
            <v>25</v>
          </cell>
          <cell r="O506">
            <v>5</v>
          </cell>
          <cell r="P506">
            <v>2</v>
          </cell>
        </row>
        <row r="507">
          <cell r="A507" t="str">
            <v>6723884</v>
          </cell>
          <cell r="B507" t="str">
            <v>1335034</v>
          </cell>
          <cell r="C507" t="str">
            <v>6354RDSO-832-251-MS19</v>
          </cell>
          <cell r="D507" t="str">
            <v>6354RDSO</v>
          </cell>
          <cell r="E507" t="str">
            <v>6354RDSO GLK 17MOS X300U CR ARID MCAM RH</v>
          </cell>
          <cell r="F507" t="str">
            <v>DG-HOLSTER-RDS-DTC</v>
          </cell>
          <cell r="G507" t="str">
            <v>1420-210-FG</v>
          </cell>
          <cell r="H507" t="str">
            <v>R</v>
          </cell>
          <cell r="I507" t="str">
            <v>06/03/2024</v>
          </cell>
          <cell r="J507" t="str">
            <v>06/03/2024</v>
          </cell>
          <cell r="K507" t="str">
            <v>06/17/2024</v>
          </cell>
          <cell r="L507">
            <v>5</v>
          </cell>
          <cell r="M507" t="str">
            <v>6/6/2024 10:08:46 AM</v>
          </cell>
          <cell r="N507" t="str">
            <v>25</v>
          </cell>
          <cell r="O507">
            <v>5</v>
          </cell>
          <cell r="P507">
            <v>2.17</v>
          </cell>
        </row>
        <row r="508">
          <cell r="A508" t="str">
            <v>6727225</v>
          </cell>
          <cell r="B508" t="str">
            <v>1335269</v>
          </cell>
          <cell r="C508" t="str">
            <v>6354RDSO-832-E992-MS19</v>
          </cell>
          <cell r="D508" t="str">
            <v>6354RDSO</v>
          </cell>
          <cell r="E508" t="str">
            <v>6354RDSO GLK 17MOS X300U CR KTK HLD LH</v>
          </cell>
          <cell r="F508" t="str">
            <v>DG-HOLSTER-RDS-DTC</v>
          </cell>
          <cell r="G508" t="str">
            <v>1420-210-FG</v>
          </cell>
          <cell r="H508" t="str">
            <v>F</v>
          </cell>
          <cell r="I508" t="str">
            <v>06/10/2024</v>
          </cell>
          <cell r="J508" t="str">
            <v>06/10/2024</v>
          </cell>
          <cell r="K508" t="str">
            <v>06/17/2024</v>
          </cell>
          <cell r="L508">
            <v>1</v>
          </cell>
          <cell r="M508" t="str">
            <v/>
          </cell>
          <cell r="N508" t="str">
            <v>25</v>
          </cell>
          <cell r="O508">
            <v>1</v>
          </cell>
          <cell r="P508">
            <v>0.43</v>
          </cell>
        </row>
        <row r="509">
          <cell r="A509" t="str">
            <v>6727224</v>
          </cell>
          <cell r="B509" t="str">
            <v>1335268</v>
          </cell>
          <cell r="C509" t="str">
            <v>6354RDSO-832-E991-MS19</v>
          </cell>
          <cell r="D509" t="str">
            <v>6354RDSO</v>
          </cell>
          <cell r="E509" t="str">
            <v>6354RDSO GLK 17MOS X300U CR KTK HLD RH</v>
          </cell>
          <cell r="F509" t="str">
            <v>DG-HOLSTER-RDS-DTC</v>
          </cell>
          <cell r="G509" t="str">
            <v>1420-210-FG</v>
          </cell>
          <cell r="H509" t="str">
            <v>F</v>
          </cell>
          <cell r="I509" t="str">
            <v>06/10/2024</v>
          </cell>
          <cell r="J509" t="str">
            <v>06/10/2024</v>
          </cell>
          <cell r="K509" t="str">
            <v>06/17/2024</v>
          </cell>
          <cell r="L509">
            <v>10</v>
          </cell>
          <cell r="M509" t="str">
            <v/>
          </cell>
          <cell r="N509" t="str">
            <v>25</v>
          </cell>
          <cell r="O509">
            <v>10</v>
          </cell>
          <cell r="P509">
            <v>4.33</v>
          </cell>
        </row>
        <row r="510">
          <cell r="A510" t="str">
            <v>6727241</v>
          </cell>
          <cell r="B510" t="str">
            <v>1335624</v>
          </cell>
          <cell r="C510" t="str">
            <v>6354RDSO-832-802-MS19</v>
          </cell>
          <cell r="D510" t="str">
            <v>6354RDSO</v>
          </cell>
          <cell r="E510" t="str">
            <v>6354RDSO GLK 17MOS X300U CR MTCM ALPN LH</v>
          </cell>
          <cell r="F510" t="str">
            <v>DG-HOLSTER-RDS-DTC</v>
          </cell>
          <cell r="G510" t="str">
            <v>1420-210-FG</v>
          </cell>
          <cell r="H510" t="str">
            <v>F</v>
          </cell>
          <cell r="I510" t="str">
            <v>06/10/2024</v>
          </cell>
          <cell r="J510" t="str">
            <v>06/10/2024</v>
          </cell>
          <cell r="K510" t="str">
            <v>06/17/2024</v>
          </cell>
          <cell r="L510">
            <v>10</v>
          </cell>
          <cell r="M510" t="str">
            <v/>
          </cell>
          <cell r="N510" t="str">
            <v>25</v>
          </cell>
          <cell r="O510">
            <v>10</v>
          </cell>
          <cell r="P510">
            <v>4.33</v>
          </cell>
        </row>
        <row r="511">
          <cell r="A511" t="str">
            <v>6727199</v>
          </cell>
          <cell r="B511" t="str">
            <v>1334858</v>
          </cell>
          <cell r="C511" t="str">
            <v>6354RDSO-2832-711-MS19</v>
          </cell>
          <cell r="D511" t="str">
            <v>6354RDSO</v>
          </cell>
          <cell r="E511" t="str">
            <v>6354RDSO GLK 19MOS X300U CR BLK MCAM RH</v>
          </cell>
          <cell r="F511" t="str">
            <v>DG-HOLSTER-RDS-DTC</v>
          </cell>
          <cell r="G511" t="str">
            <v>1420-210-FG</v>
          </cell>
          <cell r="H511" t="str">
            <v>F</v>
          </cell>
          <cell r="I511" t="str">
            <v>06/10/2024</v>
          </cell>
          <cell r="J511" t="str">
            <v>06/10/2024</v>
          </cell>
          <cell r="K511" t="str">
            <v>06/17/2024</v>
          </cell>
          <cell r="L511">
            <v>10</v>
          </cell>
          <cell r="M511" t="str">
            <v/>
          </cell>
          <cell r="N511" t="str">
            <v>25</v>
          </cell>
          <cell r="O511">
            <v>10</v>
          </cell>
          <cell r="P511">
            <v>4.33</v>
          </cell>
        </row>
        <row r="512">
          <cell r="A512" t="str">
            <v>6724797</v>
          </cell>
          <cell r="B512" t="str">
            <v>1335634</v>
          </cell>
          <cell r="C512" t="str">
            <v>6354RDSO-8328-131-MS19</v>
          </cell>
          <cell r="D512" t="str">
            <v>6354RDSO</v>
          </cell>
          <cell r="E512" t="str">
            <v>6354RDSO GLOCK 17MOS TLR-8 STX TACBLK RH</v>
          </cell>
          <cell r="F512" t="str">
            <v>DG-HOLSTER-RDS</v>
          </cell>
          <cell r="G512" t="str">
            <v>1420-210-FG</v>
          </cell>
          <cell r="H512" t="str">
            <v>R</v>
          </cell>
          <cell r="I512" t="str">
            <v>06/04/2024</v>
          </cell>
          <cell r="J512" t="str">
            <v>06/06/2024</v>
          </cell>
          <cell r="K512" t="str">
            <v>06/17/2024</v>
          </cell>
          <cell r="L512">
            <v>5</v>
          </cell>
          <cell r="M512" t="str">
            <v>6/6/2024 10:08:46 AM</v>
          </cell>
          <cell r="N512" t="str">
            <v>25</v>
          </cell>
          <cell r="O512">
            <v>5</v>
          </cell>
          <cell r="P512">
            <v>2.17</v>
          </cell>
        </row>
        <row r="513">
          <cell r="A513" t="str">
            <v>6723705</v>
          </cell>
          <cell r="B513" t="str">
            <v>1334277</v>
          </cell>
          <cell r="C513" t="str">
            <v>6354RDSO-832-711-MS19</v>
          </cell>
          <cell r="D513" t="str">
            <v>6354RDSO</v>
          </cell>
          <cell r="E513" t="str">
            <v>6354RDSO GLOCK 17MOS X300U COR BKMCAM RH</v>
          </cell>
          <cell r="F513" t="str">
            <v>DG-HOLSTER-RDS</v>
          </cell>
          <cell r="G513" t="str">
            <v>1420-210-FG</v>
          </cell>
          <cell r="H513" t="str">
            <v>R</v>
          </cell>
          <cell r="I513" t="str">
            <v>06/03/2024</v>
          </cell>
          <cell r="J513" t="str">
            <v>06/03/2024</v>
          </cell>
          <cell r="K513" t="str">
            <v>06/17/2024</v>
          </cell>
          <cell r="L513">
            <v>7</v>
          </cell>
          <cell r="M513" t="str">
            <v>6/6/2024 10:15:40 AM</v>
          </cell>
          <cell r="N513" t="str">
            <v>25</v>
          </cell>
          <cell r="O513">
            <v>7</v>
          </cell>
          <cell r="P513">
            <v>3.03</v>
          </cell>
        </row>
        <row r="514">
          <cell r="A514" t="str">
            <v>6727200</v>
          </cell>
          <cell r="B514" t="str">
            <v>1334861</v>
          </cell>
          <cell r="C514" t="str">
            <v>6354RDSO-2832-741-MS19</v>
          </cell>
          <cell r="D514" t="str">
            <v>6354RDSO</v>
          </cell>
          <cell r="E514" t="str">
            <v>6354RDSO GLOCK 19MOS X300U COR CYTB RH</v>
          </cell>
          <cell r="F514" t="str">
            <v>DG-HOLSTER-RDS-DTC</v>
          </cell>
          <cell r="G514" t="str">
            <v>1420-210-FG</v>
          </cell>
          <cell r="H514" t="str">
            <v>F</v>
          </cell>
          <cell r="I514" t="str">
            <v>06/10/2024</v>
          </cell>
          <cell r="J514" t="str">
            <v>06/10/2024</v>
          </cell>
          <cell r="K514" t="str">
            <v>06/17/2024</v>
          </cell>
          <cell r="L514">
            <v>9</v>
          </cell>
          <cell r="M514" t="str">
            <v/>
          </cell>
          <cell r="N514" t="str">
            <v>25</v>
          </cell>
          <cell r="O514">
            <v>9</v>
          </cell>
          <cell r="P514">
            <v>3.9</v>
          </cell>
        </row>
        <row r="515">
          <cell r="A515" t="str">
            <v>6727103</v>
          </cell>
          <cell r="B515" t="str">
            <v>1334284</v>
          </cell>
          <cell r="C515" t="str">
            <v>6354RDSO-6832-711-MS19</v>
          </cell>
          <cell r="D515" t="str">
            <v>6354RDSO</v>
          </cell>
          <cell r="E515" t="str">
            <v>6354RDSO GLOCK 34/35 X300U COR BKMCAM RH</v>
          </cell>
          <cell r="F515" t="str">
            <v>DG-HOLSTER-RDS</v>
          </cell>
          <cell r="G515" t="str">
            <v>1420-210-FG</v>
          </cell>
          <cell r="H515" t="str">
            <v>F</v>
          </cell>
          <cell r="I515" t="str">
            <v>06/10/2024</v>
          </cell>
          <cell r="J515" t="str">
            <v>06/10/2024</v>
          </cell>
          <cell r="K515" t="str">
            <v>06/17/2024</v>
          </cell>
          <cell r="L515">
            <v>1</v>
          </cell>
          <cell r="M515" t="str">
            <v/>
          </cell>
          <cell r="N515" t="str">
            <v>25</v>
          </cell>
          <cell r="O515">
            <v>1</v>
          </cell>
          <cell r="P515">
            <v>0.4</v>
          </cell>
        </row>
        <row r="516">
          <cell r="A516" t="str">
            <v>6727114</v>
          </cell>
          <cell r="B516" t="str">
            <v>1334872</v>
          </cell>
          <cell r="C516" t="str">
            <v>6354RDSO-8972-781-MS19</v>
          </cell>
          <cell r="D516" t="str">
            <v>6354RDSO</v>
          </cell>
          <cell r="E516" t="str">
            <v>6354RDSO GLOCK 47 X300U COR BLK RH</v>
          </cell>
          <cell r="F516" t="str">
            <v>DG-HOLSTER-RDS</v>
          </cell>
          <cell r="G516" t="str">
            <v>1420-210-FG</v>
          </cell>
          <cell r="H516" t="str">
            <v>F</v>
          </cell>
          <cell r="I516" t="str">
            <v>06/10/2024</v>
          </cell>
          <cell r="J516" t="str">
            <v>06/10/2024</v>
          </cell>
          <cell r="K516" t="str">
            <v>06/17/2024</v>
          </cell>
          <cell r="L516">
            <v>3</v>
          </cell>
          <cell r="M516" t="str">
            <v/>
          </cell>
          <cell r="N516" t="str">
            <v>25</v>
          </cell>
          <cell r="O516">
            <v>3</v>
          </cell>
          <cell r="P516">
            <v>1.2</v>
          </cell>
        </row>
        <row r="517">
          <cell r="A517" t="str">
            <v>6727117</v>
          </cell>
          <cell r="B517" t="str">
            <v>1334875</v>
          </cell>
          <cell r="C517" t="str">
            <v>6354RDSO-8972-741-MS19</v>
          </cell>
          <cell r="D517" t="str">
            <v>6354RDSO</v>
          </cell>
          <cell r="E517" t="str">
            <v>6354RDSO GLOCK 47 X300U COR CYTB RH</v>
          </cell>
          <cell r="F517" t="str">
            <v>DG-HOLSTER-RDS</v>
          </cell>
          <cell r="G517" t="str">
            <v>1420-210-FG</v>
          </cell>
          <cell r="H517" t="str">
            <v>F</v>
          </cell>
          <cell r="I517" t="str">
            <v>06/10/2024</v>
          </cell>
          <cell r="J517" t="str">
            <v>06/10/2024</v>
          </cell>
          <cell r="K517" t="str">
            <v>06/17/2024</v>
          </cell>
          <cell r="L517">
            <v>3</v>
          </cell>
          <cell r="M517" t="str">
            <v/>
          </cell>
          <cell r="N517" t="str">
            <v>25</v>
          </cell>
          <cell r="O517">
            <v>3</v>
          </cell>
          <cell r="P517">
            <v>1.2</v>
          </cell>
        </row>
        <row r="518">
          <cell r="A518" t="str">
            <v>6727118</v>
          </cell>
          <cell r="B518" t="str">
            <v>1334876</v>
          </cell>
          <cell r="C518" t="str">
            <v>6354RDSO-8972-751-MS19</v>
          </cell>
          <cell r="D518" t="str">
            <v>6354RDSO</v>
          </cell>
          <cell r="E518" t="str">
            <v>6354RDSO GLOCK 47 X300U COR KHK RH</v>
          </cell>
          <cell r="F518" t="str">
            <v>DG-HOLSTER-RDS</v>
          </cell>
          <cell r="G518" t="str">
            <v>1420-210-FG</v>
          </cell>
          <cell r="H518" t="str">
            <v>F</v>
          </cell>
          <cell r="I518" t="str">
            <v>06/10/2024</v>
          </cell>
          <cell r="J518" t="str">
            <v>06/10/2024</v>
          </cell>
          <cell r="K518" t="str">
            <v>06/17/2024</v>
          </cell>
          <cell r="L518">
            <v>3</v>
          </cell>
          <cell r="M518" t="str">
            <v/>
          </cell>
          <cell r="N518" t="str">
            <v>25</v>
          </cell>
          <cell r="O518">
            <v>3</v>
          </cell>
          <cell r="P518">
            <v>1.2</v>
          </cell>
        </row>
        <row r="519">
          <cell r="A519" t="str">
            <v>6727122</v>
          </cell>
          <cell r="B519" t="str">
            <v>1334962</v>
          </cell>
          <cell r="C519" t="str">
            <v>6354RDSO-8972-251-MS19</v>
          </cell>
          <cell r="D519" t="str">
            <v>6354RDSO</v>
          </cell>
          <cell r="E519" t="str">
            <v>6354RDSO GLOCK 47 X300U CR ARID MLTCM RH</v>
          </cell>
          <cell r="F519" t="str">
            <v>DG-HOLSTER-RDS</v>
          </cell>
          <cell r="G519" t="str">
            <v>1420-210-FG</v>
          </cell>
          <cell r="H519" t="str">
            <v>F</v>
          </cell>
          <cell r="I519" t="str">
            <v>06/10/2024</v>
          </cell>
          <cell r="J519" t="str">
            <v>06/10/2024</v>
          </cell>
          <cell r="K519" t="str">
            <v>06/17/2024</v>
          </cell>
          <cell r="L519">
            <v>5</v>
          </cell>
          <cell r="M519" t="str">
            <v/>
          </cell>
          <cell r="N519" t="str">
            <v>25</v>
          </cell>
          <cell r="O519">
            <v>5</v>
          </cell>
          <cell r="P519">
            <v>2</v>
          </cell>
        </row>
        <row r="520">
          <cell r="A520" t="str">
            <v>6727113</v>
          </cell>
          <cell r="B520" t="str">
            <v>1334870</v>
          </cell>
          <cell r="C520" t="str">
            <v>6354RDSO-8972-711-MS19</v>
          </cell>
          <cell r="D520" t="str">
            <v>6354RDSO</v>
          </cell>
          <cell r="E520" t="str">
            <v>6354RDSO GLOCK 47 X300U CR BLK MLTCM RH</v>
          </cell>
          <cell r="F520" t="str">
            <v>DG-HOLSTER-RDS</v>
          </cell>
          <cell r="G520" t="str">
            <v>1420-210-FG</v>
          </cell>
          <cell r="H520" t="str">
            <v>F</v>
          </cell>
          <cell r="I520" t="str">
            <v>06/10/2024</v>
          </cell>
          <cell r="J520" t="str">
            <v>06/10/2024</v>
          </cell>
          <cell r="K520" t="str">
            <v>06/17/2024</v>
          </cell>
          <cell r="L520">
            <v>10</v>
          </cell>
          <cell r="M520" t="str">
            <v/>
          </cell>
          <cell r="N520" t="str">
            <v>25</v>
          </cell>
          <cell r="O520">
            <v>10</v>
          </cell>
          <cell r="P520">
            <v>4</v>
          </cell>
        </row>
        <row r="521">
          <cell r="A521" t="str">
            <v>6727116</v>
          </cell>
          <cell r="B521" t="str">
            <v>1334874</v>
          </cell>
          <cell r="C521" t="str">
            <v>6354RDSO-8972-731-MS19</v>
          </cell>
          <cell r="D521" t="str">
            <v>6354RDSO</v>
          </cell>
          <cell r="E521" t="str">
            <v>6354RDSO GLOCK 47 X300U CR CAM GRN RH</v>
          </cell>
          <cell r="F521" t="str">
            <v>DG-HOLSTER-RDS</v>
          </cell>
          <cell r="G521" t="str">
            <v>1420-210-FG</v>
          </cell>
          <cell r="H521" t="str">
            <v>F</v>
          </cell>
          <cell r="I521" t="str">
            <v>06/10/2024</v>
          </cell>
          <cell r="J521" t="str">
            <v>06/10/2024</v>
          </cell>
          <cell r="K521" t="str">
            <v>06/17/2024</v>
          </cell>
          <cell r="L521">
            <v>2</v>
          </cell>
          <cell r="M521" t="str">
            <v/>
          </cell>
          <cell r="N521" t="str">
            <v>25</v>
          </cell>
          <cell r="O521">
            <v>2</v>
          </cell>
          <cell r="P521">
            <v>0.8</v>
          </cell>
        </row>
        <row r="522">
          <cell r="A522" t="str">
            <v>6724793</v>
          </cell>
          <cell r="B522" t="str">
            <v>1334274</v>
          </cell>
          <cell r="C522" t="str">
            <v>6354RDSO-832-791-MS19</v>
          </cell>
          <cell r="D522" t="str">
            <v>6354RDSO</v>
          </cell>
          <cell r="E522" t="str">
            <v>6354RDSO GLOCK17MOS X300U COR TP MCAM RH</v>
          </cell>
          <cell r="F522" t="str">
            <v>DG-HOLSTER-RDS</v>
          </cell>
          <cell r="G522" t="str">
            <v>1420-210-FG</v>
          </cell>
          <cell r="H522" t="str">
            <v>R</v>
          </cell>
          <cell r="I522" t="str">
            <v>06/04/2024</v>
          </cell>
          <cell r="J522" t="str">
            <v>06/07/2024</v>
          </cell>
          <cell r="K522" t="str">
            <v>06/17/2024</v>
          </cell>
          <cell r="L522">
            <v>5</v>
          </cell>
          <cell r="M522" t="str">
            <v>6/6/2024 10:15:40 AM</v>
          </cell>
          <cell r="N522" t="str">
            <v>25</v>
          </cell>
          <cell r="O522">
            <v>5</v>
          </cell>
          <cell r="P522">
            <v>2.17</v>
          </cell>
        </row>
        <row r="523">
          <cell r="A523" t="str">
            <v>6727146</v>
          </cell>
          <cell r="B523" t="str">
            <v>1335404</v>
          </cell>
          <cell r="C523" t="str">
            <v>6354RDSO-582-701-MS19</v>
          </cell>
          <cell r="D523" t="str">
            <v>6354RDSO</v>
          </cell>
          <cell r="E523" t="str">
            <v>6354RDSO SA PRODIGY 4.25" X300U MLTCM RH</v>
          </cell>
          <cell r="F523" t="str">
            <v>DG-HOLSTER-RDS-DTC</v>
          </cell>
          <cell r="G523" t="str">
            <v>1420-210-FG</v>
          </cell>
          <cell r="H523" t="str">
            <v>F</v>
          </cell>
          <cell r="I523" t="str">
            <v>06/10/2024</v>
          </cell>
          <cell r="J523" t="str">
            <v>06/10/2024</v>
          </cell>
          <cell r="K523" t="str">
            <v>06/17/2024</v>
          </cell>
          <cell r="L523">
            <v>20</v>
          </cell>
          <cell r="M523" t="str">
            <v/>
          </cell>
          <cell r="N523" t="str">
            <v>25</v>
          </cell>
          <cell r="O523">
            <v>20</v>
          </cell>
          <cell r="P523">
            <v>8</v>
          </cell>
        </row>
        <row r="524">
          <cell r="A524" t="str">
            <v>6727237</v>
          </cell>
          <cell r="B524" t="str">
            <v>1335468</v>
          </cell>
          <cell r="C524" t="str">
            <v>6354RDSO-75227-701-MS19</v>
          </cell>
          <cell r="D524" t="str">
            <v>6354RDSO</v>
          </cell>
          <cell r="E524" t="str">
            <v>6354RDSO SIG P320C RX TLR7 COR MLTCM RH</v>
          </cell>
          <cell r="F524" t="str">
            <v>DG-HOLSTER-RDS-DTC</v>
          </cell>
          <cell r="G524" t="str">
            <v>1420-210-FG</v>
          </cell>
          <cell r="H524" t="str">
            <v>F</v>
          </cell>
          <cell r="I524" t="str">
            <v>06/10/2024</v>
          </cell>
          <cell r="J524" t="str">
            <v>06/10/2024</v>
          </cell>
          <cell r="K524" t="str">
            <v>06/17/2024</v>
          </cell>
          <cell r="L524">
            <v>5</v>
          </cell>
          <cell r="M524" t="str">
            <v/>
          </cell>
          <cell r="N524" t="str">
            <v>25</v>
          </cell>
          <cell r="O524">
            <v>5</v>
          </cell>
          <cell r="P524">
            <v>2.17</v>
          </cell>
        </row>
        <row r="525">
          <cell r="A525" t="str">
            <v>6724796</v>
          </cell>
          <cell r="B525" t="str">
            <v>1334838</v>
          </cell>
          <cell r="C525" t="str">
            <v>6354RDSO-7502-701-MS19</v>
          </cell>
          <cell r="D525" t="str">
            <v>6354RDSO</v>
          </cell>
          <cell r="E525" t="str">
            <v>6354RDSO SIG P320CRX X300U COR MLTCM RH</v>
          </cell>
          <cell r="F525" t="str">
            <v>DG-HOLSTER-RDS</v>
          </cell>
          <cell r="G525" t="str">
            <v>1420-210-FG</v>
          </cell>
          <cell r="H525" t="str">
            <v>R</v>
          </cell>
          <cell r="I525" t="str">
            <v>06/04/2024</v>
          </cell>
          <cell r="J525" t="str">
            <v>06/06/2024</v>
          </cell>
          <cell r="K525" t="str">
            <v>06/17/2024</v>
          </cell>
          <cell r="L525">
            <v>17</v>
          </cell>
          <cell r="M525" t="str">
            <v>6/6/2024 10:15:40 AM</v>
          </cell>
          <cell r="N525" t="str">
            <v>25</v>
          </cell>
          <cell r="O525">
            <v>17</v>
          </cell>
          <cell r="P525">
            <v>7.36</v>
          </cell>
        </row>
        <row r="526">
          <cell r="A526" t="str">
            <v>6727223</v>
          </cell>
          <cell r="B526" t="str">
            <v>1335245</v>
          </cell>
          <cell r="C526" t="str">
            <v>6354RDSO-45027-701-MS19</v>
          </cell>
          <cell r="D526" t="str">
            <v>6354RDSO</v>
          </cell>
          <cell r="E526" t="str">
            <v>6354RDSO SIG P320RX TLR-7 COR MLTCM RH</v>
          </cell>
          <cell r="F526" t="str">
            <v>DG-HOLSTER-RDS-DTC</v>
          </cell>
          <cell r="G526" t="str">
            <v>1420-210-FG</v>
          </cell>
          <cell r="H526" t="str">
            <v>F</v>
          </cell>
          <cell r="I526" t="str">
            <v>06/10/2024</v>
          </cell>
          <cell r="J526" t="str">
            <v>06/10/2024</v>
          </cell>
          <cell r="K526" t="str">
            <v>06/17/2024</v>
          </cell>
          <cell r="L526">
            <v>5</v>
          </cell>
          <cell r="M526" t="str">
            <v/>
          </cell>
          <cell r="N526" t="str">
            <v>25</v>
          </cell>
          <cell r="O526">
            <v>5</v>
          </cell>
          <cell r="P526">
            <v>2.17</v>
          </cell>
        </row>
        <row r="527">
          <cell r="A527" t="str">
            <v>6723871</v>
          </cell>
          <cell r="B527" t="str">
            <v>1334508</v>
          </cell>
          <cell r="C527" t="str">
            <v>6354RDSO-4502-701-MS19</v>
          </cell>
          <cell r="D527" t="str">
            <v>6354RDSO</v>
          </cell>
          <cell r="E527" t="str">
            <v>6354RDSO SIG P320RX X300U CORD MLTCM RH</v>
          </cell>
          <cell r="F527" t="str">
            <v>DG-HOLSTER-RDS-DTC</v>
          </cell>
          <cell r="G527" t="str">
            <v>1420-210-FG</v>
          </cell>
          <cell r="H527" t="str">
            <v>F</v>
          </cell>
          <cell r="I527" t="str">
            <v>06/03/2024</v>
          </cell>
          <cell r="J527" t="str">
            <v>06/03/2024</v>
          </cell>
          <cell r="K527" t="str">
            <v>06/17/2024</v>
          </cell>
          <cell r="L527">
            <v>30</v>
          </cell>
          <cell r="M527" t="str">
            <v/>
          </cell>
          <cell r="N527" t="str">
            <v>25</v>
          </cell>
          <cell r="O527">
            <v>30</v>
          </cell>
          <cell r="P527">
            <v>12.99</v>
          </cell>
        </row>
        <row r="528">
          <cell r="A528" t="str">
            <v>6727111</v>
          </cell>
          <cell r="B528" t="str">
            <v>1334864</v>
          </cell>
          <cell r="C528" t="str">
            <v>6354RDSO-7502-781-MS19</v>
          </cell>
          <cell r="D528" t="str">
            <v>6354RDSO</v>
          </cell>
          <cell r="E528" t="str">
            <v>6354RDSO SIGP320CRX X300U COR BLK RH</v>
          </cell>
          <cell r="F528" t="str">
            <v>DG-HOLSTER-RDS</v>
          </cell>
          <cell r="G528" t="str">
            <v>1420-210-FG</v>
          </cell>
          <cell r="H528" t="str">
            <v>F</v>
          </cell>
          <cell r="I528" t="str">
            <v>06/10/2024</v>
          </cell>
          <cell r="J528" t="str">
            <v>06/10/2024</v>
          </cell>
          <cell r="K528" t="str">
            <v>06/17/2024</v>
          </cell>
          <cell r="L528">
            <v>5</v>
          </cell>
          <cell r="M528" t="str">
            <v/>
          </cell>
          <cell r="N528" t="str">
            <v>25</v>
          </cell>
          <cell r="O528">
            <v>5</v>
          </cell>
          <cell r="P528">
            <v>2.17</v>
          </cell>
        </row>
        <row r="529">
          <cell r="A529" t="str">
            <v>6723713</v>
          </cell>
          <cell r="B529" t="str">
            <v>1334848</v>
          </cell>
          <cell r="C529" t="str">
            <v>6354RDSO-7502-721-MS19</v>
          </cell>
          <cell r="D529" t="str">
            <v>6354RDSO</v>
          </cell>
          <cell r="E529" t="str">
            <v>6354RDSO SIGP320CRX X300U COR OD RGRN RH</v>
          </cell>
          <cell r="F529" t="str">
            <v>DG-HOLSTER-RDS</v>
          </cell>
          <cell r="G529" t="str">
            <v>1420-210-FG</v>
          </cell>
          <cell r="H529" t="str">
            <v>R</v>
          </cell>
          <cell r="I529" t="str">
            <v>06/03/2024</v>
          </cell>
          <cell r="J529" t="str">
            <v>06/03/2024</v>
          </cell>
          <cell r="K529" t="str">
            <v>06/17/2024</v>
          </cell>
          <cell r="L529">
            <v>5</v>
          </cell>
          <cell r="M529" t="str">
            <v>6/6/2024 10:15:40 AM</v>
          </cell>
          <cell r="N529" t="str">
            <v>25</v>
          </cell>
          <cell r="O529">
            <v>5</v>
          </cell>
          <cell r="P529">
            <v>2.17</v>
          </cell>
        </row>
        <row r="530">
          <cell r="A530" t="str">
            <v>6727110</v>
          </cell>
          <cell r="B530" t="str">
            <v>1334850</v>
          </cell>
          <cell r="C530" t="str">
            <v>6354RDSO-7502-251-MS19</v>
          </cell>
          <cell r="D530" t="str">
            <v>6354RDSO</v>
          </cell>
          <cell r="E530" t="str">
            <v>6354RDSO SIGP320CRX X300U CR ARID MCM RH</v>
          </cell>
          <cell r="F530" t="str">
            <v>DG-HOLSTER-RDS</v>
          </cell>
          <cell r="G530" t="str">
            <v>1420-210-FG</v>
          </cell>
          <cell r="H530" t="str">
            <v>F</v>
          </cell>
          <cell r="I530" t="str">
            <v>06/10/2024</v>
          </cell>
          <cell r="J530" t="str">
            <v>06/10/2024</v>
          </cell>
          <cell r="K530" t="str">
            <v>06/17/2024</v>
          </cell>
          <cell r="L530">
            <v>10</v>
          </cell>
          <cell r="M530" t="str">
            <v/>
          </cell>
          <cell r="N530" t="str">
            <v>25</v>
          </cell>
          <cell r="O530">
            <v>10</v>
          </cell>
          <cell r="P530">
            <v>4.33</v>
          </cell>
        </row>
        <row r="531">
          <cell r="A531" t="str">
            <v>6724852</v>
          </cell>
          <cell r="B531" t="str">
            <v>1334518</v>
          </cell>
          <cell r="C531" t="str">
            <v>6354RDSO-4502-721-MS19</v>
          </cell>
          <cell r="D531" t="str">
            <v>6354RDSO</v>
          </cell>
          <cell r="E531" t="str">
            <v>6354RDSO SIGP320RX X300U COR OD RGRN RH</v>
          </cell>
          <cell r="F531" t="str">
            <v>DG-HOLSTER-RDS-DTC</v>
          </cell>
          <cell r="G531" t="str">
            <v>1420-210-FG</v>
          </cell>
          <cell r="H531" t="str">
            <v>R</v>
          </cell>
          <cell r="I531" t="str">
            <v>06/04/2024</v>
          </cell>
          <cell r="J531" t="str">
            <v>06/10/2024</v>
          </cell>
          <cell r="K531" t="str">
            <v>06/17/2024</v>
          </cell>
          <cell r="L531">
            <v>5</v>
          </cell>
          <cell r="M531" t="str">
            <v>6/6/2024 10:15:40 AM</v>
          </cell>
          <cell r="N531" t="str">
            <v>25</v>
          </cell>
          <cell r="O531">
            <v>5</v>
          </cell>
          <cell r="P531">
            <v>2.17</v>
          </cell>
        </row>
        <row r="532">
          <cell r="A532" t="str">
            <v>6727248</v>
          </cell>
          <cell r="B532" t="str">
            <v>1335901</v>
          </cell>
          <cell r="C532" t="str">
            <v>6354RDSO-1582-801-MS19</v>
          </cell>
          <cell r="D532" t="str">
            <v>6354RDSO</v>
          </cell>
          <cell r="E532" t="str">
            <v>6354RDSO STI STACC P4.4"X300U MTC ALP RH</v>
          </cell>
          <cell r="F532" t="str">
            <v>DG-HOLSTER-RDS-DTC</v>
          </cell>
          <cell r="G532" t="str">
            <v>1420-210-FG</v>
          </cell>
          <cell r="H532" t="str">
            <v>F</v>
          </cell>
          <cell r="I532" t="str">
            <v>06/10/2024</v>
          </cell>
          <cell r="J532" t="str">
            <v>06/10/2024</v>
          </cell>
          <cell r="K532" t="str">
            <v>06/17/2024</v>
          </cell>
          <cell r="L532">
            <v>5</v>
          </cell>
          <cell r="M532" t="str">
            <v/>
          </cell>
          <cell r="N532" t="str">
            <v>25</v>
          </cell>
          <cell r="O532">
            <v>5</v>
          </cell>
          <cell r="P532">
            <v>2</v>
          </cell>
        </row>
        <row r="533">
          <cell r="A533" t="str">
            <v>6727145</v>
          </cell>
          <cell r="B533" t="str">
            <v>1335346</v>
          </cell>
          <cell r="C533" t="str">
            <v>6354RDSO-1582-701-MS19</v>
          </cell>
          <cell r="D533" t="str">
            <v>6354RDSO</v>
          </cell>
          <cell r="E533" t="str">
            <v>6354RDSO STI STACCP 4.4"X300U MLTCM RH</v>
          </cell>
          <cell r="F533" t="str">
            <v>DG-HOLSTER-RDS-DTC</v>
          </cell>
          <cell r="G533" t="str">
            <v>1420-210-FG</v>
          </cell>
          <cell r="H533" t="str">
            <v>F</v>
          </cell>
          <cell r="I533" t="str">
            <v>06/10/2024</v>
          </cell>
          <cell r="J533" t="str">
            <v>06/10/2024</v>
          </cell>
          <cell r="K533" t="str">
            <v>06/17/2024</v>
          </cell>
          <cell r="L533">
            <v>21</v>
          </cell>
          <cell r="M533" t="str">
            <v/>
          </cell>
          <cell r="N533" t="str">
            <v>25</v>
          </cell>
          <cell r="O533">
            <v>21</v>
          </cell>
          <cell r="P533">
            <v>8.4</v>
          </cell>
        </row>
        <row r="534">
          <cell r="A534" t="str">
            <v>6726824</v>
          </cell>
          <cell r="B534" t="str">
            <v>1122924</v>
          </cell>
          <cell r="C534" t="str">
            <v>6360-180-61</v>
          </cell>
          <cell r="D534" t="str">
            <v>6360</v>
          </cell>
          <cell r="E534" t="str">
            <v>6360 BERETTA PX4 PLN BLK RH</v>
          </cell>
          <cell r="F534" t="str">
            <v>DG-HOLSTER</v>
          </cell>
          <cell r="G534" t="str">
            <v>1420-210-FG</v>
          </cell>
          <cell r="H534" t="str">
            <v>F</v>
          </cell>
          <cell r="I534" t="str">
            <v>06/10/2024</v>
          </cell>
          <cell r="J534" t="str">
            <v>06/10/2024</v>
          </cell>
          <cell r="K534" t="str">
            <v>06/17/2024</v>
          </cell>
          <cell r="L534">
            <v>10</v>
          </cell>
          <cell r="M534" t="str">
            <v/>
          </cell>
          <cell r="N534" t="str">
            <v>25</v>
          </cell>
          <cell r="O534">
            <v>10</v>
          </cell>
          <cell r="P534">
            <v>2.4700000000000002</v>
          </cell>
        </row>
        <row r="535">
          <cell r="A535" t="str">
            <v>6726826</v>
          </cell>
          <cell r="B535" t="str">
            <v>1123744</v>
          </cell>
          <cell r="C535" t="str">
            <v>6360-53-131</v>
          </cell>
          <cell r="D535" t="str">
            <v>6360</v>
          </cell>
          <cell r="E535" t="str">
            <v>6360 COLT 1911 STX TAC BLK RH</v>
          </cell>
          <cell r="F535" t="str">
            <v>DG-HOLSTER</v>
          </cell>
          <cell r="G535" t="str">
            <v>1420-210-FG</v>
          </cell>
          <cell r="H535" t="str">
            <v>F</v>
          </cell>
          <cell r="I535" t="str">
            <v>06/10/2024</v>
          </cell>
          <cell r="J535" t="str">
            <v>06/10/2024</v>
          </cell>
          <cell r="K535" t="str">
            <v>06/17/2024</v>
          </cell>
          <cell r="L535">
            <v>10</v>
          </cell>
          <cell r="M535" t="str">
            <v/>
          </cell>
          <cell r="N535" t="str">
            <v>25</v>
          </cell>
          <cell r="O535">
            <v>10</v>
          </cell>
          <cell r="P535">
            <v>2.34</v>
          </cell>
        </row>
        <row r="536">
          <cell r="A536" t="str">
            <v>6726092</v>
          </cell>
          <cell r="B536" t="str">
            <v>1208503</v>
          </cell>
          <cell r="C536" t="str">
            <v>6360-8325-61</v>
          </cell>
          <cell r="D536" t="str">
            <v>6360</v>
          </cell>
          <cell r="E536" t="str">
            <v>6360 GLOCK 17 GEN5 X300U PLN BLK RH</v>
          </cell>
          <cell r="F536" t="str">
            <v>DG-HOLSTER-DTC</v>
          </cell>
          <cell r="G536" t="str">
            <v>1420-210-FG</v>
          </cell>
          <cell r="H536" t="str">
            <v>F</v>
          </cell>
          <cell r="I536" t="str">
            <v>06/07/2024</v>
          </cell>
          <cell r="J536" t="str">
            <v>06/07/2024</v>
          </cell>
          <cell r="K536" t="str">
            <v>06/17/2024</v>
          </cell>
          <cell r="L536">
            <v>6</v>
          </cell>
          <cell r="M536" t="str">
            <v/>
          </cell>
          <cell r="N536" t="str">
            <v>25</v>
          </cell>
          <cell r="O536">
            <v>6</v>
          </cell>
          <cell r="P536">
            <v>2</v>
          </cell>
        </row>
        <row r="537">
          <cell r="A537" t="str">
            <v>6724314</v>
          </cell>
          <cell r="B537" t="str">
            <v>1120861</v>
          </cell>
          <cell r="C537" t="str">
            <v>6360-83-491</v>
          </cell>
          <cell r="D537" t="str">
            <v>6360</v>
          </cell>
          <cell r="E537" t="str">
            <v>6360 GLOCK 17/22 STX HGS BLK RH</v>
          </cell>
          <cell r="F537" t="str">
            <v>DG-HOLSTER-DTC</v>
          </cell>
          <cell r="G537" t="str">
            <v>1420-210-FG</v>
          </cell>
          <cell r="H537" t="str">
            <v>R</v>
          </cell>
          <cell r="I537" t="str">
            <v>06/04/2024</v>
          </cell>
          <cell r="J537" t="str">
            <v>06/04/2024</v>
          </cell>
          <cell r="K537" t="str">
            <v>06/17/2024</v>
          </cell>
          <cell r="L537">
            <v>5</v>
          </cell>
          <cell r="M537" t="str">
            <v>6/6/2024 9:51:41 AM</v>
          </cell>
          <cell r="N537" t="str">
            <v>25</v>
          </cell>
          <cell r="O537">
            <v>5</v>
          </cell>
          <cell r="P537">
            <v>1.1499999999999999</v>
          </cell>
        </row>
        <row r="538">
          <cell r="A538" t="str">
            <v>6724315</v>
          </cell>
          <cell r="B538" t="str">
            <v>1123629</v>
          </cell>
          <cell r="C538" t="str">
            <v>6360-832-412</v>
          </cell>
          <cell r="D538" t="str">
            <v>6360</v>
          </cell>
          <cell r="E538" t="str">
            <v>6360 GLOCK 17/22 X300U STX PLN BLK LH</v>
          </cell>
          <cell r="F538" t="str">
            <v>DG-HOLSTER-DTC</v>
          </cell>
          <cell r="G538" t="str">
            <v>1420-210-FG</v>
          </cell>
          <cell r="H538" t="str">
            <v>R</v>
          </cell>
          <cell r="I538" t="str">
            <v>06/04/2024</v>
          </cell>
          <cell r="J538" t="str">
            <v>06/04/2024</v>
          </cell>
          <cell r="K538" t="str">
            <v>06/17/2024</v>
          </cell>
          <cell r="L538">
            <v>10</v>
          </cell>
          <cell r="M538" t="str">
            <v>6/6/2024 9:47:12 AM</v>
          </cell>
          <cell r="N538" t="str">
            <v>25</v>
          </cell>
          <cell r="O538">
            <v>10</v>
          </cell>
          <cell r="P538">
            <v>4.08</v>
          </cell>
        </row>
        <row r="539">
          <cell r="A539" t="str">
            <v>6724318</v>
          </cell>
          <cell r="B539" t="str">
            <v>1123886</v>
          </cell>
          <cell r="C539" t="str">
            <v>6360-832-132</v>
          </cell>
          <cell r="D539" t="str">
            <v>6360</v>
          </cell>
          <cell r="E539" t="str">
            <v>6360 GLOCK 17/22 X300U STX TAC BLK LH</v>
          </cell>
          <cell r="F539" t="str">
            <v>DG-HOLSTER-DTC</v>
          </cell>
          <cell r="G539" t="str">
            <v>1420-210-FG</v>
          </cell>
          <cell r="H539" t="str">
            <v>R</v>
          </cell>
          <cell r="I539" t="str">
            <v>06/04/2024</v>
          </cell>
          <cell r="J539" t="str">
            <v>06/04/2024</v>
          </cell>
          <cell r="K539" t="str">
            <v>06/17/2024</v>
          </cell>
          <cell r="L539">
            <v>10</v>
          </cell>
          <cell r="M539" t="str">
            <v>6/6/2024 8:59:08 AM</v>
          </cell>
          <cell r="N539" t="str">
            <v>25</v>
          </cell>
          <cell r="O539">
            <v>10</v>
          </cell>
          <cell r="P539">
            <v>4.08</v>
          </cell>
        </row>
        <row r="540">
          <cell r="A540" t="str">
            <v>6724670</v>
          </cell>
          <cell r="B540" t="str">
            <v>1131997</v>
          </cell>
          <cell r="C540" t="str">
            <v>6360-283-412</v>
          </cell>
          <cell r="D540" t="str">
            <v>6360</v>
          </cell>
          <cell r="E540" t="str">
            <v>6360 GLOCK 19/23 STX PLN BLK LH</v>
          </cell>
          <cell r="F540" t="str">
            <v>DG-HOLSTER-DTC</v>
          </cell>
          <cell r="G540" t="str">
            <v>1420-210-FG</v>
          </cell>
          <cell r="H540" t="str">
            <v>R</v>
          </cell>
          <cell r="I540" t="str">
            <v>06/04/2024</v>
          </cell>
          <cell r="J540" t="str">
            <v>06/07/2024</v>
          </cell>
          <cell r="K540" t="str">
            <v>06/17/2024</v>
          </cell>
          <cell r="L540">
            <v>5</v>
          </cell>
          <cell r="M540" t="str">
            <v>6/6/2024 9:47:12 AM</v>
          </cell>
          <cell r="N540" t="str">
            <v>25</v>
          </cell>
          <cell r="O540">
            <v>5</v>
          </cell>
          <cell r="P540">
            <v>1.33</v>
          </cell>
        </row>
        <row r="541">
          <cell r="A541" t="str">
            <v>6724713</v>
          </cell>
          <cell r="B541" t="str">
            <v>1130666</v>
          </cell>
          <cell r="C541" t="str">
            <v>6360-283-411</v>
          </cell>
          <cell r="D541" t="str">
            <v>6360</v>
          </cell>
          <cell r="E541" t="str">
            <v>6360 GLOCK 19/23 STX PLN BLK RH</v>
          </cell>
          <cell r="F541" t="str">
            <v>DG-HOLSTER-DTC</v>
          </cell>
          <cell r="G541" t="str">
            <v>1420-210-FG</v>
          </cell>
          <cell r="H541" t="str">
            <v>R</v>
          </cell>
          <cell r="I541" t="str">
            <v>06/04/2024</v>
          </cell>
          <cell r="J541" t="str">
            <v>06/07/2024</v>
          </cell>
          <cell r="K541" t="str">
            <v>06/17/2024</v>
          </cell>
          <cell r="L541">
            <v>30</v>
          </cell>
          <cell r="M541" t="str">
            <v>6/6/2024 9:47:12 AM</v>
          </cell>
          <cell r="N541" t="str">
            <v>25</v>
          </cell>
          <cell r="O541">
            <v>30</v>
          </cell>
          <cell r="P541">
            <v>7.98</v>
          </cell>
        </row>
        <row r="542">
          <cell r="A542" t="str">
            <v>6724658</v>
          </cell>
          <cell r="B542" t="str">
            <v>1121177</v>
          </cell>
          <cell r="C542" t="str">
            <v>6360-283-132</v>
          </cell>
          <cell r="D542" t="str">
            <v>6360</v>
          </cell>
          <cell r="E542" t="str">
            <v>6360 GLOCK 19/23 STX TAC BLK LH</v>
          </cell>
          <cell r="F542" t="str">
            <v>DG-HOLSTER-DTC</v>
          </cell>
          <cell r="G542" t="str">
            <v>1420-210-FG</v>
          </cell>
          <cell r="H542" t="str">
            <v>R</v>
          </cell>
          <cell r="I542" t="str">
            <v>06/04/2024</v>
          </cell>
          <cell r="J542" t="str">
            <v>06/07/2024</v>
          </cell>
          <cell r="K542" t="str">
            <v>06/17/2024</v>
          </cell>
          <cell r="L542">
            <v>10</v>
          </cell>
          <cell r="M542" t="str">
            <v>6/6/2024 8:59:08 AM</v>
          </cell>
          <cell r="N542" t="str">
            <v>25</v>
          </cell>
          <cell r="O542">
            <v>10</v>
          </cell>
          <cell r="P542">
            <v>2.67</v>
          </cell>
        </row>
        <row r="543">
          <cell r="A543" t="str">
            <v>6726927</v>
          </cell>
          <cell r="B543" t="str">
            <v>1137613</v>
          </cell>
          <cell r="C543" t="str">
            <v>6360-2832-131-2</v>
          </cell>
          <cell r="D543" t="str">
            <v>6360</v>
          </cell>
          <cell r="E543" t="str">
            <v>6360 GLOCK 19/23 X300U STX TAC BLK RH</v>
          </cell>
          <cell r="F543" t="str">
            <v>DG-HOLSTER-DTC</v>
          </cell>
          <cell r="G543" t="str">
            <v>1420-210-FG</v>
          </cell>
          <cell r="H543" t="str">
            <v>F</v>
          </cell>
          <cell r="I543" t="str">
            <v>06/10/2024</v>
          </cell>
          <cell r="J543" t="str">
            <v>06/10/2024</v>
          </cell>
          <cell r="K543" t="str">
            <v>06/17/2024</v>
          </cell>
          <cell r="L543">
            <v>20</v>
          </cell>
          <cell r="M543" t="str">
            <v/>
          </cell>
          <cell r="N543" t="str">
            <v>25</v>
          </cell>
          <cell r="O543">
            <v>20</v>
          </cell>
          <cell r="P543">
            <v>8.15</v>
          </cell>
        </row>
        <row r="544">
          <cell r="A544" t="str">
            <v>6726823</v>
          </cell>
          <cell r="B544" t="str">
            <v>1121621</v>
          </cell>
          <cell r="C544" t="str">
            <v>6360-383-92</v>
          </cell>
          <cell r="D544" t="str">
            <v>6360</v>
          </cell>
          <cell r="E544" t="str">
            <v>6360 GLOCK 20/21 HGS BLK LH</v>
          </cell>
          <cell r="F544" t="str">
            <v>DG-HOLSTER</v>
          </cell>
          <cell r="G544" t="str">
            <v>1420-210-FG</v>
          </cell>
          <cell r="H544" t="str">
            <v>F</v>
          </cell>
          <cell r="I544" t="str">
            <v>06/10/2024</v>
          </cell>
          <cell r="J544" t="str">
            <v>06/10/2024</v>
          </cell>
          <cell r="K544" t="str">
            <v>06/17/2024</v>
          </cell>
          <cell r="L544">
            <v>5</v>
          </cell>
          <cell r="M544" t="str">
            <v/>
          </cell>
          <cell r="N544" t="str">
            <v>25</v>
          </cell>
          <cell r="O544">
            <v>5</v>
          </cell>
          <cell r="P544">
            <v>1.44</v>
          </cell>
        </row>
        <row r="545">
          <cell r="A545" t="str">
            <v>6723367</v>
          </cell>
          <cell r="B545" t="str">
            <v>1121592</v>
          </cell>
          <cell r="C545" t="str">
            <v>6360-383-61</v>
          </cell>
          <cell r="D545" t="str">
            <v>6360</v>
          </cell>
          <cell r="E545" t="str">
            <v>6360 GLOCK 20/21 PLN BLK RH</v>
          </cell>
          <cell r="F545" t="str">
            <v>DG-HOLSTER</v>
          </cell>
          <cell r="G545" t="str">
            <v>1420-210-FG</v>
          </cell>
          <cell r="H545" t="str">
            <v>F</v>
          </cell>
          <cell r="I545" t="str">
            <v>06/03/2024</v>
          </cell>
          <cell r="J545" t="str">
            <v>06/03/2024</v>
          </cell>
          <cell r="K545" t="str">
            <v>06/17/2024</v>
          </cell>
          <cell r="L545">
            <v>5</v>
          </cell>
          <cell r="M545" t="str">
            <v/>
          </cell>
          <cell r="N545" t="str">
            <v>25</v>
          </cell>
          <cell r="O545">
            <v>5</v>
          </cell>
          <cell r="P545">
            <v>1.22</v>
          </cell>
        </row>
        <row r="546">
          <cell r="A546" t="str">
            <v>6726822</v>
          </cell>
          <cell r="B546" t="str">
            <v>1121461</v>
          </cell>
          <cell r="C546" t="str">
            <v>6360-383-491</v>
          </cell>
          <cell r="D546" t="str">
            <v>6360</v>
          </cell>
          <cell r="E546" t="str">
            <v>6360 GLOCK 20/21 STX HGS BLK RH</v>
          </cell>
          <cell r="F546" t="str">
            <v>DG-HOLSTER</v>
          </cell>
          <cell r="G546" t="str">
            <v>1420-210-FG</v>
          </cell>
          <cell r="H546" t="str">
            <v>F</v>
          </cell>
          <cell r="I546" t="str">
            <v>06/10/2024</v>
          </cell>
          <cell r="J546" t="str">
            <v>06/10/2024</v>
          </cell>
          <cell r="K546" t="str">
            <v>06/17/2024</v>
          </cell>
          <cell r="L546">
            <v>5</v>
          </cell>
          <cell r="M546" t="str">
            <v/>
          </cell>
          <cell r="N546" t="str">
            <v>25</v>
          </cell>
          <cell r="O546">
            <v>5</v>
          </cell>
          <cell r="P546">
            <v>1.27</v>
          </cell>
        </row>
        <row r="547">
          <cell r="A547" t="str">
            <v>6723365</v>
          </cell>
          <cell r="B547" t="str">
            <v>1121460</v>
          </cell>
          <cell r="C547" t="str">
            <v>6360-383-411</v>
          </cell>
          <cell r="D547" t="str">
            <v>6360</v>
          </cell>
          <cell r="E547" t="str">
            <v>6360 GLOCK 20/21 STX PLN BLK RH</v>
          </cell>
          <cell r="F547" t="str">
            <v>DG-HOLSTER</v>
          </cell>
          <cell r="G547" t="str">
            <v>1420-210-FG</v>
          </cell>
          <cell r="H547" t="str">
            <v>F</v>
          </cell>
          <cell r="I547" t="str">
            <v>06/03/2024</v>
          </cell>
          <cell r="J547" t="str">
            <v>06/03/2024</v>
          </cell>
          <cell r="K547" t="str">
            <v>06/17/2024</v>
          </cell>
          <cell r="L547">
            <v>5</v>
          </cell>
          <cell r="M547" t="str">
            <v/>
          </cell>
          <cell r="N547" t="str">
            <v>25</v>
          </cell>
          <cell r="O547">
            <v>5</v>
          </cell>
          <cell r="P547">
            <v>1.1599999999999999</v>
          </cell>
        </row>
        <row r="548">
          <cell r="A548" t="str">
            <v>6726837</v>
          </cell>
          <cell r="B548" t="str">
            <v>1127680</v>
          </cell>
          <cell r="C548" t="str">
            <v>6360-3832-82</v>
          </cell>
          <cell r="D548" t="str">
            <v>6360</v>
          </cell>
          <cell r="E548" t="str">
            <v>6360 GLOCK 20/21 X300U BSK BLK LH</v>
          </cell>
          <cell r="F548" t="str">
            <v>DG-HOLSTER</v>
          </cell>
          <cell r="G548" t="str">
            <v>1420-210-FG</v>
          </cell>
          <cell r="H548" t="str">
            <v>F</v>
          </cell>
          <cell r="I548" t="str">
            <v>06/10/2024</v>
          </cell>
          <cell r="J548" t="str">
            <v>06/10/2024</v>
          </cell>
          <cell r="K548" t="str">
            <v>06/17/2024</v>
          </cell>
          <cell r="L548">
            <v>5</v>
          </cell>
          <cell r="M548" t="str">
            <v/>
          </cell>
          <cell r="N548" t="str">
            <v>25</v>
          </cell>
          <cell r="O548">
            <v>5</v>
          </cell>
          <cell r="P548">
            <v>1.93</v>
          </cell>
        </row>
        <row r="549">
          <cell r="A549" t="str">
            <v>6726060</v>
          </cell>
          <cell r="B549" t="str">
            <v>1127511</v>
          </cell>
          <cell r="C549" t="str">
            <v>6360-3832-481</v>
          </cell>
          <cell r="D549" t="str">
            <v>6360</v>
          </cell>
          <cell r="E549" t="str">
            <v>6360 GLOCK 20/21 X300U STX BSK BLK RH</v>
          </cell>
          <cell r="F549" t="str">
            <v>DG-HOLSTER</v>
          </cell>
          <cell r="G549" t="str">
            <v>1420-210-FG</v>
          </cell>
          <cell r="H549" t="str">
            <v>F</v>
          </cell>
          <cell r="I549" t="str">
            <v>06/07/2024</v>
          </cell>
          <cell r="J549" t="str">
            <v>06/07/2024</v>
          </cell>
          <cell r="K549" t="str">
            <v>06/17/2024</v>
          </cell>
          <cell r="L549">
            <v>10</v>
          </cell>
          <cell r="M549" t="str">
            <v/>
          </cell>
          <cell r="N549" t="str">
            <v>25</v>
          </cell>
          <cell r="O549">
            <v>10</v>
          </cell>
          <cell r="P549">
            <v>3.75</v>
          </cell>
        </row>
        <row r="550">
          <cell r="A550" t="str">
            <v>6726062</v>
          </cell>
          <cell r="B550" t="str">
            <v>1127588</v>
          </cell>
          <cell r="C550" t="str">
            <v>6360-3832-411</v>
          </cell>
          <cell r="D550" t="str">
            <v>6360</v>
          </cell>
          <cell r="E550" t="str">
            <v>6360 GLOCK 20/21 X300U STX PLN BLK RH</v>
          </cell>
          <cell r="F550" t="str">
            <v>DG-HOLSTER</v>
          </cell>
          <cell r="G550" t="str">
            <v>1420-210-FG</v>
          </cell>
          <cell r="H550" t="str">
            <v>F</v>
          </cell>
          <cell r="I550" t="str">
            <v>06/07/2024</v>
          </cell>
          <cell r="J550" t="str">
            <v>06/07/2024</v>
          </cell>
          <cell r="K550" t="str">
            <v>06/17/2024</v>
          </cell>
          <cell r="L550">
            <v>5</v>
          </cell>
          <cell r="M550" t="str">
            <v/>
          </cell>
          <cell r="N550" t="str">
            <v>25</v>
          </cell>
          <cell r="O550">
            <v>5</v>
          </cell>
          <cell r="P550">
            <v>1.87</v>
          </cell>
        </row>
        <row r="551">
          <cell r="A551" t="str">
            <v>6726802</v>
          </cell>
          <cell r="B551" t="str">
            <v>1127675</v>
          </cell>
          <cell r="C551" t="str">
            <v>6360-3832-131</v>
          </cell>
          <cell r="D551" t="str">
            <v>6360</v>
          </cell>
          <cell r="E551" t="str">
            <v>6360 GLOCK 20/21 X300U STX TAC BLK RH</v>
          </cell>
          <cell r="F551" t="str">
            <v>DG-HOLSTER</v>
          </cell>
          <cell r="G551" t="str">
            <v>1420-210-FG</v>
          </cell>
          <cell r="H551" t="str">
            <v>F</v>
          </cell>
          <cell r="I551" t="str">
            <v>06/10/2024</v>
          </cell>
          <cell r="J551" t="str">
            <v>06/10/2024</v>
          </cell>
          <cell r="K551" t="str">
            <v>06/17/2024</v>
          </cell>
          <cell r="L551">
            <v>50</v>
          </cell>
          <cell r="M551" t="str">
            <v/>
          </cell>
          <cell r="N551" t="str">
            <v>25</v>
          </cell>
          <cell r="O551">
            <v>50</v>
          </cell>
          <cell r="P551">
            <v>18.77</v>
          </cell>
        </row>
        <row r="552">
          <cell r="A552" t="str">
            <v>6726897</v>
          </cell>
          <cell r="B552" t="str">
            <v>1328345</v>
          </cell>
          <cell r="C552" t="str">
            <v>6360-8252-412</v>
          </cell>
          <cell r="D552" t="str">
            <v>6360</v>
          </cell>
          <cell r="E552" t="str">
            <v>6360 GLOCK 22 GEN 5 X300U STX PLN BLK LH</v>
          </cell>
          <cell r="F552" t="str">
            <v>DG-HOLSTER</v>
          </cell>
          <cell r="G552" t="str">
            <v>1420-210-FG</v>
          </cell>
          <cell r="H552" t="str">
            <v>F</v>
          </cell>
          <cell r="I552" t="str">
            <v>06/10/2024</v>
          </cell>
          <cell r="J552" t="str">
            <v>06/10/2024</v>
          </cell>
          <cell r="K552" t="str">
            <v>06/17/2024</v>
          </cell>
          <cell r="L552">
            <v>10</v>
          </cell>
          <cell r="M552" t="str">
            <v/>
          </cell>
          <cell r="N552" t="str">
            <v>25</v>
          </cell>
          <cell r="O552">
            <v>10</v>
          </cell>
          <cell r="P552">
            <v>2.9</v>
          </cell>
        </row>
        <row r="553">
          <cell r="A553" t="str">
            <v>6726809</v>
          </cell>
          <cell r="B553" t="str">
            <v>1328344</v>
          </cell>
          <cell r="C553" t="str">
            <v>6360-8252-411</v>
          </cell>
          <cell r="D553" t="str">
            <v>6360</v>
          </cell>
          <cell r="E553" t="str">
            <v>6360 GLOCK 22 GEN 5 X300U STX PLN BLK RH</v>
          </cell>
          <cell r="F553" t="str">
            <v>DG-HOLSTER</v>
          </cell>
          <cell r="G553" t="str">
            <v>1420-210-FG</v>
          </cell>
          <cell r="H553" t="str">
            <v>F</v>
          </cell>
          <cell r="I553" t="str">
            <v>06/10/2024</v>
          </cell>
          <cell r="J553" t="str">
            <v>06/10/2024</v>
          </cell>
          <cell r="K553" t="str">
            <v>06/17/2024</v>
          </cell>
          <cell r="L553">
            <v>30</v>
          </cell>
          <cell r="M553" t="str">
            <v/>
          </cell>
          <cell r="N553" t="str">
            <v>25</v>
          </cell>
          <cell r="O553">
            <v>30</v>
          </cell>
          <cell r="P553">
            <v>11.24</v>
          </cell>
        </row>
        <row r="554">
          <cell r="A554" t="str">
            <v>6726894</v>
          </cell>
          <cell r="B554" t="str">
            <v>1328089</v>
          </cell>
          <cell r="C554" t="str">
            <v>6360-825-61</v>
          </cell>
          <cell r="D554" t="str">
            <v>6360</v>
          </cell>
          <cell r="E554" t="str">
            <v>6360 GLOCK 22 GEN5 PLN BLK RH</v>
          </cell>
          <cell r="F554" t="str">
            <v>DG-HOLSTER</v>
          </cell>
          <cell r="G554" t="str">
            <v>1420-210-FG</v>
          </cell>
          <cell r="H554" t="str">
            <v>F</v>
          </cell>
          <cell r="I554" t="str">
            <v>06/10/2024</v>
          </cell>
          <cell r="J554" t="str">
            <v>06/10/2024</v>
          </cell>
          <cell r="K554" t="str">
            <v>06/17/2024</v>
          </cell>
          <cell r="L554">
            <v>1</v>
          </cell>
          <cell r="M554" t="str">
            <v/>
          </cell>
          <cell r="N554" t="str">
            <v>25</v>
          </cell>
          <cell r="O554">
            <v>1</v>
          </cell>
          <cell r="P554">
            <v>0.26</v>
          </cell>
        </row>
        <row r="555">
          <cell r="A555" t="str">
            <v>6726825</v>
          </cell>
          <cell r="B555" t="str">
            <v>1123362</v>
          </cell>
          <cell r="C555" t="str">
            <v>6360-683-91</v>
          </cell>
          <cell r="D555" t="str">
            <v>6360</v>
          </cell>
          <cell r="E555" t="str">
            <v>6360 GLOCK 34/35 HGS BLK RH</v>
          </cell>
          <cell r="F555" t="str">
            <v>DG-HOLSTER</v>
          </cell>
          <cell r="G555" t="str">
            <v>1420-210-FG</v>
          </cell>
          <cell r="H555" t="str">
            <v>F</v>
          </cell>
          <cell r="I555" t="str">
            <v>06/10/2024</v>
          </cell>
          <cell r="J555" t="str">
            <v>06/10/2024</v>
          </cell>
          <cell r="K555" t="str">
            <v>06/17/2024</v>
          </cell>
          <cell r="L555">
            <v>5</v>
          </cell>
          <cell r="M555" t="str">
            <v/>
          </cell>
          <cell r="N555" t="str">
            <v>25</v>
          </cell>
          <cell r="O555">
            <v>5</v>
          </cell>
          <cell r="P555">
            <v>1.44</v>
          </cell>
        </row>
        <row r="556">
          <cell r="A556" t="str">
            <v>6726063</v>
          </cell>
          <cell r="B556" t="str">
            <v>1131918</v>
          </cell>
          <cell r="C556" t="str">
            <v>6360-219-132</v>
          </cell>
          <cell r="D556" t="str">
            <v>6360</v>
          </cell>
          <cell r="E556" t="str">
            <v>6360 S&amp;W M&amp;P9/40 1.0 STX TAC BLK LH</v>
          </cell>
          <cell r="F556" t="str">
            <v>DG-HOLSTER</v>
          </cell>
          <cell r="G556" t="str">
            <v>1420-210-FG</v>
          </cell>
          <cell r="H556" t="str">
            <v>F</v>
          </cell>
          <cell r="I556" t="str">
            <v>06/07/2024</v>
          </cell>
          <cell r="J556" t="str">
            <v>06/07/2024</v>
          </cell>
          <cell r="K556" t="str">
            <v>06/17/2024</v>
          </cell>
          <cell r="L556">
            <v>5</v>
          </cell>
          <cell r="M556" t="str">
            <v/>
          </cell>
          <cell r="N556" t="str">
            <v>25</v>
          </cell>
          <cell r="O556">
            <v>5</v>
          </cell>
          <cell r="P556">
            <v>1.1599999999999999</v>
          </cell>
        </row>
        <row r="557">
          <cell r="A557" t="str">
            <v>6726059</v>
          </cell>
          <cell r="B557" t="str">
            <v>1125653</v>
          </cell>
          <cell r="C557" t="str">
            <v>6360-2192-81</v>
          </cell>
          <cell r="D557" t="str">
            <v>6360</v>
          </cell>
          <cell r="E557" t="str">
            <v>6360 S&amp;W M&amp;P9/40 4IN X300 BSK BLK RH</v>
          </cell>
          <cell r="F557" t="str">
            <v>DG-HOLSTER</v>
          </cell>
          <cell r="G557" t="str">
            <v>1420-210-FG</v>
          </cell>
          <cell r="H557" t="str">
            <v>R</v>
          </cell>
          <cell r="I557" t="str">
            <v>06/07/2024</v>
          </cell>
          <cell r="J557" t="str">
            <v>06/07/2024</v>
          </cell>
          <cell r="K557" t="str">
            <v>06/17/2024</v>
          </cell>
          <cell r="L557">
            <v>8</v>
          </cell>
          <cell r="M557" t="str">
            <v>6/10/2024 12:45:01 PM</v>
          </cell>
          <cell r="N557" t="str">
            <v>25</v>
          </cell>
          <cell r="O557">
            <v>8</v>
          </cell>
          <cell r="P557">
            <v>3.1</v>
          </cell>
        </row>
        <row r="558">
          <cell r="A558" t="str">
            <v>6726858</v>
          </cell>
          <cell r="B558" t="str">
            <v>1157096</v>
          </cell>
          <cell r="C558" t="str">
            <v>6360-477-131</v>
          </cell>
          <cell r="D558" t="str">
            <v>6360</v>
          </cell>
          <cell r="E558" t="str">
            <v>6360 SIG P226R STX TAC BLK RH</v>
          </cell>
          <cell r="F558" t="str">
            <v>DG-HOLSTER</v>
          </cell>
          <cell r="G558" t="str">
            <v>1420-210-FG</v>
          </cell>
          <cell r="H558" t="str">
            <v>F</v>
          </cell>
          <cell r="I558" t="str">
            <v>06/10/2024</v>
          </cell>
          <cell r="J558" t="str">
            <v>06/10/2024</v>
          </cell>
          <cell r="K558" t="str">
            <v>06/17/2024</v>
          </cell>
          <cell r="L558">
            <v>5</v>
          </cell>
          <cell r="M558" t="str">
            <v/>
          </cell>
          <cell r="N558" t="str">
            <v>25</v>
          </cell>
          <cell r="O558">
            <v>5</v>
          </cell>
          <cell r="P558">
            <v>0.89</v>
          </cell>
        </row>
        <row r="559">
          <cell r="A559" t="str">
            <v>6726058</v>
          </cell>
          <cell r="B559" t="str">
            <v>1124548</v>
          </cell>
          <cell r="C559" t="str">
            <v>6360-7742-81</v>
          </cell>
          <cell r="D559" t="str">
            <v>6360</v>
          </cell>
          <cell r="E559" t="str">
            <v>6360 SIG P226R X300 BSK BLK RH</v>
          </cell>
          <cell r="F559" t="str">
            <v>DG-HOLSTER</v>
          </cell>
          <cell r="G559" t="str">
            <v>1420-210-FG</v>
          </cell>
          <cell r="H559" t="str">
            <v>F</v>
          </cell>
          <cell r="I559" t="str">
            <v>06/07/2024</v>
          </cell>
          <cell r="J559" t="str">
            <v>06/07/2024</v>
          </cell>
          <cell r="K559" t="str">
            <v>06/17/2024</v>
          </cell>
          <cell r="L559">
            <v>5</v>
          </cell>
          <cell r="M559" t="str">
            <v/>
          </cell>
          <cell r="N559" t="str">
            <v>25</v>
          </cell>
          <cell r="O559">
            <v>5</v>
          </cell>
          <cell r="P559">
            <v>1.93</v>
          </cell>
        </row>
        <row r="560">
          <cell r="A560" t="str">
            <v>6726833</v>
          </cell>
          <cell r="B560" t="str">
            <v>1126712</v>
          </cell>
          <cell r="C560" t="str">
            <v>6360-7742-481</v>
          </cell>
          <cell r="D560" t="str">
            <v>6360</v>
          </cell>
          <cell r="E560" t="str">
            <v>6360 SIG P226R X300 STX BSK BLK RH</v>
          </cell>
          <cell r="F560" t="str">
            <v>DG-HOLSTER</v>
          </cell>
          <cell r="G560" t="str">
            <v>1420-210-FG</v>
          </cell>
          <cell r="H560" t="str">
            <v>F</v>
          </cell>
          <cell r="I560" t="str">
            <v>06/10/2024</v>
          </cell>
          <cell r="J560" t="str">
            <v>06/10/2024</v>
          </cell>
          <cell r="K560" t="str">
            <v>06/17/2024</v>
          </cell>
          <cell r="L560">
            <v>5</v>
          </cell>
          <cell r="M560" t="str">
            <v/>
          </cell>
          <cell r="N560" t="str">
            <v>25</v>
          </cell>
          <cell r="O560">
            <v>5</v>
          </cell>
          <cell r="P560">
            <v>1.87</v>
          </cell>
        </row>
        <row r="561">
          <cell r="A561" t="str">
            <v>6726067</v>
          </cell>
          <cell r="B561" t="str">
            <v>1140673</v>
          </cell>
          <cell r="C561" t="str">
            <v>6360-450-91</v>
          </cell>
          <cell r="D561" t="str">
            <v>6360</v>
          </cell>
          <cell r="E561" t="str">
            <v>6360 SIG P320 9/40/45 HGS BLK RH</v>
          </cell>
          <cell r="F561" t="str">
            <v>DG-HOLSTER</v>
          </cell>
          <cell r="G561" t="str">
            <v>1420-210-FG</v>
          </cell>
          <cell r="H561" t="str">
            <v>R</v>
          </cell>
          <cell r="I561" t="str">
            <v>06/07/2024</v>
          </cell>
          <cell r="J561" t="str">
            <v>06/07/2024</v>
          </cell>
          <cell r="K561" t="str">
            <v>06/17/2024</v>
          </cell>
          <cell r="L561">
            <v>1</v>
          </cell>
          <cell r="M561" t="str">
            <v>6/10/2024 12:45:01 PM</v>
          </cell>
          <cell r="N561" t="str">
            <v>25</v>
          </cell>
          <cell r="O561">
            <v>1</v>
          </cell>
          <cell r="P561">
            <v>0.33</v>
          </cell>
        </row>
        <row r="562">
          <cell r="A562" t="str">
            <v>6726850</v>
          </cell>
          <cell r="B562" t="str">
            <v>1141300</v>
          </cell>
          <cell r="C562" t="str">
            <v>6360-450-481</v>
          </cell>
          <cell r="D562" t="str">
            <v>6360</v>
          </cell>
          <cell r="E562" t="str">
            <v>6360 SIG P320 9/40/45 STX BSK BLK RH</v>
          </cell>
          <cell r="F562" t="str">
            <v>DG-HOLSTER</v>
          </cell>
          <cell r="G562" t="str">
            <v>1420-210-FG</v>
          </cell>
          <cell r="H562" t="str">
            <v>F</v>
          </cell>
          <cell r="I562" t="str">
            <v>06/10/2024</v>
          </cell>
          <cell r="J562" t="str">
            <v>06/10/2024</v>
          </cell>
          <cell r="K562" t="str">
            <v>06/17/2024</v>
          </cell>
          <cell r="L562">
            <v>8</v>
          </cell>
          <cell r="M562" t="str">
            <v/>
          </cell>
          <cell r="N562" t="str">
            <v>25</v>
          </cell>
          <cell r="O562">
            <v>8</v>
          </cell>
          <cell r="P562">
            <v>2.12</v>
          </cell>
        </row>
        <row r="563">
          <cell r="A563" t="str">
            <v>6723423</v>
          </cell>
          <cell r="B563" t="str">
            <v>1202513</v>
          </cell>
          <cell r="C563" t="str">
            <v>6360-2222-131</v>
          </cell>
          <cell r="D563" t="str">
            <v>6360</v>
          </cell>
          <cell r="E563" t="str">
            <v>6360 SW MP 2.0  9MM X300U STX TAC BLK RH</v>
          </cell>
          <cell r="F563" t="str">
            <v>DG-HOLSTER</v>
          </cell>
          <cell r="G563" t="str">
            <v>1420-210-FG</v>
          </cell>
          <cell r="H563" t="str">
            <v>F</v>
          </cell>
          <cell r="I563" t="str">
            <v>06/03/2024</v>
          </cell>
          <cell r="J563" t="str">
            <v>06/03/2024</v>
          </cell>
          <cell r="K563" t="str">
            <v>06/17/2024</v>
          </cell>
          <cell r="L563">
            <v>5</v>
          </cell>
          <cell r="M563" t="str">
            <v/>
          </cell>
          <cell r="N563" t="str">
            <v>25</v>
          </cell>
          <cell r="O563">
            <v>5</v>
          </cell>
          <cell r="P563">
            <v>1.44</v>
          </cell>
        </row>
        <row r="564">
          <cell r="A564" t="str">
            <v>6727216</v>
          </cell>
          <cell r="B564" t="str">
            <v>1335136</v>
          </cell>
          <cell r="C564" t="str">
            <v>6360RDS-2582-702</v>
          </cell>
          <cell r="D564" t="str">
            <v>6360RDS</v>
          </cell>
          <cell r="E564" t="str">
            <v>6360RDS 2011 STCC 5" X300U COR MCM LH</v>
          </cell>
          <cell r="F564" t="str">
            <v>DG-HOLSTER-RDS-DTC</v>
          </cell>
          <cell r="G564" t="str">
            <v>1420-210-FG</v>
          </cell>
          <cell r="H564" t="str">
            <v>F</v>
          </cell>
          <cell r="I564" t="str">
            <v>06/10/2024</v>
          </cell>
          <cell r="J564" t="str">
            <v>06/10/2024</v>
          </cell>
          <cell r="K564" t="str">
            <v>06/17/2024</v>
          </cell>
          <cell r="L564">
            <v>1</v>
          </cell>
          <cell r="M564" t="str">
            <v/>
          </cell>
          <cell r="N564" t="str">
            <v>25</v>
          </cell>
          <cell r="O564">
            <v>1</v>
          </cell>
          <cell r="P564">
            <v>0.4</v>
          </cell>
        </row>
        <row r="565">
          <cell r="A565" t="str">
            <v>6727215</v>
          </cell>
          <cell r="B565" t="str">
            <v>1335135</v>
          </cell>
          <cell r="C565" t="str">
            <v>6360RDS-2582-701</v>
          </cell>
          <cell r="D565" t="str">
            <v>6360RDS</v>
          </cell>
          <cell r="E565" t="str">
            <v>6360RDS 2011 STCC 5" X300U COR MCM RH</v>
          </cell>
          <cell r="F565" t="str">
            <v>DG-HOLSTER-RDS-DTC</v>
          </cell>
          <cell r="G565" t="str">
            <v>1420-210-FG</v>
          </cell>
          <cell r="H565" t="str">
            <v>F</v>
          </cell>
          <cell r="I565" t="str">
            <v>06/10/2024</v>
          </cell>
          <cell r="J565" t="str">
            <v>06/10/2024</v>
          </cell>
          <cell r="K565" t="str">
            <v>06/17/2024</v>
          </cell>
          <cell r="L565">
            <v>10</v>
          </cell>
          <cell r="M565" t="str">
            <v/>
          </cell>
          <cell r="N565" t="str">
            <v>25</v>
          </cell>
          <cell r="O565">
            <v>10</v>
          </cell>
          <cell r="P565">
            <v>4</v>
          </cell>
        </row>
        <row r="566">
          <cell r="A566" t="str">
            <v>6727218</v>
          </cell>
          <cell r="B566" t="str">
            <v>1335186</v>
          </cell>
          <cell r="C566" t="str">
            <v>6360RDS-2582-482</v>
          </cell>
          <cell r="D566" t="str">
            <v>6360RDS</v>
          </cell>
          <cell r="E566" t="str">
            <v>6360RDS 2011 STCC 5"X300U STX BSK BLK LH</v>
          </cell>
          <cell r="F566" t="str">
            <v>DG-HOLSTER-RDS-DTC</v>
          </cell>
          <cell r="G566" t="str">
            <v>1420-210-FG</v>
          </cell>
          <cell r="H566" t="str">
            <v>F</v>
          </cell>
          <cell r="I566" t="str">
            <v>06/10/2024</v>
          </cell>
          <cell r="J566" t="str">
            <v>06/10/2024</v>
          </cell>
          <cell r="K566" t="str">
            <v>06/17/2024</v>
          </cell>
          <cell r="L566">
            <v>3</v>
          </cell>
          <cell r="M566" t="str">
            <v/>
          </cell>
          <cell r="N566" t="str">
            <v>25</v>
          </cell>
          <cell r="O566">
            <v>3</v>
          </cell>
          <cell r="P566">
            <v>1.2</v>
          </cell>
        </row>
        <row r="567">
          <cell r="A567" t="str">
            <v>6727211</v>
          </cell>
          <cell r="B567" t="str">
            <v>1335112</v>
          </cell>
          <cell r="C567" t="str">
            <v>6360RDS-2582-132</v>
          </cell>
          <cell r="D567" t="str">
            <v>6360RDS</v>
          </cell>
          <cell r="E567" t="str">
            <v>6360RDS 2011 STCC 5"X300U STX TAC BLK LH</v>
          </cell>
          <cell r="F567" t="str">
            <v>DG-HOLSTER-RDS-DTC</v>
          </cell>
          <cell r="G567" t="str">
            <v>1420-210-FG</v>
          </cell>
          <cell r="H567" t="str">
            <v>F</v>
          </cell>
          <cell r="I567" t="str">
            <v>06/10/2024</v>
          </cell>
          <cell r="J567" t="str">
            <v>06/10/2024</v>
          </cell>
          <cell r="K567" t="str">
            <v>06/17/2024</v>
          </cell>
          <cell r="L567">
            <v>5</v>
          </cell>
          <cell r="M567" t="str">
            <v/>
          </cell>
          <cell r="N567" t="str">
            <v>25</v>
          </cell>
          <cell r="O567">
            <v>5</v>
          </cell>
          <cell r="P567">
            <v>2</v>
          </cell>
        </row>
        <row r="568">
          <cell r="A568" t="str">
            <v>6726980</v>
          </cell>
          <cell r="B568" t="str">
            <v>1332245</v>
          </cell>
          <cell r="C568" t="str">
            <v>6360RDS-27027-131</v>
          </cell>
          <cell r="D568" t="str">
            <v>6360RDS</v>
          </cell>
          <cell r="E568" t="str">
            <v>6360RDS FN 509 TLR-7  STX TAC BLK RH</v>
          </cell>
          <cell r="F568" t="str">
            <v>DG-HOLSTER-RDS</v>
          </cell>
          <cell r="G568" t="str">
            <v>1420-210-FG</v>
          </cell>
          <cell r="H568" t="str">
            <v>F</v>
          </cell>
          <cell r="I568" t="str">
            <v>06/10/2024</v>
          </cell>
          <cell r="J568" t="str">
            <v>06/10/2024</v>
          </cell>
          <cell r="K568" t="str">
            <v>06/17/2024</v>
          </cell>
          <cell r="L568">
            <v>21</v>
          </cell>
          <cell r="M568" t="str">
            <v/>
          </cell>
          <cell r="N568" t="str">
            <v>25</v>
          </cell>
          <cell r="O568">
            <v>21</v>
          </cell>
          <cell r="P568">
            <v>8.4</v>
          </cell>
        </row>
        <row r="569">
          <cell r="A569" t="str">
            <v>6726981</v>
          </cell>
          <cell r="B569" t="str">
            <v>1332245</v>
          </cell>
          <cell r="C569" t="str">
            <v>6360RDS-27027-131</v>
          </cell>
          <cell r="D569" t="str">
            <v>6360RDS</v>
          </cell>
          <cell r="E569" t="str">
            <v>6360RDS FN 509 TLR-7  STX TAC BLK RH</v>
          </cell>
          <cell r="F569" t="str">
            <v>DG-HOLSTER-RDS</v>
          </cell>
          <cell r="G569" t="str">
            <v>1420-210-FG</v>
          </cell>
          <cell r="H569" t="str">
            <v>F</v>
          </cell>
          <cell r="I569" t="str">
            <v>06/10/2024</v>
          </cell>
          <cell r="J569" t="str">
            <v>06/10/2024</v>
          </cell>
          <cell r="K569" t="str">
            <v>06/17/2024</v>
          </cell>
          <cell r="L569">
            <v>20</v>
          </cell>
          <cell r="M569" t="str">
            <v/>
          </cell>
          <cell r="N569" t="str">
            <v>25</v>
          </cell>
          <cell r="O569">
            <v>20</v>
          </cell>
          <cell r="P569">
            <v>8</v>
          </cell>
        </row>
        <row r="570">
          <cell r="A570" t="str">
            <v>6725055</v>
          </cell>
          <cell r="B570" t="str">
            <v>1322965</v>
          </cell>
          <cell r="C570" t="str">
            <v>6360RDS-2702-412</v>
          </cell>
          <cell r="D570" t="str">
            <v>6360RDS</v>
          </cell>
          <cell r="E570" t="str">
            <v>6360RDS FN 509 X300U  STX PLN BLK LH</v>
          </cell>
          <cell r="F570" t="str">
            <v>DG-HOLSTER-RDS</v>
          </cell>
          <cell r="G570" t="str">
            <v>1420-210-FG</v>
          </cell>
          <cell r="H570" t="str">
            <v>R</v>
          </cell>
          <cell r="I570" t="str">
            <v>06/05/2024</v>
          </cell>
          <cell r="J570" t="str">
            <v>06/05/2024</v>
          </cell>
          <cell r="K570" t="str">
            <v>06/17/2024</v>
          </cell>
          <cell r="L570">
            <v>5</v>
          </cell>
          <cell r="M570" t="str">
            <v>6/6/2024 10:02:28 AM</v>
          </cell>
          <cell r="N570" t="str">
            <v>25</v>
          </cell>
          <cell r="O570">
            <v>5</v>
          </cell>
          <cell r="P570">
            <v>2</v>
          </cell>
        </row>
        <row r="571">
          <cell r="A571" t="str">
            <v>6727072</v>
          </cell>
          <cell r="B571" t="str">
            <v>1329109</v>
          </cell>
          <cell r="C571" t="str">
            <v>6360RDS-2712-781</v>
          </cell>
          <cell r="D571" t="str">
            <v>6360RDS</v>
          </cell>
          <cell r="E571" t="str">
            <v>6360RDS FN509T 4.5IN X300U COR BLK RH</v>
          </cell>
          <cell r="F571" t="str">
            <v>DG-HOLSTER-RDS</v>
          </cell>
          <cell r="G571" t="str">
            <v>1420-210-FG</v>
          </cell>
          <cell r="H571" t="str">
            <v>F</v>
          </cell>
          <cell r="I571" t="str">
            <v>06/10/2024</v>
          </cell>
          <cell r="J571" t="str">
            <v>06/10/2024</v>
          </cell>
          <cell r="K571" t="str">
            <v>06/17/2024</v>
          </cell>
          <cell r="L571">
            <v>5</v>
          </cell>
          <cell r="M571" t="str">
            <v/>
          </cell>
          <cell r="N571" t="str">
            <v>25</v>
          </cell>
          <cell r="O571">
            <v>5</v>
          </cell>
          <cell r="P571">
            <v>2</v>
          </cell>
        </row>
        <row r="572">
          <cell r="A572" t="str">
            <v>6724350</v>
          </cell>
          <cell r="B572" t="str">
            <v>1329111</v>
          </cell>
          <cell r="C572" t="str">
            <v>6360RDS-2712-701</v>
          </cell>
          <cell r="D572" t="str">
            <v>6360RDS</v>
          </cell>
          <cell r="E572" t="str">
            <v>6360RDS FN509T 4.5IN X300U COR MTCM RH</v>
          </cell>
          <cell r="F572" t="str">
            <v>DG-HOLSTER-RDS</v>
          </cell>
          <cell r="G572" t="str">
            <v>1420-210-FG</v>
          </cell>
          <cell r="H572" t="str">
            <v>R</v>
          </cell>
          <cell r="I572" t="str">
            <v>06/04/2024</v>
          </cell>
          <cell r="J572" t="str">
            <v>06/04/2024</v>
          </cell>
          <cell r="K572" t="str">
            <v>06/17/2024</v>
          </cell>
          <cell r="L572">
            <v>5</v>
          </cell>
          <cell r="M572" t="str">
            <v>6/6/2024 10:14:11 AM</v>
          </cell>
          <cell r="N572" t="str">
            <v>25</v>
          </cell>
          <cell r="O572">
            <v>5</v>
          </cell>
          <cell r="P572">
            <v>2</v>
          </cell>
        </row>
        <row r="573">
          <cell r="A573" t="str">
            <v>6723759</v>
          </cell>
          <cell r="B573" t="str">
            <v>1205449</v>
          </cell>
          <cell r="C573" t="str">
            <v>6360RDS-8321-411</v>
          </cell>
          <cell r="D573" t="str">
            <v>6360RDS</v>
          </cell>
          <cell r="E573" t="str">
            <v>6360RDS GLOCK 17MOS TLR 2 STX PLN BLK RH</v>
          </cell>
          <cell r="F573" t="str">
            <v>DG-HOLSTER-RDS-DTC</v>
          </cell>
          <cell r="G573" t="str">
            <v>1420-210-FG</v>
          </cell>
          <cell r="H573" t="str">
            <v>R</v>
          </cell>
          <cell r="I573" t="str">
            <v>06/03/2024</v>
          </cell>
          <cell r="J573" t="str">
            <v>06/03/2024</v>
          </cell>
          <cell r="K573" t="str">
            <v>06/17/2024</v>
          </cell>
          <cell r="L573">
            <v>30</v>
          </cell>
          <cell r="M573" t="str">
            <v>6/6/2024 10:02:28 AM</v>
          </cell>
          <cell r="N573" t="str">
            <v>25</v>
          </cell>
          <cell r="O573">
            <v>30</v>
          </cell>
          <cell r="P573">
            <v>12.99</v>
          </cell>
        </row>
        <row r="574">
          <cell r="A574" t="str">
            <v>6723828</v>
          </cell>
          <cell r="B574" t="str">
            <v>1205447</v>
          </cell>
          <cell r="C574" t="str">
            <v>6360RDS-8321-131</v>
          </cell>
          <cell r="D574" t="str">
            <v>6360RDS</v>
          </cell>
          <cell r="E574" t="str">
            <v>6360RDS GLOCK 17MOS TLR 2 STX TAC BLK RH</v>
          </cell>
          <cell r="F574" t="str">
            <v>DG-HOLSTER-RDS-DTC</v>
          </cell>
          <cell r="G574" t="str">
            <v>1420-210-FG</v>
          </cell>
          <cell r="H574" t="str">
            <v>R</v>
          </cell>
          <cell r="I574" t="str">
            <v>06/03/2024</v>
          </cell>
          <cell r="J574" t="str">
            <v>06/03/2024</v>
          </cell>
          <cell r="K574" t="str">
            <v>06/17/2024</v>
          </cell>
          <cell r="L574">
            <v>5</v>
          </cell>
          <cell r="M574" t="str">
            <v>6/6/2024 9:59:43 AM</v>
          </cell>
          <cell r="N574" t="str">
            <v>25</v>
          </cell>
          <cell r="O574">
            <v>5</v>
          </cell>
          <cell r="P574">
            <v>2.17</v>
          </cell>
        </row>
        <row r="575">
          <cell r="A575" t="str">
            <v>6723865</v>
          </cell>
          <cell r="B575" t="str">
            <v>1332661</v>
          </cell>
          <cell r="C575" t="str">
            <v>6360RDS-832-721</v>
          </cell>
          <cell r="D575" t="str">
            <v>6360RDS</v>
          </cell>
          <cell r="E575" t="str">
            <v>6360RDS GLOCK 17MOS X300 COR OD RGRN RH</v>
          </cell>
          <cell r="F575" t="str">
            <v>DG-HOLSTER-RDS-DTC</v>
          </cell>
          <cell r="G575" t="str">
            <v>1420-210-FG</v>
          </cell>
          <cell r="H575" t="str">
            <v>R</v>
          </cell>
          <cell r="I575" t="str">
            <v>06/03/2024</v>
          </cell>
          <cell r="J575" t="str">
            <v>06/03/2024</v>
          </cell>
          <cell r="K575" t="str">
            <v>06/17/2024</v>
          </cell>
          <cell r="L575">
            <v>5</v>
          </cell>
          <cell r="M575" t="str">
            <v>6/6/2024 10:15:40 AM</v>
          </cell>
          <cell r="N575" t="str">
            <v>25</v>
          </cell>
          <cell r="O575">
            <v>5</v>
          </cell>
          <cell r="P575">
            <v>2.17</v>
          </cell>
        </row>
        <row r="576">
          <cell r="A576" t="str">
            <v>6723823</v>
          </cell>
          <cell r="B576" t="str">
            <v>1204672</v>
          </cell>
          <cell r="C576" t="str">
            <v>6360RDS-832-741</v>
          </cell>
          <cell r="D576" t="str">
            <v>6360RDS</v>
          </cell>
          <cell r="E576" t="str">
            <v>6360RDS GLOCK 17MOS X300U COR CYTB RH</v>
          </cell>
          <cell r="F576" t="str">
            <v>DG-HOLSTER-RDS-DTC</v>
          </cell>
          <cell r="G576" t="str">
            <v>1420-210-FG</v>
          </cell>
          <cell r="H576" t="str">
            <v>R</v>
          </cell>
          <cell r="I576" t="str">
            <v>06/03/2024</v>
          </cell>
          <cell r="J576" t="str">
            <v>06/03/2024</v>
          </cell>
          <cell r="K576" t="str">
            <v>06/17/2024</v>
          </cell>
          <cell r="L576">
            <v>5</v>
          </cell>
          <cell r="M576" t="str">
            <v>6/6/2024 10:14:11 AM</v>
          </cell>
          <cell r="N576" t="str">
            <v>25</v>
          </cell>
          <cell r="O576">
            <v>5</v>
          </cell>
          <cell r="P576">
            <v>2.17</v>
          </cell>
        </row>
        <row r="577">
          <cell r="A577" t="str">
            <v>6723741</v>
          </cell>
          <cell r="B577" t="str">
            <v>1201630</v>
          </cell>
          <cell r="C577" t="str">
            <v>6360RDS-832-481</v>
          </cell>
          <cell r="D577" t="str">
            <v>6360RDS</v>
          </cell>
          <cell r="E577" t="str">
            <v>6360RDS GLOCK 17MOS X300U STX BSK BLK RH</v>
          </cell>
          <cell r="F577" t="str">
            <v>DG-HOLSTER-RDS-DTC</v>
          </cell>
          <cell r="G577" t="str">
            <v>1420-210-FG</v>
          </cell>
          <cell r="H577" t="str">
            <v>R</v>
          </cell>
          <cell r="I577" t="str">
            <v>06/03/2024</v>
          </cell>
          <cell r="J577" t="str">
            <v>06/03/2024</v>
          </cell>
          <cell r="K577" t="str">
            <v>06/17/2024</v>
          </cell>
          <cell r="L577">
            <v>100</v>
          </cell>
          <cell r="M577" t="str">
            <v>6/6/2024 10:04:56 AM</v>
          </cell>
          <cell r="N577" t="str">
            <v>25</v>
          </cell>
          <cell r="O577">
            <v>100</v>
          </cell>
          <cell r="P577">
            <v>43.3</v>
          </cell>
        </row>
        <row r="578">
          <cell r="A578" t="str">
            <v>6724378</v>
          </cell>
          <cell r="B578" t="str">
            <v>1201571</v>
          </cell>
          <cell r="C578" t="str">
            <v>6360RDS-832-491</v>
          </cell>
          <cell r="D578" t="str">
            <v>6360RDS</v>
          </cell>
          <cell r="E578" t="str">
            <v>6360RDS GLOCK 17MOS X300U STX HGS BLK RH</v>
          </cell>
          <cell r="F578" t="str">
            <v>DG-HOLSTER-RDS-DTC</v>
          </cell>
          <cell r="G578" t="str">
            <v>1420-210-FG</v>
          </cell>
          <cell r="H578" t="str">
            <v>F</v>
          </cell>
          <cell r="I578" t="str">
            <v>06/04/2024</v>
          </cell>
          <cell r="J578" t="str">
            <v>06/04/2024</v>
          </cell>
          <cell r="K578" t="str">
            <v>06/17/2024</v>
          </cell>
          <cell r="L578">
            <v>15</v>
          </cell>
          <cell r="M578" t="str">
            <v/>
          </cell>
          <cell r="N578" t="str">
            <v>25</v>
          </cell>
          <cell r="O578">
            <v>15</v>
          </cell>
          <cell r="P578">
            <v>6.5</v>
          </cell>
        </row>
        <row r="579">
          <cell r="A579" t="str">
            <v>6724818</v>
          </cell>
          <cell r="B579" t="str">
            <v>1200912</v>
          </cell>
          <cell r="C579" t="str">
            <v>6360RDS-832-412</v>
          </cell>
          <cell r="D579" t="str">
            <v>6360RDS</v>
          </cell>
          <cell r="E579" t="str">
            <v>6360RDS GLOCK 17MOS X300U STX PLN BLK LH</v>
          </cell>
          <cell r="F579" t="str">
            <v>DG-HOLSTER-RDS-DTC</v>
          </cell>
          <cell r="G579" t="str">
            <v>1420-210-FG</v>
          </cell>
          <cell r="H579" t="str">
            <v>R</v>
          </cell>
          <cell r="I579" t="str">
            <v>06/04/2024</v>
          </cell>
          <cell r="J579" t="str">
            <v>06/10/2024</v>
          </cell>
          <cell r="K579" t="str">
            <v>06/17/2024</v>
          </cell>
          <cell r="L579">
            <v>11</v>
          </cell>
          <cell r="M579" t="str">
            <v>6/6/2024 10:02:28 AM</v>
          </cell>
          <cell r="N579" t="str">
            <v>25</v>
          </cell>
          <cell r="O579">
            <v>11</v>
          </cell>
          <cell r="P579">
            <v>4.76</v>
          </cell>
        </row>
        <row r="580">
          <cell r="A580" t="str">
            <v>6724810</v>
          </cell>
          <cell r="B580" t="str">
            <v>1333004</v>
          </cell>
          <cell r="C580" t="str">
            <v>6360RDS-28327-411</v>
          </cell>
          <cell r="D580" t="str">
            <v>6360RDS</v>
          </cell>
          <cell r="E580" t="str">
            <v>6360RDS GLOCK 19MOS TLR-7 STX PLN BLK RH</v>
          </cell>
          <cell r="F580" t="str">
            <v>DG-HOLSTER-RDS-DTC</v>
          </cell>
          <cell r="G580" t="str">
            <v>1420-210-FG</v>
          </cell>
          <cell r="H580" t="str">
            <v>R</v>
          </cell>
          <cell r="I580" t="str">
            <v>06/04/2024</v>
          </cell>
          <cell r="J580" t="str">
            <v>06/06/2024</v>
          </cell>
          <cell r="K580" t="str">
            <v>06/17/2024</v>
          </cell>
          <cell r="L580">
            <v>40</v>
          </cell>
          <cell r="M580" t="str">
            <v>6/6/2024 9:53:20 AM</v>
          </cell>
          <cell r="N580" t="str">
            <v>25</v>
          </cell>
          <cell r="O580">
            <v>40</v>
          </cell>
          <cell r="P580">
            <v>17.32</v>
          </cell>
        </row>
        <row r="581">
          <cell r="A581" t="str">
            <v>6724389</v>
          </cell>
          <cell r="B581" t="str">
            <v>1336065</v>
          </cell>
          <cell r="C581" t="str">
            <v>6360RDS-28327-701</v>
          </cell>
          <cell r="D581" t="str">
            <v>6360RDS</v>
          </cell>
          <cell r="E581" t="str">
            <v>6360RDS GLOCK 19MOS TLR-7 COR MLTCM RH</v>
          </cell>
          <cell r="F581" t="str">
            <v>DG-HOLSTER-RDS-DTC</v>
          </cell>
          <cell r="G581" t="str">
            <v>1420-210-FG</v>
          </cell>
          <cell r="H581" t="str">
            <v>R</v>
          </cell>
          <cell r="I581" t="str">
            <v>06/04/2024</v>
          </cell>
          <cell r="J581" t="str">
            <v>06/04/2024</v>
          </cell>
          <cell r="K581" t="str">
            <v>06/17/2024</v>
          </cell>
          <cell r="L581">
            <v>5</v>
          </cell>
          <cell r="M581" t="str">
            <v>6/6/2024 9:55:45 AM</v>
          </cell>
          <cell r="N581" t="str">
            <v>25</v>
          </cell>
          <cell r="O581">
            <v>5</v>
          </cell>
          <cell r="P581">
            <v>2</v>
          </cell>
        </row>
        <row r="582">
          <cell r="A582" t="str">
            <v>6727178</v>
          </cell>
          <cell r="B582" t="str">
            <v>1314680</v>
          </cell>
          <cell r="C582" t="str">
            <v>6360RDS-28321-132</v>
          </cell>
          <cell r="D582" t="str">
            <v>6360RDS</v>
          </cell>
          <cell r="E582" t="str">
            <v>6360RDS GLOCK 19MOS TLR2HL STXTAC BLK LH</v>
          </cell>
          <cell r="F582" t="str">
            <v>DG-HOLSTER-RDS-DTC</v>
          </cell>
          <cell r="G582" t="str">
            <v>1420-210-FG</v>
          </cell>
          <cell r="H582" t="str">
            <v>F</v>
          </cell>
          <cell r="I582" t="str">
            <v>06/10/2024</v>
          </cell>
          <cell r="J582" t="str">
            <v>06/10/2024</v>
          </cell>
          <cell r="K582" t="str">
            <v>06/17/2024</v>
          </cell>
          <cell r="L582">
            <v>5</v>
          </cell>
          <cell r="M582" t="str">
            <v/>
          </cell>
          <cell r="N582" t="str">
            <v>25</v>
          </cell>
          <cell r="O582">
            <v>5</v>
          </cell>
          <cell r="P582">
            <v>2</v>
          </cell>
        </row>
        <row r="583">
          <cell r="A583" t="str">
            <v>6727171</v>
          </cell>
          <cell r="B583" t="str">
            <v>1206340</v>
          </cell>
          <cell r="C583" t="str">
            <v>6360RDS-2832-781</v>
          </cell>
          <cell r="D583" t="str">
            <v>6360RDS</v>
          </cell>
          <cell r="E583" t="str">
            <v>6360RDS GLOCK 19MOS X300U CORD BLK RH</v>
          </cell>
          <cell r="F583" t="str">
            <v>DG-HOLSTER-RDS-DTC</v>
          </cell>
          <cell r="G583" t="str">
            <v>1420-210-FG</v>
          </cell>
          <cell r="H583" t="str">
            <v>F</v>
          </cell>
          <cell r="I583" t="str">
            <v>06/10/2024</v>
          </cell>
          <cell r="J583" t="str">
            <v>06/10/2024</v>
          </cell>
          <cell r="K583" t="str">
            <v>06/17/2024</v>
          </cell>
          <cell r="L583">
            <v>5</v>
          </cell>
          <cell r="M583" t="str">
            <v/>
          </cell>
          <cell r="N583" t="str">
            <v>25</v>
          </cell>
          <cell r="O583">
            <v>5</v>
          </cell>
          <cell r="P583">
            <v>2</v>
          </cell>
        </row>
        <row r="584">
          <cell r="A584" t="str">
            <v>6723752</v>
          </cell>
          <cell r="B584" t="str">
            <v>1204136</v>
          </cell>
          <cell r="C584" t="str">
            <v>6360RDS-2832-481</v>
          </cell>
          <cell r="D584" t="str">
            <v>6360RDS</v>
          </cell>
          <cell r="E584" t="str">
            <v>6360RDS GLOCK 19MOS X300U STX BSK BLK RH</v>
          </cell>
          <cell r="F584" t="str">
            <v>DG-HOLSTER-RDS-DTC</v>
          </cell>
          <cell r="G584" t="str">
            <v>1420-210-FG</v>
          </cell>
          <cell r="H584" t="str">
            <v>F</v>
          </cell>
          <cell r="I584" t="str">
            <v>06/03/2024</v>
          </cell>
          <cell r="J584" t="str">
            <v>06/03/2024</v>
          </cell>
          <cell r="K584" t="str">
            <v>06/17/2024</v>
          </cell>
          <cell r="L584">
            <v>75</v>
          </cell>
          <cell r="M584" t="str">
            <v/>
          </cell>
          <cell r="N584" t="str">
            <v>25</v>
          </cell>
          <cell r="O584">
            <v>75</v>
          </cell>
          <cell r="P584">
            <v>30</v>
          </cell>
        </row>
        <row r="585">
          <cell r="A585" t="str">
            <v>6727182</v>
          </cell>
          <cell r="B585" t="str">
            <v>1320144</v>
          </cell>
          <cell r="C585" t="str">
            <v>6360RDS-2832-561</v>
          </cell>
          <cell r="D585" t="str">
            <v>6360RDS</v>
          </cell>
          <cell r="E585" t="str">
            <v>6360RDS GLOCK 19MOS X300U STX TAC ODG RH</v>
          </cell>
          <cell r="F585" t="str">
            <v>DG-HOLSTER-RDS-DTC</v>
          </cell>
          <cell r="G585" t="str">
            <v>1420-210-FG</v>
          </cell>
          <cell r="H585" t="str">
            <v>F</v>
          </cell>
          <cell r="I585" t="str">
            <v>06/10/2024</v>
          </cell>
          <cell r="J585" t="str">
            <v>06/10/2024</v>
          </cell>
          <cell r="K585" t="str">
            <v>06/17/2024</v>
          </cell>
          <cell r="L585">
            <v>5</v>
          </cell>
          <cell r="M585" t="str">
            <v/>
          </cell>
          <cell r="N585" t="str">
            <v>25</v>
          </cell>
          <cell r="O585">
            <v>5</v>
          </cell>
          <cell r="P585">
            <v>2</v>
          </cell>
        </row>
        <row r="586">
          <cell r="A586" t="str">
            <v>6724342</v>
          </cell>
          <cell r="B586" t="str">
            <v>1319441</v>
          </cell>
          <cell r="C586" t="str">
            <v>6360RDS-6832-731</v>
          </cell>
          <cell r="D586" t="str">
            <v>6360RDS</v>
          </cell>
          <cell r="E586" t="str">
            <v>6360RDS GLOCK 34/35 X300U COR CAM GRN RH</v>
          </cell>
          <cell r="F586" t="str">
            <v>DG-HOLSTER-RDS</v>
          </cell>
          <cell r="G586" t="str">
            <v>1420-210-FG</v>
          </cell>
          <cell r="H586" t="str">
            <v>F</v>
          </cell>
          <cell r="I586" t="str">
            <v>06/04/2024</v>
          </cell>
          <cell r="J586" t="str">
            <v>06/04/2024</v>
          </cell>
          <cell r="K586" t="str">
            <v>06/17/2024</v>
          </cell>
          <cell r="L586">
            <v>5</v>
          </cell>
          <cell r="M586" t="str">
            <v/>
          </cell>
          <cell r="N586" t="str">
            <v>25</v>
          </cell>
          <cell r="O586">
            <v>5</v>
          </cell>
          <cell r="P586">
            <v>2</v>
          </cell>
        </row>
        <row r="587">
          <cell r="A587" t="str">
            <v>6723591</v>
          </cell>
          <cell r="B587" t="str">
            <v>1204803</v>
          </cell>
          <cell r="C587" t="str">
            <v>6360RDS-6832-701</v>
          </cell>
          <cell r="D587" t="str">
            <v>6360RDS</v>
          </cell>
          <cell r="E587" t="str">
            <v>6360RDS GLOCK 34/35 X300U COR MLTCM RH</v>
          </cell>
          <cell r="F587" t="str">
            <v>DG-HOLSTER-RDS</v>
          </cell>
          <cell r="G587" t="str">
            <v>1420-210-FG</v>
          </cell>
          <cell r="H587" t="str">
            <v>R</v>
          </cell>
          <cell r="I587" t="str">
            <v>06/03/2024</v>
          </cell>
          <cell r="J587" t="str">
            <v>06/03/2024</v>
          </cell>
          <cell r="K587" t="str">
            <v>06/17/2024</v>
          </cell>
          <cell r="L587">
            <v>10</v>
          </cell>
          <cell r="M587" t="str">
            <v>6/6/2024 10:14:11 AM</v>
          </cell>
          <cell r="N587" t="str">
            <v>25</v>
          </cell>
          <cell r="O587">
            <v>10</v>
          </cell>
          <cell r="P587">
            <v>4</v>
          </cell>
        </row>
        <row r="588">
          <cell r="A588" t="str">
            <v>6723589</v>
          </cell>
          <cell r="B588" t="str">
            <v>1201635</v>
          </cell>
          <cell r="C588" t="str">
            <v>6360RDS-6832-481</v>
          </cell>
          <cell r="D588" t="str">
            <v>6360RDS</v>
          </cell>
          <cell r="E588" t="str">
            <v>6360RDS GLOCK 34/35 X300U STX BSK BLK RH</v>
          </cell>
          <cell r="F588" t="str">
            <v>DG-HOLSTER-RDS</v>
          </cell>
          <cell r="G588" t="str">
            <v>1420-210-FG</v>
          </cell>
          <cell r="H588" t="str">
            <v>F</v>
          </cell>
          <cell r="I588" t="str">
            <v>06/03/2024</v>
          </cell>
          <cell r="J588" t="str">
            <v>06/03/2024</v>
          </cell>
          <cell r="K588" t="str">
            <v>06/17/2024</v>
          </cell>
          <cell r="L588">
            <v>5</v>
          </cell>
          <cell r="M588" t="str">
            <v/>
          </cell>
          <cell r="N588" t="str">
            <v>25</v>
          </cell>
          <cell r="O588">
            <v>5</v>
          </cell>
          <cell r="P588">
            <v>2</v>
          </cell>
        </row>
        <row r="589">
          <cell r="A589" t="str">
            <v>6726991</v>
          </cell>
          <cell r="B589" t="str">
            <v>1201848</v>
          </cell>
          <cell r="C589" t="str">
            <v>6360RDS-6832-491</v>
          </cell>
          <cell r="D589" t="str">
            <v>6360RDS</v>
          </cell>
          <cell r="E589" t="str">
            <v>6360RDS GLOCK 34/35 X300U STX HGS BLK RH</v>
          </cell>
          <cell r="F589" t="str">
            <v>DG-HOLSTER-RDS</v>
          </cell>
          <cell r="G589" t="str">
            <v>1420-210-FG</v>
          </cell>
          <cell r="H589" t="str">
            <v>F</v>
          </cell>
          <cell r="I589" t="str">
            <v>06/10/2024</v>
          </cell>
          <cell r="J589" t="str">
            <v>06/10/2024</v>
          </cell>
          <cell r="K589" t="str">
            <v>06/17/2024</v>
          </cell>
          <cell r="L589">
            <v>5</v>
          </cell>
          <cell r="M589" t="str">
            <v/>
          </cell>
          <cell r="N589" t="str">
            <v>25</v>
          </cell>
          <cell r="O589">
            <v>5</v>
          </cell>
          <cell r="P589">
            <v>2</v>
          </cell>
        </row>
        <row r="590">
          <cell r="A590" t="str">
            <v>6723587</v>
          </cell>
          <cell r="B590" t="str">
            <v>1200341</v>
          </cell>
          <cell r="C590" t="str">
            <v>6360RDS-6832-132</v>
          </cell>
          <cell r="D590" t="str">
            <v>6360RDS</v>
          </cell>
          <cell r="E590" t="str">
            <v>6360RDS GLOCK 34/35 X300U STX TAC BLK LH</v>
          </cell>
          <cell r="F590" t="str">
            <v>DG-HOLSTER-RDS</v>
          </cell>
          <cell r="G590" t="str">
            <v>1420-210-FG</v>
          </cell>
          <cell r="H590" t="str">
            <v>R</v>
          </cell>
          <cell r="I590" t="str">
            <v>06/03/2024</v>
          </cell>
          <cell r="J590" t="str">
            <v>06/03/2024</v>
          </cell>
          <cell r="K590" t="str">
            <v>06/17/2024</v>
          </cell>
          <cell r="L590">
            <v>5</v>
          </cell>
          <cell r="M590" t="str">
            <v>6/6/2024 9:59:43 AM</v>
          </cell>
          <cell r="N590" t="str">
            <v>25</v>
          </cell>
          <cell r="O590">
            <v>5</v>
          </cell>
          <cell r="P590">
            <v>2</v>
          </cell>
        </row>
        <row r="591">
          <cell r="A591" t="str">
            <v>6727105</v>
          </cell>
          <cell r="B591" t="str">
            <v>1334565</v>
          </cell>
          <cell r="C591" t="str">
            <v>6360RDS-5932-411</v>
          </cell>
          <cell r="D591" t="str">
            <v>6360RDS</v>
          </cell>
          <cell r="E591" t="str">
            <v>6360RDS H&amp;K VP9 X300U STX PLN BLK RH</v>
          </cell>
          <cell r="F591" t="str">
            <v>DG-HOLSTER-RDS</v>
          </cell>
          <cell r="G591" t="str">
            <v>1420-210-FG</v>
          </cell>
          <cell r="H591" t="str">
            <v>F</v>
          </cell>
          <cell r="I591" t="str">
            <v>06/10/2024</v>
          </cell>
          <cell r="J591" t="str">
            <v>06/10/2024</v>
          </cell>
          <cell r="K591" t="str">
            <v>06/17/2024</v>
          </cell>
          <cell r="L591">
            <v>10</v>
          </cell>
          <cell r="M591" t="str">
            <v/>
          </cell>
          <cell r="N591" t="str">
            <v>25</v>
          </cell>
          <cell r="O591">
            <v>10</v>
          </cell>
          <cell r="P591">
            <v>4</v>
          </cell>
        </row>
        <row r="592">
          <cell r="A592" t="str">
            <v>6727012</v>
          </cell>
          <cell r="B592" t="str">
            <v>1319551</v>
          </cell>
          <cell r="C592" t="str">
            <v>6360RDS-2222-482</v>
          </cell>
          <cell r="D592" t="str">
            <v>6360RDS</v>
          </cell>
          <cell r="E592" t="str">
            <v>6360RDS MP2.0 9 CORE X300U STXBSK BLK LH</v>
          </cell>
          <cell r="F592" t="str">
            <v>DG-HOLSTER-RDS</v>
          </cell>
          <cell r="G592" t="str">
            <v>1420-210-FG</v>
          </cell>
          <cell r="H592" t="str">
            <v>F</v>
          </cell>
          <cell r="I592" t="str">
            <v>06/10/2024</v>
          </cell>
          <cell r="J592" t="str">
            <v>06/10/2024</v>
          </cell>
          <cell r="K592" t="str">
            <v>06/17/2024</v>
          </cell>
          <cell r="L592">
            <v>5</v>
          </cell>
          <cell r="M592" t="str">
            <v/>
          </cell>
          <cell r="N592" t="str">
            <v>25</v>
          </cell>
          <cell r="O592">
            <v>5</v>
          </cell>
          <cell r="P592">
            <v>2</v>
          </cell>
        </row>
        <row r="593">
          <cell r="A593" t="str">
            <v>6723534</v>
          </cell>
          <cell r="B593" t="str">
            <v>1320402</v>
          </cell>
          <cell r="C593" t="str">
            <v>6360RDS-2222-411</v>
          </cell>
          <cell r="D593" t="str">
            <v>6360RDS</v>
          </cell>
          <cell r="E593" t="str">
            <v>6360RDS MP2.0 9 CORE X300U STXPLN BLK RH</v>
          </cell>
          <cell r="F593" t="str">
            <v>DG-HOLSTER-RDS</v>
          </cell>
          <cell r="G593" t="str">
            <v>1420-210-FG</v>
          </cell>
          <cell r="H593" t="str">
            <v>R</v>
          </cell>
          <cell r="I593" t="str">
            <v>06/03/2024</v>
          </cell>
          <cell r="J593" t="str">
            <v>06/03/2024</v>
          </cell>
          <cell r="K593" t="str">
            <v>06/17/2024</v>
          </cell>
          <cell r="L593">
            <v>50</v>
          </cell>
          <cell r="M593" t="str">
            <v>6/6/2024 10:02:28 AM</v>
          </cell>
          <cell r="N593" t="str">
            <v>25</v>
          </cell>
          <cell r="O593">
            <v>50</v>
          </cell>
          <cell r="P593">
            <v>20</v>
          </cell>
        </row>
        <row r="594">
          <cell r="A594" t="str">
            <v>6726968</v>
          </cell>
          <cell r="B594" t="str">
            <v>1320402</v>
          </cell>
          <cell r="C594" t="str">
            <v>6360RDS-2222-411</v>
          </cell>
          <cell r="D594" t="str">
            <v>6360RDS</v>
          </cell>
          <cell r="E594" t="str">
            <v>6360RDS MP2.0 9 CORE X300U STXPLN BLK RH</v>
          </cell>
          <cell r="F594" t="str">
            <v>DG-HOLSTER-RDS</v>
          </cell>
          <cell r="G594" t="str">
            <v>1420-210-FG</v>
          </cell>
          <cell r="H594" t="str">
            <v>F</v>
          </cell>
          <cell r="I594" t="str">
            <v>06/10/2024</v>
          </cell>
          <cell r="J594" t="str">
            <v>06/10/2024</v>
          </cell>
          <cell r="K594" t="str">
            <v>06/17/2024</v>
          </cell>
          <cell r="L594">
            <v>50</v>
          </cell>
          <cell r="M594" t="str">
            <v/>
          </cell>
          <cell r="N594" t="str">
            <v>25</v>
          </cell>
          <cell r="O594">
            <v>50</v>
          </cell>
          <cell r="P594">
            <v>20</v>
          </cell>
        </row>
        <row r="595">
          <cell r="A595" t="str">
            <v>6723527</v>
          </cell>
          <cell r="B595" t="str">
            <v>1319548</v>
          </cell>
          <cell r="C595" t="str">
            <v>6360RDS-2222-131</v>
          </cell>
          <cell r="D595" t="str">
            <v>6360RDS</v>
          </cell>
          <cell r="E595" t="str">
            <v>6360RDS MP2.0 9 CORE X300U STXTAC BLK RH</v>
          </cell>
          <cell r="F595" t="str">
            <v>DG-HOLSTER-RDS</v>
          </cell>
          <cell r="G595" t="str">
            <v>1420-210-FG</v>
          </cell>
          <cell r="H595" t="str">
            <v>R</v>
          </cell>
          <cell r="I595" t="str">
            <v>06/03/2024</v>
          </cell>
          <cell r="J595" t="str">
            <v>06/03/2024</v>
          </cell>
          <cell r="K595" t="str">
            <v>06/17/2024</v>
          </cell>
          <cell r="L595">
            <v>58</v>
          </cell>
          <cell r="M595" t="str">
            <v>6/6/2024 9:59:43 AM</v>
          </cell>
          <cell r="N595" t="str">
            <v>25</v>
          </cell>
          <cell r="O595">
            <v>58</v>
          </cell>
          <cell r="P595">
            <v>23.2</v>
          </cell>
        </row>
        <row r="596">
          <cell r="A596" t="str">
            <v>6726967</v>
          </cell>
          <cell r="B596" t="str">
            <v>1319548</v>
          </cell>
          <cell r="C596" t="str">
            <v>6360RDS-2222-131</v>
          </cell>
          <cell r="D596" t="str">
            <v>6360RDS</v>
          </cell>
          <cell r="E596" t="str">
            <v>6360RDS MP2.0 9 CORE X300U STXTAC BLK RH</v>
          </cell>
          <cell r="F596" t="str">
            <v>DG-HOLSTER-RDS</v>
          </cell>
          <cell r="G596" t="str">
            <v>1420-210-FG</v>
          </cell>
          <cell r="H596" t="str">
            <v>F</v>
          </cell>
          <cell r="I596" t="str">
            <v>06/10/2024</v>
          </cell>
          <cell r="J596" t="str">
            <v>06/10/2024</v>
          </cell>
          <cell r="K596" t="str">
            <v>06/17/2024</v>
          </cell>
          <cell r="L596">
            <v>50</v>
          </cell>
          <cell r="M596" t="str">
            <v/>
          </cell>
          <cell r="N596" t="str">
            <v>25</v>
          </cell>
          <cell r="O596">
            <v>50</v>
          </cell>
          <cell r="P596">
            <v>20</v>
          </cell>
        </row>
        <row r="597">
          <cell r="A597" t="str">
            <v>6726992</v>
          </cell>
          <cell r="B597" t="str">
            <v>1205934</v>
          </cell>
          <cell r="C597" t="str">
            <v>6360RDS-2192-481</v>
          </cell>
          <cell r="D597" t="str">
            <v>6360RDS</v>
          </cell>
          <cell r="E597" t="str">
            <v>6360RDS S&amp;W M&amp;P 4IN X300U STX BSK BLK RH</v>
          </cell>
          <cell r="F597" t="str">
            <v>DG-HOLSTER-RDS</v>
          </cell>
          <cell r="G597" t="str">
            <v>1420-210-FG</v>
          </cell>
          <cell r="H597" t="str">
            <v>F</v>
          </cell>
          <cell r="I597" t="str">
            <v>06/10/2024</v>
          </cell>
          <cell r="J597" t="str">
            <v>06/10/2024</v>
          </cell>
          <cell r="K597" t="str">
            <v>06/17/2024</v>
          </cell>
          <cell r="L597">
            <v>5</v>
          </cell>
          <cell r="M597" t="str">
            <v/>
          </cell>
          <cell r="N597" t="str">
            <v>25</v>
          </cell>
          <cell r="O597">
            <v>5</v>
          </cell>
          <cell r="P597">
            <v>2</v>
          </cell>
        </row>
        <row r="598">
          <cell r="A598" t="str">
            <v>6723911</v>
          </cell>
          <cell r="B598" t="str">
            <v>1336115</v>
          </cell>
          <cell r="C598" t="str">
            <v>6360RDS-572-481</v>
          </cell>
          <cell r="D598" t="str">
            <v>6360RDS</v>
          </cell>
          <cell r="E598" t="str">
            <v>6360RDS SA ECHELON X300U STX BSK BLK RH</v>
          </cell>
          <cell r="F598" t="str">
            <v>DG-HOLSTER-RDS-DTC</v>
          </cell>
          <cell r="G598" t="str">
            <v>1420-210-FG</v>
          </cell>
          <cell r="H598" t="str">
            <v>R</v>
          </cell>
          <cell r="I598" t="str">
            <v>06/03/2024</v>
          </cell>
          <cell r="J598" t="str">
            <v>06/03/2024</v>
          </cell>
          <cell r="K598" t="str">
            <v>06/17/2024</v>
          </cell>
          <cell r="L598">
            <v>5</v>
          </cell>
          <cell r="M598" t="str">
            <v>6/6/2024 10:08:46 AM</v>
          </cell>
          <cell r="N598" t="str">
            <v>25</v>
          </cell>
          <cell r="O598">
            <v>5</v>
          </cell>
          <cell r="P598">
            <v>2</v>
          </cell>
        </row>
        <row r="599">
          <cell r="A599" t="str">
            <v>6723602</v>
          </cell>
          <cell r="B599" t="str">
            <v>1208000</v>
          </cell>
          <cell r="C599" t="str">
            <v>6360RDS-7502-131</v>
          </cell>
          <cell r="D599" t="str">
            <v>6360RDS</v>
          </cell>
          <cell r="E599" t="str">
            <v>6360RDS SIG 320CRX X300U STX TAC BLK RH</v>
          </cell>
          <cell r="F599" t="str">
            <v>DG-HOLSTER-RDS</v>
          </cell>
          <cell r="G599" t="str">
            <v>1420-210-FG</v>
          </cell>
          <cell r="H599" t="str">
            <v>R</v>
          </cell>
          <cell r="I599" t="str">
            <v>06/03/2024</v>
          </cell>
          <cell r="J599" t="str">
            <v>06/03/2024</v>
          </cell>
          <cell r="K599" t="str">
            <v>06/17/2024</v>
          </cell>
          <cell r="L599">
            <v>10</v>
          </cell>
          <cell r="M599" t="str">
            <v>6/6/2024 9:59:43 AM</v>
          </cell>
          <cell r="N599" t="str">
            <v>25</v>
          </cell>
          <cell r="O599">
            <v>10</v>
          </cell>
          <cell r="P599">
            <v>4</v>
          </cell>
        </row>
        <row r="600">
          <cell r="A600" t="str">
            <v>6723706</v>
          </cell>
          <cell r="B600" t="str">
            <v>1334427</v>
          </cell>
          <cell r="C600" t="str">
            <v>6360RDS-45028-131</v>
          </cell>
          <cell r="D600" t="str">
            <v>6360RDS</v>
          </cell>
          <cell r="E600" t="str">
            <v>6360RDS SIG 320RX TLR-8 STX TAC BLK RH</v>
          </cell>
          <cell r="F600" t="str">
            <v>DG-HOLSTER-RDS</v>
          </cell>
          <cell r="G600" t="str">
            <v>1420-210-FG</v>
          </cell>
          <cell r="H600" t="str">
            <v>R</v>
          </cell>
          <cell r="I600" t="str">
            <v>06/03/2024</v>
          </cell>
          <cell r="J600" t="str">
            <v>06/03/2024</v>
          </cell>
          <cell r="K600" t="str">
            <v>06/17/2024</v>
          </cell>
          <cell r="L600">
            <v>5</v>
          </cell>
          <cell r="M600" t="str">
            <v>6/6/2024 10:08:46 AM</v>
          </cell>
          <cell r="N600" t="str">
            <v>25</v>
          </cell>
          <cell r="O600">
            <v>5</v>
          </cell>
          <cell r="P600">
            <v>2.17</v>
          </cell>
        </row>
        <row r="601">
          <cell r="A601" t="str">
            <v>6724360</v>
          </cell>
          <cell r="B601" t="str">
            <v>1314762</v>
          </cell>
          <cell r="C601" t="str">
            <v>6360RDS-4502-701</v>
          </cell>
          <cell r="D601" t="str">
            <v>6360RDS</v>
          </cell>
          <cell r="E601" t="str">
            <v>6360RDS SIG 320RX X300U CORD MLTCM RH</v>
          </cell>
          <cell r="F601" t="str">
            <v>DG-HOLSTER-RDS</v>
          </cell>
          <cell r="G601" t="str">
            <v>1420-210-FG</v>
          </cell>
          <cell r="H601" t="str">
            <v>R</v>
          </cell>
          <cell r="I601" t="str">
            <v>06/04/2024</v>
          </cell>
          <cell r="J601" t="str">
            <v>06/04/2024</v>
          </cell>
          <cell r="K601" t="str">
            <v>06/17/2024</v>
          </cell>
          <cell r="L601">
            <v>22</v>
          </cell>
          <cell r="M601" t="str">
            <v>6/6/2024 10:14:11 AM</v>
          </cell>
          <cell r="N601" t="str">
            <v>25</v>
          </cell>
          <cell r="O601">
            <v>22</v>
          </cell>
          <cell r="P601">
            <v>9.5299999999999994</v>
          </cell>
        </row>
        <row r="602">
          <cell r="A602" t="str">
            <v>6723599</v>
          </cell>
          <cell r="B602" t="str">
            <v>1207981</v>
          </cell>
          <cell r="C602" t="str">
            <v>6360RDS-4502-482</v>
          </cell>
          <cell r="D602" t="str">
            <v>6360RDS</v>
          </cell>
          <cell r="E602" t="str">
            <v>6360RDS SIG 320RX X300U STX BSK BLK LH</v>
          </cell>
          <cell r="F602" t="str">
            <v>DG-HOLSTER-RDS</v>
          </cell>
          <cell r="G602" t="str">
            <v>1420-210-FG</v>
          </cell>
          <cell r="H602" t="str">
            <v>R</v>
          </cell>
          <cell r="I602" t="str">
            <v>06/03/2024</v>
          </cell>
          <cell r="J602" t="str">
            <v>06/03/2024</v>
          </cell>
          <cell r="K602" t="str">
            <v>06/17/2024</v>
          </cell>
          <cell r="L602">
            <v>5</v>
          </cell>
          <cell r="M602" t="str">
            <v>6/6/2024 10:04:20 AM</v>
          </cell>
          <cell r="N602" t="str">
            <v>25</v>
          </cell>
          <cell r="O602">
            <v>5</v>
          </cell>
          <cell r="P602">
            <v>2.17</v>
          </cell>
        </row>
        <row r="603">
          <cell r="A603" t="str">
            <v>6726965</v>
          </cell>
          <cell r="B603" t="str">
            <v>1207980</v>
          </cell>
          <cell r="C603" t="str">
            <v>6360RDS-4502-481</v>
          </cell>
          <cell r="D603" t="str">
            <v>6360RDS</v>
          </cell>
          <cell r="E603" t="str">
            <v>6360RDS SIG 320RX X300U STX BSK BLK RH</v>
          </cell>
          <cell r="F603" t="str">
            <v>DG-HOLSTER-RDS</v>
          </cell>
          <cell r="G603" t="str">
            <v>1420-210-FG</v>
          </cell>
          <cell r="H603" t="str">
            <v>F</v>
          </cell>
          <cell r="I603" t="str">
            <v>06/10/2024</v>
          </cell>
          <cell r="J603" t="str">
            <v>06/10/2024</v>
          </cell>
          <cell r="K603" t="str">
            <v>06/17/2024</v>
          </cell>
          <cell r="L603">
            <v>50</v>
          </cell>
          <cell r="M603" t="str">
            <v/>
          </cell>
          <cell r="N603" t="str">
            <v>25</v>
          </cell>
          <cell r="O603">
            <v>50</v>
          </cell>
          <cell r="P603">
            <v>21.65</v>
          </cell>
        </row>
        <row r="604">
          <cell r="A604" t="str">
            <v>6726966</v>
          </cell>
          <cell r="B604" t="str">
            <v>1207980</v>
          </cell>
          <cell r="C604" t="str">
            <v>6360RDS-4502-481</v>
          </cell>
          <cell r="D604" t="str">
            <v>6360RDS</v>
          </cell>
          <cell r="E604" t="str">
            <v>6360RDS SIG 320RX X300U STX BSK BLK RH</v>
          </cell>
          <cell r="F604" t="str">
            <v>DG-HOLSTER-RDS</v>
          </cell>
          <cell r="G604" t="str">
            <v>1420-210-FG</v>
          </cell>
          <cell r="H604" t="str">
            <v>F</v>
          </cell>
          <cell r="I604" t="str">
            <v>06/10/2024</v>
          </cell>
          <cell r="J604" t="str">
            <v>06/10/2024</v>
          </cell>
          <cell r="K604" t="str">
            <v>06/17/2024</v>
          </cell>
          <cell r="L604">
            <v>40</v>
          </cell>
          <cell r="M604" t="str">
            <v/>
          </cell>
          <cell r="N604" t="str">
            <v>25</v>
          </cell>
          <cell r="O604">
            <v>40</v>
          </cell>
          <cell r="P604">
            <v>17.32</v>
          </cell>
        </row>
        <row r="605">
          <cell r="A605" t="str">
            <v>6724751</v>
          </cell>
          <cell r="B605" t="str">
            <v>1207979</v>
          </cell>
          <cell r="C605" t="str">
            <v>6360RDS-4502-412</v>
          </cell>
          <cell r="D605" t="str">
            <v>6360RDS</v>
          </cell>
          <cell r="E605" t="str">
            <v>6360RDS SIG 320RX X300U STX PLN BLK LH</v>
          </cell>
          <cell r="F605" t="str">
            <v>DG-HOLSTER-RDS</v>
          </cell>
          <cell r="G605" t="str">
            <v>1420-210-FG</v>
          </cell>
          <cell r="H605" t="str">
            <v>R</v>
          </cell>
          <cell r="I605" t="str">
            <v>06/04/2024</v>
          </cell>
          <cell r="J605" t="str">
            <v>06/10/2024</v>
          </cell>
          <cell r="K605" t="str">
            <v>06/17/2024</v>
          </cell>
          <cell r="L605">
            <v>5</v>
          </cell>
          <cell r="M605" t="str">
            <v>6/6/2024 10:02:28 AM</v>
          </cell>
          <cell r="N605" t="str">
            <v>25</v>
          </cell>
          <cell r="O605">
            <v>5</v>
          </cell>
          <cell r="P605">
            <v>2.17</v>
          </cell>
        </row>
        <row r="606">
          <cell r="A606" t="str">
            <v>6725068</v>
          </cell>
          <cell r="B606" t="str">
            <v>1207978</v>
          </cell>
          <cell r="C606" t="str">
            <v>6360RDS-4502-411</v>
          </cell>
          <cell r="D606" t="str">
            <v>6360RDS</v>
          </cell>
          <cell r="E606" t="str">
            <v>6360RDS SIG 320RX X300U STX PLN BLK RH</v>
          </cell>
          <cell r="F606" t="str">
            <v>DG-HOLSTER-RDS</v>
          </cell>
          <cell r="G606" t="str">
            <v>1420-210-FG</v>
          </cell>
          <cell r="H606" t="str">
            <v>R</v>
          </cell>
          <cell r="I606" t="str">
            <v>06/05/2024</v>
          </cell>
          <cell r="J606" t="str">
            <v>06/05/2024</v>
          </cell>
          <cell r="K606" t="str">
            <v>06/17/2024</v>
          </cell>
          <cell r="L606">
            <v>20</v>
          </cell>
          <cell r="M606" t="str">
            <v>6/6/2024 10:02:28 AM</v>
          </cell>
          <cell r="N606" t="str">
            <v>25</v>
          </cell>
          <cell r="O606">
            <v>20</v>
          </cell>
          <cell r="P606">
            <v>8.66</v>
          </cell>
        </row>
        <row r="607">
          <cell r="A607" t="str">
            <v>6727050</v>
          </cell>
          <cell r="B607" t="str">
            <v>1325591</v>
          </cell>
          <cell r="C607" t="str">
            <v>6360RDS-4502-761</v>
          </cell>
          <cell r="D607" t="str">
            <v>6360RDS</v>
          </cell>
          <cell r="E607" t="str">
            <v>6360RDS SIG 320RX X300U STX TAC CBRN RH</v>
          </cell>
          <cell r="F607" t="str">
            <v>DG-HOLSTER-RDS</v>
          </cell>
          <cell r="G607" t="str">
            <v>1420-210-FG</v>
          </cell>
          <cell r="H607" t="str">
            <v>F</v>
          </cell>
          <cell r="I607" t="str">
            <v>06/10/2024</v>
          </cell>
          <cell r="J607" t="str">
            <v>06/10/2024</v>
          </cell>
          <cell r="K607" t="str">
            <v>06/17/2024</v>
          </cell>
          <cell r="L607">
            <v>5</v>
          </cell>
          <cell r="M607" t="str">
            <v/>
          </cell>
          <cell r="N607" t="str">
            <v>25</v>
          </cell>
          <cell r="O607">
            <v>5</v>
          </cell>
          <cell r="P607">
            <v>2.17</v>
          </cell>
        </row>
        <row r="608">
          <cell r="A608" t="str">
            <v>6727091</v>
          </cell>
          <cell r="B608" t="str">
            <v>1333413</v>
          </cell>
          <cell r="C608" t="str">
            <v>6360RDS-75227-411</v>
          </cell>
          <cell r="D608" t="str">
            <v>6360RDS</v>
          </cell>
          <cell r="E608" t="str">
            <v>6360RDS SIG P320C RX TLR7 STX PLN BLK RH</v>
          </cell>
          <cell r="F608" t="str">
            <v>DG-HOLSTER-RDS</v>
          </cell>
          <cell r="G608" t="str">
            <v>1420-210-FG</v>
          </cell>
          <cell r="H608" t="str">
            <v>F</v>
          </cell>
          <cell r="I608" t="str">
            <v>06/10/2024</v>
          </cell>
          <cell r="J608" t="str">
            <v>06/10/2024</v>
          </cell>
          <cell r="K608" t="str">
            <v>06/17/2024</v>
          </cell>
          <cell r="L608">
            <v>15</v>
          </cell>
          <cell r="M608" t="str">
            <v/>
          </cell>
          <cell r="N608" t="str">
            <v>25</v>
          </cell>
          <cell r="O608">
            <v>15</v>
          </cell>
          <cell r="P608">
            <v>6.5</v>
          </cell>
        </row>
        <row r="609">
          <cell r="A609" t="str">
            <v>6727090</v>
          </cell>
          <cell r="B609" t="str">
            <v>1333411</v>
          </cell>
          <cell r="C609" t="str">
            <v>6360RDS-75227-131</v>
          </cell>
          <cell r="D609" t="str">
            <v>6360RDS</v>
          </cell>
          <cell r="E609" t="str">
            <v>6360RDS SIG P320C RX TLR7 STX TAC BLK RH</v>
          </cell>
          <cell r="F609" t="str">
            <v>DG-HOLSTER-RDS</v>
          </cell>
          <cell r="G609" t="str">
            <v>1420-210-FG</v>
          </cell>
          <cell r="H609" t="str">
            <v>F</v>
          </cell>
          <cell r="I609" t="str">
            <v>06/10/2024</v>
          </cell>
          <cell r="J609" t="str">
            <v>06/10/2024</v>
          </cell>
          <cell r="K609" t="str">
            <v>06/17/2024</v>
          </cell>
          <cell r="L609">
            <v>5</v>
          </cell>
          <cell r="M609" t="str">
            <v/>
          </cell>
          <cell r="N609" t="str">
            <v>25</v>
          </cell>
          <cell r="O609">
            <v>5</v>
          </cell>
          <cell r="P609">
            <v>2.17</v>
          </cell>
        </row>
        <row r="610">
          <cell r="A610" t="str">
            <v>6727031</v>
          </cell>
          <cell r="B610" t="str">
            <v>1324639</v>
          </cell>
          <cell r="C610" t="str">
            <v>6360RDS-1582-781</v>
          </cell>
          <cell r="D610" t="str">
            <v>6360RDS</v>
          </cell>
          <cell r="E610" t="str">
            <v>6360RDS STI STACC P 4.4" X300U CORBLK RH</v>
          </cell>
          <cell r="F610" t="str">
            <v>DG-HOLSTER-RDS</v>
          </cell>
          <cell r="G610" t="str">
            <v>1420-210-FG</v>
          </cell>
          <cell r="H610" t="str">
            <v>F</v>
          </cell>
          <cell r="I610" t="str">
            <v>06/10/2024</v>
          </cell>
          <cell r="J610" t="str">
            <v>06/10/2024</v>
          </cell>
          <cell r="K610" t="str">
            <v>06/17/2024</v>
          </cell>
          <cell r="L610">
            <v>18</v>
          </cell>
          <cell r="M610" t="str">
            <v/>
          </cell>
          <cell r="N610" t="str">
            <v>25</v>
          </cell>
          <cell r="O610">
            <v>18</v>
          </cell>
          <cell r="P610">
            <v>7.2</v>
          </cell>
        </row>
        <row r="611">
          <cell r="A611" t="str">
            <v>6727030</v>
          </cell>
          <cell r="B611" t="str">
            <v>1324636</v>
          </cell>
          <cell r="C611" t="str">
            <v>6360RDS-1582-132</v>
          </cell>
          <cell r="D611" t="str">
            <v>6360RDS</v>
          </cell>
          <cell r="E611" t="str">
            <v>6360RDS STI STACC P 4.4" X300U STXBLK LH</v>
          </cell>
          <cell r="F611" t="str">
            <v>DG-HOLSTER-RDS</v>
          </cell>
          <cell r="G611" t="str">
            <v>1420-210-FG</v>
          </cell>
          <cell r="H611" t="str">
            <v>F</v>
          </cell>
          <cell r="I611" t="str">
            <v>06/10/2024</v>
          </cell>
          <cell r="J611" t="str">
            <v>06/10/2024</v>
          </cell>
          <cell r="K611" t="str">
            <v>06/17/2024</v>
          </cell>
          <cell r="L611">
            <v>7</v>
          </cell>
          <cell r="M611" t="str">
            <v/>
          </cell>
          <cell r="N611" t="str">
            <v>25</v>
          </cell>
          <cell r="O611">
            <v>7</v>
          </cell>
          <cell r="P611">
            <v>2.8</v>
          </cell>
        </row>
        <row r="612">
          <cell r="A612" t="str">
            <v>6726969</v>
          </cell>
          <cell r="B612" t="str">
            <v>1324635</v>
          </cell>
          <cell r="C612" t="str">
            <v>6360RDS-1582-131</v>
          </cell>
          <cell r="D612" t="str">
            <v>6360RDS</v>
          </cell>
          <cell r="E612" t="str">
            <v>6360RDS STI STACC P 4.4" X300U STXBLK RH</v>
          </cell>
          <cell r="F612" t="str">
            <v>DG-HOLSTER-RDS</v>
          </cell>
          <cell r="G612" t="str">
            <v>1420-210-FG</v>
          </cell>
          <cell r="H612" t="str">
            <v>F</v>
          </cell>
          <cell r="I612" t="str">
            <v>06/10/2024</v>
          </cell>
          <cell r="J612" t="str">
            <v>06/10/2024</v>
          </cell>
          <cell r="K612" t="str">
            <v>06/17/2024</v>
          </cell>
          <cell r="L612">
            <v>40</v>
          </cell>
          <cell r="M612" t="str">
            <v/>
          </cell>
          <cell r="N612" t="str">
            <v>25</v>
          </cell>
          <cell r="O612">
            <v>40</v>
          </cell>
          <cell r="P612">
            <v>16</v>
          </cell>
        </row>
        <row r="613">
          <cell r="A613" t="str">
            <v>6727047</v>
          </cell>
          <cell r="B613" t="str">
            <v>1325401</v>
          </cell>
          <cell r="C613" t="str">
            <v>6360RDS-1582-482</v>
          </cell>
          <cell r="D613" t="str">
            <v>6360RDS</v>
          </cell>
          <cell r="E613" t="str">
            <v>6360RDS STI STACC P 4.4" X300U STXBSK LH</v>
          </cell>
          <cell r="F613" t="str">
            <v>DG-HOLSTER-RDS</v>
          </cell>
          <cell r="G613" t="str">
            <v>1420-210-FG</v>
          </cell>
          <cell r="H613" t="str">
            <v>F</v>
          </cell>
          <cell r="I613" t="str">
            <v>06/10/2024</v>
          </cell>
          <cell r="J613" t="str">
            <v>06/10/2024</v>
          </cell>
          <cell r="K613" t="str">
            <v>06/17/2024</v>
          </cell>
          <cell r="L613">
            <v>5</v>
          </cell>
          <cell r="M613" t="str">
            <v/>
          </cell>
          <cell r="N613" t="str">
            <v>25</v>
          </cell>
          <cell r="O613">
            <v>5</v>
          </cell>
          <cell r="P613">
            <v>2</v>
          </cell>
        </row>
        <row r="614">
          <cell r="A614" t="str">
            <v>6727046</v>
          </cell>
          <cell r="B614" t="str">
            <v>1325400</v>
          </cell>
          <cell r="C614" t="str">
            <v>6360RDS-1582-481</v>
          </cell>
          <cell r="D614" t="str">
            <v>6360RDS</v>
          </cell>
          <cell r="E614" t="str">
            <v>6360RDS STI STACC P 4.4" X300U STXBSK RH</v>
          </cell>
          <cell r="F614" t="str">
            <v>DG-HOLSTER-RDS</v>
          </cell>
          <cell r="G614" t="str">
            <v>1420-210-FG</v>
          </cell>
          <cell r="H614" t="str">
            <v>F</v>
          </cell>
          <cell r="I614" t="str">
            <v>06/10/2024</v>
          </cell>
          <cell r="J614" t="str">
            <v>06/10/2024</v>
          </cell>
          <cell r="K614" t="str">
            <v>06/17/2024</v>
          </cell>
          <cell r="L614">
            <v>19</v>
          </cell>
          <cell r="M614" t="str">
            <v/>
          </cell>
          <cell r="N614" t="str">
            <v>25</v>
          </cell>
          <cell r="O614">
            <v>19</v>
          </cell>
          <cell r="P614">
            <v>7.6</v>
          </cell>
        </row>
        <row r="615">
          <cell r="A615" t="str">
            <v>6727067</v>
          </cell>
          <cell r="B615" t="str">
            <v>1327923</v>
          </cell>
          <cell r="C615" t="str">
            <v>6360RDS-1582-412</v>
          </cell>
          <cell r="D615" t="str">
            <v>6360RDS</v>
          </cell>
          <cell r="E615" t="str">
            <v>6360RDS STI STACC P 4.4" X300U STXPLN LH</v>
          </cell>
          <cell r="F615" t="str">
            <v>DG-HOLSTER-RDS</v>
          </cell>
          <cell r="G615" t="str">
            <v>1420-210-FG</v>
          </cell>
          <cell r="H615" t="str">
            <v>F</v>
          </cell>
          <cell r="I615" t="str">
            <v>06/10/2024</v>
          </cell>
          <cell r="J615" t="str">
            <v>06/10/2024</v>
          </cell>
          <cell r="K615" t="str">
            <v>06/17/2024</v>
          </cell>
          <cell r="L615">
            <v>1</v>
          </cell>
          <cell r="M615" t="str">
            <v/>
          </cell>
          <cell r="N615" t="str">
            <v>25</v>
          </cell>
          <cell r="O615">
            <v>1</v>
          </cell>
          <cell r="P615">
            <v>0.4</v>
          </cell>
        </row>
        <row r="616">
          <cell r="A616" t="str">
            <v>6727052</v>
          </cell>
          <cell r="B616" t="str">
            <v>1325649</v>
          </cell>
          <cell r="C616" t="str">
            <v>6360RDS-1582-741</v>
          </cell>
          <cell r="D616" t="str">
            <v>6360RDS</v>
          </cell>
          <cell r="E616" t="str">
            <v>6360RDS STI STACC P 4.4"X300U CORCYB RH</v>
          </cell>
          <cell r="F616" t="str">
            <v>DG-HOLSTER-RDS</v>
          </cell>
          <cell r="G616" t="str">
            <v>1420-210-FG</v>
          </cell>
          <cell r="H616" t="str">
            <v>F</v>
          </cell>
          <cell r="I616" t="str">
            <v>06/10/2024</v>
          </cell>
          <cell r="J616" t="str">
            <v>06/10/2024</v>
          </cell>
          <cell r="K616" t="str">
            <v>06/17/2024</v>
          </cell>
          <cell r="L616">
            <v>5</v>
          </cell>
          <cell r="M616" t="str">
            <v/>
          </cell>
          <cell r="N616" t="str">
            <v>25</v>
          </cell>
          <cell r="O616">
            <v>5</v>
          </cell>
          <cell r="P616">
            <v>2</v>
          </cell>
        </row>
        <row r="617">
          <cell r="A617" t="str">
            <v>6727251</v>
          </cell>
          <cell r="B617" t="str">
            <v>1336346</v>
          </cell>
          <cell r="C617" t="str">
            <v>6360RDS-5842-131</v>
          </cell>
          <cell r="D617" t="str">
            <v>6360RDS</v>
          </cell>
          <cell r="E617" t="str">
            <v>6360RDS WLTHRPDP 4.5 X300U STXTAC BLK RH</v>
          </cell>
          <cell r="F617" t="str">
            <v>DG-HOLSTER-RDS-DTC</v>
          </cell>
          <cell r="G617" t="str">
            <v>1420-210-FG</v>
          </cell>
          <cell r="H617" t="str">
            <v>F</v>
          </cell>
          <cell r="I617" t="str">
            <v>06/10/2024</v>
          </cell>
          <cell r="J617" t="str">
            <v>06/10/2024</v>
          </cell>
          <cell r="K617" t="str">
            <v>06/17/2024</v>
          </cell>
          <cell r="L617">
            <v>5</v>
          </cell>
          <cell r="M617" t="str">
            <v/>
          </cell>
          <cell r="N617" t="str">
            <v>25</v>
          </cell>
          <cell r="O617">
            <v>5</v>
          </cell>
          <cell r="P617">
            <v>2.17</v>
          </cell>
        </row>
        <row r="618">
          <cell r="A618" t="str">
            <v>6727148</v>
          </cell>
          <cell r="B618" t="str">
            <v>1200317</v>
          </cell>
          <cell r="C618" t="str">
            <v>6362RDS-832-131</v>
          </cell>
          <cell r="D618" t="str">
            <v>6362RDS</v>
          </cell>
          <cell r="E618" t="str">
            <v>6362RDS GLOCK 17MOS X300U STX TAC BLK RH</v>
          </cell>
          <cell r="F618" t="str">
            <v>DG-HOLSTER-RDS-DTC</v>
          </cell>
          <cell r="G618" t="str">
            <v>1420-210-FG</v>
          </cell>
          <cell r="H618" t="str">
            <v>F</v>
          </cell>
          <cell r="I618" t="str">
            <v>06/10/2024</v>
          </cell>
          <cell r="J618" t="str">
            <v>06/10/2024</v>
          </cell>
          <cell r="K618" t="str">
            <v>06/17/2024</v>
          </cell>
          <cell r="L618">
            <v>5</v>
          </cell>
          <cell r="M618" t="str">
            <v/>
          </cell>
          <cell r="N618" t="str">
            <v>25</v>
          </cell>
          <cell r="O618">
            <v>5</v>
          </cell>
          <cell r="P618">
            <v>2.17</v>
          </cell>
        </row>
        <row r="619">
          <cell r="A619" t="str">
            <v>6727158</v>
          </cell>
          <cell r="B619" t="str">
            <v>1204144</v>
          </cell>
          <cell r="C619" t="str">
            <v>6362RDS-2832-481</v>
          </cell>
          <cell r="D619" t="str">
            <v>6362RDS</v>
          </cell>
          <cell r="E619" t="str">
            <v>6362RDS GLOCK 19MOS X300U STX BSK BLK RH</v>
          </cell>
          <cell r="F619" t="str">
            <v>DG-HOLSTER-RDS-DTC</v>
          </cell>
          <cell r="G619" t="str">
            <v>1420-210-FG</v>
          </cell>
          <cell r="H619" t="str">
            <v>F</v>
          </cell>
          <cell r="I619" t="str">
            <v>06/10/2024</v>
          </cell>
          <cell r="J619" t="str">
            <v>06/10/2024</v>
          </cell>
          <cell r="K619" t="str">
            <v>06/17/2024</v>
          </cell>
          <cell r="L619">
            <v>5</v>
          </cell>
          <cell r="M619" t="str">
            <v/>
          </cell>
          <cell r="N619" t="str">
            <v>25</v>
          </cell>
          <cell r="O619">
            <v>5</v>
          </cell>
          <cell r="P619">
            <v>2</v>
          </cell>
        </row>
        <row r="620">
          <cell r="A620" t="str">
            <v>6726998</v>
          </cell>
          <cell r="B620" t="str">
            <v>1207992</v>
          </cell>
          <cell r="C620" t="str">
            <v>6362RDS-4502-131</v>
          </cell>
          <cell r="D620" t="str">
            <v>6362RDS</v>
          </cell>
          <cell r="E620" t="str">
            <v>6362RDS SIG 320RX X300U STX TAC BLK RH</v>
          </cell>
          <cell r="F620" t="str">
            <v>DG-HOLSTER-RDS</v>
          </cell>
          <cell r="G620" t="str">
            <v>1420-210-FG</v>
          </cell>
          <cell r="H620" t="str">
            <v>F</v>
          </cell>
          <cell r="I620" t="str">
            <v>06/10/2024</v>
          </cell>
          <cell r="J620" t="str">
            <v>06/10/2024</v>
          </cell>
          <cell r="K620" t="str">
            <v>06/17/2024</v>
          </cell>
          <cell r="L620">
            <v>5</v>
          </cell>
          <cell r="M620" t="str">
            <v/>
          </cell>
          <cell r="N620" t="str">
            <v>25</v>
          </cell>
          <cell r="O620">
            <v>5</v>
          </cell>
          <cell r="P620">
            <v>2.17</v>
          </cell>
        </row>
        <row r="621">
          <cell r="A621" t="str">
            <v>6724657</v>
          </cell>
          <cell r="B621" t="str">
            <v>1120435</v>
          </cell>
          <cell r="C621" t="str">
            <v>6365-83-131</v>
          </cell>
          <cell r="D621" t="str">
            <v>6365</v>
          </cell>
          <cell r="E621" t="str">
            <v>6365 GLOCK 17/22 STX TAC BLK RH</v>
          </cell>
          <cell r="F621" t="str">
            <v>DG-HOLSTER-DTC</v>
          </cell>
          <cell r="G621" t="str">
            <v>1420-210-FG</v>
          </cell>
          <cell r="H621" t="str">
            <v>R</v>
          </cell>
          <cell r="I621" t="str">
            <v>06/04/2024</v>
          </cell>
          <cell r="J621" t="str">
            <v>06/07/2024</v>
          </cell>
          <cell r="K621" t="str">
            <v>06/17/2024</v>
          </cell>
          <cell r="L621">
            <v>15</v>
          </cell>
          <cell r="M621" t="str">
            <v>6/6/2024 8:59:08 AM</v>
          </cell>
          <cell r="N621" t="str">
            <v>25</v>
          </cell>
          <cell r="O621">
            <v>15</v>
          </cell>
          <cell r="P621">
            <v>3.2</v>
          </cell>
        </row>
        <row r="622">
          <cell r="A622" t="str">
            <v>6724661</v>
          </cell>
          <cell r="B622" t="str">
            <v>1123893</v>
          </cell>
          <cell r="C622" t="str">
            <v>6365-832-131</v>
          </cell>
          <cell r="D622" t="str">
            <v>6365</v>
          </cell>
          <cell r="E622" t="str">
            <v>6365 GLOCK 17/22 X300U STX TAC BLK RH</v>
          </cell>
          <cell r="F622" t="str">
            <v>DG-HOLSTER-DTC</v>
          </cell>
          <cell r="G622" t="str">
            <v>1420-210-FG</v>
          </cell>
          <cell r="H622" t="str">
            <v>R</v>
          </cell>
          <cell r="I622" t="str">
            <v>06/04/2024</v>
          </cell>
          <cell r="J622" t="str">
            <v>06/07/2024</v>
          </cell>
          <cell r="K622" t="str">
            <v>06/17/2024</v>
          </cell>
          <cell r="L622">
            <v>10</v>
          </cell>
          <cell r="M622" t="str">
            <v>6/6/2024 8:59:08 AM</v>
          </cell>
          <cell r="N622" t="str">
            <v>25</v>
          </cell>
          <cell r="O622">
            <v>10</v>
          </cell>
          <cell r="P622">
            <v>4.08</v>
          </cell>
        </row>
        <row r="623">
          <cell r="A623" t="str">
            <v>6725056</v>
          </cell>
          <cell r="B623" t="str">
            <v>1322968</v>
          </cell>
          <cell r="C623" t="str">
            <v>6365RDS-2702-131</v>
          </cell>
          <cell r="D623" t="str">
            <v>6365RDS</v>
          </cell>
          <cell r="E623" t="str">
            <v>6365RDS FN 509 X300U STX TAC BLK RH</v>
          </cell>
          <cell r="F623" t="str">
            <v>DG-HOLSTER-RDS</v>
          </cell>
          <cell r="G623" t="str">
            <v>1420-210-FG</v>
          </cell>
          <cell r="H623" t="str">
            <v>R</v>
          </cell>
          <cell r="I623" t="str">
            <v>06/05/2024</v>
          </cell>
          <cell r="J623" t="str">
            <v>06/05/2024</v>
          </cell>
          <cell r="K623" t="str">
            <v>06/17/2024</v>
          </cell>
          <cell r="L623">
            <v>5</v>
          </cell>
          <cell r="M623" t="str">
            <v>6/6/2024 9:59:43 AM</v>
          </cell>
          <cell r="N623" t="str">
            <v>25</v>
          </cell>
          <cell r="O623">
            <v>5</v>
          </cell>
          <cell r="P623">
            <v>2</v>
          </cell>
        </row>
        <row r="624">
          <cell r="A624" t="str">
            <v>6727151</v>
          </cell>
          <cell r="B624" t="str">
            <v>1201009</v>
          </cell>
          <cell r="C624" t="str">
            <v>6365RDS-832-411</v>
          </cell>
          <cell r="D624" t="str">
            <v>6365RDS</v>
          </cell>
          <cell r="E624" t="str">
            <v>6365RDS GLOCK 17MOS X300U STX PLN BLK RH</v>
          </cell>
          <cell r="F624" t="str">
            <v>DG-HOLSTER-RDS-DTC</v>
          </cell>
          <cell r="G624" t="str">
            <v>1420-210-FG</v>
          </cell>
          <cell r="H624" t="str">
            <v>F</v>
          </cell>
          <cell r="I624" t="str">
            <v>06/10/2024</v>
          </cell>
          <cell r="J624" t="str">
            <v>06/10/2024</v>
          </cell>
          <cell r="K624" t="str">
            <v>06/17/2024</v>
          </cell>
          <cell r="L624">
            <v>10</v>
          </cell>
          <cell r="M624" t="str">
            <v/>
          </cell>
          <cell r="N624" t="str">
            <v>25</v>
          </cell>
          <cell r="O624">
            <v>10</v>
          </cell>
          <cell r="P624">
            <v>4.33</v>
          </cell>
        </row>
        <row r="625">
          <cell r="A625" t="str">
            <v>6724815</v>
          </cell>
          <cell r="B625" t="str">
            <v>1200320</v>
          </cell>
          <cell r="C625" t="str">
            <v>6365RDS-832-132</v>
          </cell>
          <cell r="D625" t="str">
            <v>6365RDS</v>
          </cell>
          <cell r="E625" t="str">
            <v>6365RDS GLOCK 17MOS X300U STX TAC BLK LH</v>
          </cell>
          <cell r="F625" t="str">
            <v>DG-HOLSTER-RDS-DTC</v>
          </cell>
          <cell r="G625" t="str">
            <v>1420-210-FG</v>
          </cell>
          <cell r="H625" t="str">
            <v>R</v>
          </cell>
          <cell r="I625" t="str">
            <v>06/04/2024</v>
          </cell>
          <cell r="J625" t="str">
            <v>06/10/2024</v>
          </cell>
          <cell r="K625" t="str">
            <v>06/17/2024</v>
          </cell>
          <cell r="L625">
            <v>5</v>
          </cell>
          <cell r="M625" t="str">
            <v>6/6/2024 9:59:43 AM</v>
          </cell>
          <cell r="N625" t="str">
            <v>25</v>
          </cell>
          <cell r="O625">
            <v>5</v>
          </cell>
          <cell r="P625">
            <v>2.17</v>
          </cell>
        </row>
        <row r="626">
          <cell r="A626" t="str">
            <v>6727161</v>
          </cell>
          <cell r="B626" t="str">
            <v>1204151</v>
          </cell>
          <cell r="C626" t="str">
            <v>6365RDS-2832-482</v>
          </cell>
          <cell r="D626" t="str">
            <v>6365RDS</v>
          </cell>
          <cell r="E626" t="str">
            <v>6365RDS GLOCK 19MOS X300U STX BSK BLK LH</v>
          </cell>
          <cell r="F626" t="str">
            <v>DG-HOLSTER-RDS-DTC</v>
          </cell>
          <cell r="G626" t="str">
            <v>1420-210-FG</v>
          </cell>
          <cell r="H626" t="str">
            <v>F</v>
          </cell>
          <cell r="I626" t="str">
            <v>06/10/2024</v>
          </cell>
          <cell r="J626" t="str">
            <v>06/10/2024</v>
          </cell>
          <cell r="K626" t="str">
            <v>06/17/2024</v>
          </cell>
          <cell r="L626">
            <v>5</v>
          </cell>
          <cell r="M626" t="str">
            <v/>
          </cell>
          <cell r="N626" t="str">
            <v>25</v>
          </cell>
          <cell r="O626">
            <v>5</v>
          </cell>
          <cell r="P626">
            <v>2</v>
          </cell>
        </row>
        <row r="627">
          <cell r="A627" t="str">
            <v>6727160</v>
          </cell>
          <cell r="B627" t="str">
            <v>1204150</v>
          </cell>
          <cell r="C627" t="str">
            <v>6365RDS-2832-481</v>
          </cell>
          <cell r="D627" t="str">
            <v>6365RDS</v>
          </cell>
          <cell r="E627" t="str">
            <v>6365RDS GLOCK 19MOS X300U STX BSK BLK RH</v>
          </cell>
          <cell r="F627" t="str">
            <v>DG-HOLSTER-RDS-DTC</v>
          </cell>
          <cell r="G627" t="str">
            <v>1420-210-FG</v>
          </cell>
          <cell r="H627" t="str">
            <v>F</v>
          </cell>
          <cell r="I627" t="str">
            <v>06/10/2024</v>
          </cell>
          <cell r="J627" t="str">
            <v>06/10/2024</v>
          </cell>
          <cell r="K627" t="str">
            <v>06/17/2024</v>
          </cell>
          <cell r="L627">
            <v>7</v>
          </cell>
          <cell r="M627" t="str">
            <v/>
          </cell>
          <cell r="N627" t="str">
            <v>25</v>
          </cell>
          <cell r="O627">
            <v>7</v>
          </cell>
          <cell r="P627">
            <v>2.8</v>
          </cell>
        </row>
        <row r="628">
          <cell r="A628" t="str">
            <v>6724745</v>
          </cell>
          <cell r="B628" t="str">
            <v>1204813</v>
          </cell>
          <cell r="C628" t="str">
            <v>6365RDS-6832-701</v>
          </cell>
          <cell r="D628" t="str">
            <v>6365RDS</v>
          </cell>
          <cell r="E628" t="str">
            <v>6365RDS GLOCK 34/35 X300U COR MLTCM RH</v>
          </cell>
          <cell r="F628" t="str">
            <v>DG-HOLSTER-RDS</v>
          </cell>
          <cell r="G628" t="str">
            <v>1420-210-FG</v>
          </cell>
          <cell r="H628" t="str">
            <v>R</v>
          </cell>
          <cell r="I628" t="str">
            <v>06/04/2024</v>
          </cell>
          <cell r="J628" t="str">
            <v>06/10/2024</v>
          </cell>
          <cell r="K628" t="str">
            <v>06/17/2024</v>
          </cell>
          <cell r="L628">
            <v>5</v>
          </cell>
          <cell r="M628" t="str">
            <v>6/6/2024 10:14:11 AM</v>
          </cell>
          <cell r="N628" t="str">
            <v>25</v>
          </cell>
          <cell r="O628">
            <v>5</v>
          </cell>
          <cell r="P628">
            <v>2</v>
          </cell>
        </row>
        <row r="629">
          <cell r="A629" t="str">
            <v>6724766</v>
          </cell>
          <cell r="B629" t="str">
            <v>1321227</v>
          </cell>
          <cell r="C629" t="str">
            <v>6365RDS-2222-132</v>
          </cell>
          <cell r="D629" t="str">
            <v>6365RDS</v>
          </cell>
          <cell r="E629" t="str">
            <v>6365RDS MP2.0 9 CORE X300U STXTAC BLK LH</v>
          </cell>
          <cell r="F629" t="str">
            <v>DG-HOLSTER-RDS</v>
          </cell>
          <cell r="G629" t="str">
            <v>1420-210-FG</v>
          </cell>
          <cell r="H629" t="str">
            <v>R</v>
          </cell>
          <cell r="I629" t="str">
            <v>06/04/2024</v>
          </cell>
          <cell r="J629" t="str">
            <v>06/10/2024</v>
          </cell>
          <cell r="K629" t="str">
            <v>06/17/2024</v>
          </cell>
          <cell r="L629">
            <v>5</v>
          </cell>
          <cell r="M629" t="str">
            <v>6/6/2024 9:59:43 AM</v>
          </cell>
          <cell r="N629" t="str">
            <v>25</v>
          </cell>
          <cell r="O629">
            <v>5</v>
          </cell>
          <cell r="P629">
            <v>2</v>
          </cell>
        </row>
        <row r="630">
          <cell r="A630" t="str">
            <v>6724344</v>
          </cell>
          <cell r="B630" t="str">
            <v>1321215</v>
          </cell>
          <cell r="C630" t="str">
            <v>6365RDS-2222-131</v>
          </cell>
          <cell r="D630" t="str">
            <v>6365RDS</v>
          </cell>
          <cell r="E630" t="str">
            <v>6365RDS MP2.0 9 CORE X300U STXTAC BLK RH</v>
          </cell>
          <cell r="F630" t="str">
            <v>DG-HOLSTER-RDS</v>
          </cell>
          <cell r="G630" t="str">
            <v>1420-210-FG</v>
          </cell>
          <cell r="H630" t="str">
            <v>R</v>
          </cell>
          <cell r="I630" t="str">
            <v>06/04/2024</v>
          </cell>
          <cell r="J630" t="str">
            <v>06/04/2024</v>
          </cell>
          <cell r="K630" t="str">
            <v>06/17/2024</v>
          </cell>
          <cell r="L630">
            <v>10</v>
          </cell>
          <cell r="M630" t="str">
            <v>6/6/2024 9:59:43 AM</v>
          </cell>
          <cell r="N630" t="str">
            <v>25</v>
          </cell>
          <cell r="O630">
            <v>10</v>
          </cell>
          <cell r="P630">
            <v>4</v>
          </cell>
        </row>
        <row r="631">
          <cell r="A631" t="str">
            <v>6727019</v>
          </cell>
          <cell r="B631" t="str">
            <v>1323733</v>
          </cell>
          <cell r="C631" t="str">
            <v>6365RDS-582-131</v>
          </cell>
          <cell r="D631" t="str">
            <v>6365RDS</v>
          </cell>
          <cell r="E631" t="str">
            <v>6365RDS PRODIGY 4.25" X300U STX BLK RH</v>
          </cell>
          <cell r="F631" t="str">
            <v>DG-HOLSTER-RDS</v>
          </cell>
          <cell r="G631" t="str">
            <v>1420-210-FG</v>
          </cell>
          <cell r="H631" t="str">
            <v>F</v>
          </cell>
          <cell r="I631" t="str">
            <v>06/10/2024</v>
          </cell>
          <cell r="J631" t="str">
            <v>06/10/2024</v>
          </cell>
          <cell r="K631" t="str">
            <v>06/17/2024</v>
          </cell>
          <cell r="L631">
            <v>14</v>
          </cell>
          <cell r="M631" t="str">
            <v/>
          </cell>
          <cell r="N631" t="str">
            <v>25</v>
          </cell>
          <cell r="O631">
            <v>14</v>
          </cell>
          <cell r="P631">
            <v>5.6</v>
          </cell>
        </row>
        <row r="632">
          <cell r="A632" t="str">
            <v>6724337</v>
          </cell>
          <cell r="B632" t="str">
            <v>1207985</v>
          </cell>
          <cell r="C632" t="str">
            <v>6365RDS-4502-132</v>
          </cell>
          <cell r="D632" t="str">
            <v>6365RDS</v>
          </cell>
          <cell r="E632" t="str">
            <v>6365RDS SIG 320RX X300U STX TAC BLK LH</v>
          </cell>
          <cell r="F632" t="str">
            <v>DG-HOLSTER-RDS</v>
          </cell>
          <cell r="G632" t="str">
            <v>1420-210-FG</v>
          </cell>
          <cell r="H632" t="str">
            <v>R</v>
          </cell>
          <cell r="I632" t="str">
            <v>06/04/2024</v>
          </cell>
          <cell r="J632" t="str">
            <v>06/04/2024</v>
          </cell>
          <cell r="K632" t="str">
            <v>06/17/2024</v>
          </cell>
          <cell r="L632">
            <v>5</v>
          </cell>
          <cell r="M632" t="str">
            <v>6/6/2024 9:59:43 AM</v>
          </cell>
          <cell r="N632" t="str">
            <v>25</v>
          </cell>
          <cell r="O632">
            <v>5</v>
          </cell>
          <cell r="P632">
            <v>2.17</v>
          </cell>
        </row>
        <row r="633">
          <cell r="A633" t="str">
            <v>6727033</v>
          </cell>
          <cell r="B633" t="str">
            <v>1324647</v>
          </cell>
          <cell r="C633" t="str">
            <v>6365RDS-1582-781</v>
          </cell>
          <cell r="D633" t="str">
            <v>6365RDS</v>
          </cell>
          <cell r="E633" t="str">
            <v>6365RDS STI STACC P 4.4" X300U CORBLK RH</v>
          </cell>
          <cell r="F633" t="str">
            <v>DG-HOLSTER-RDS</v>
          </cell>
          <cell r="G633" t="str">
            <v>1420-210-FG</v>
          </cell>
          <cell r="H633" t="str">
            <v>F</v>
          </cell>
          <cell r="I633" t="str">
            <v>06/10/2024</v>
          </cell>
          <cell r="J633" t="str">
            <v>06/10/2024</v>
          </cell>
          <cell r="K633" t="str">
            <v>06/17/2024</v>
          </cell>
          <cell r="L633">
            <v>5</v>
          </cell>
          <cell r="M633" t="str">
            <v/>
          </cell>
          <cell r="N633" t="str">
            <v>25</v>
          </cell>
          <cell r="O633">
            <v>5</v>
          </cell>
          <cell r="P633">
            <v>2</v>
          </cell>
        </row>
        <row r="634">
          <cell r="A634" t="str">
            <v>6727051</v>
          </cell>
          <cell r="B634" t="str">
            <v>1325613</v>
          </cell>
          <cell r="C634" t="str">
            <v>6365RDS-1582-482</v>
          </cell>
          <cell r="D634" t="str">
            <v>6365RDS</v>
          </cell>
          <cell r="E634" t="str">
            <v>6365RDS STI STACC P 4.4" X300U STXBSK LH</v>
          </cell>
          <cell r="F634" t="str">
            <v>DG-HOLSTER-RDS</v>
          </cell>
          <cell r="G634" t="str">
            <v>1420-210-FG</v>
          </cell>
          <cell r="H634" t="str">
            <v>F</v>
          </cell>
          <cell r="I634" t="str">
            <v>06/10/2024</v>
          </cell>
          <cell r="J634" t="str">
            <v>06/10/2024</v>
          </cell>
          <cell r="K634" t="str">
            <v>06/17/2024</v>
          </cell>
          <cell r="L634">
            <v>5</v>
          </cell>
          <cell r="M634" t="str">
            <v/>
          </cell>
          <cell r="N634" t="str">
            <v>25</v>
          </cell>
          <cell r="O634">
            <v>5</v>
          </cell>
          <cell r="P634">
            <v>2</v>
          </cell>
        </row>
        <row r="635">
          <cell r="A635" t="str">
            <v>6727032</v>
          </cell>
          <cell r="B635" t="str">
            <v>1324645</v>
          </cell>
          <cell r="C635" t="str">
            <v>6365RDS-1582-551</v>
          </cell>
          <cell r="D635" t="str">
            <v>6365RDS</v>
          </cell>
          <cell r="E635" t="str">
            <v>6365RDS STI STACC P 4.4" X300U STXFDE RH</v>
          </cell>
          <cell r="F635" t="str">
            <v>DG-HOLSTER-RDS</v>
          </cell>
          <cell r="G635" t="str">
            <v>1420-210-FG</v>
          </cell>
          <cell r="H635" t="str">
            <v>F</v>
          </cell>
          <cell r="I635" t="str">
            <v>06/10/2024</v>
          </cell>
          <cell r="J635" t="str">
            <v>06/10/2024</v>
          </cell>
          <cell r="K635" t="str">
            <v>06/17/2024</v>
          </cell>
          <cell r="L635">
            <v>5</v>
          </cell>
          <cell r="M635" t="str">
            <v/>
          </cell>
          <cell r="N635" t="str">
            <v>25</v>
          </cell>
          <cell r="O635">
            <v>5</v>
          </cell>
          <cell r="P635">
            <v>2</v>
          </cell>
        </row>
        <row r="636">
          <cell r="A636" t="str">
            <v>6727034</v>
          </cell>
          <cell r="B636" t="str">
            <v>1324649</v>
          </cell>
          <cell r="C636" t="str">
            <v>6365RDS-1582-701</v>
          </cell>
          <cell r="D636" t="str">
            <v>6365RDS</v>
          </cell>
          <cell r="E636" t="str">
            <v>6365RDS STI STACC P 4.4"X300U MLTCM RH</v>
          </cell>
          <cell r="F636" t="str">
            <v>DG-HOLSTER-RDS</v>
          </cell>
          <cell r="G636" t="str">
            <v>1420-210-FG</v>
          </cell>
          <cell r="H636" t="str">
            <v>F</v>
          </cell>
          <cell r="I636" t="str">
            <v>06/10/2024</v>
          </cell>
          <cell r="J636" t="str">
            <v>06/10/2024</v>
          </cell>
          <cell r="K636" t="str">
            <v>06/17/2024</v>
          </cell>
          <cell r="L636">
            <v>5</v>
          </cell>
          <cell r="M636" t="str">
            <v/>
          </cell>
          <cell r="N636" t="str">
            <v>25</v>
          </cell>
          <cell r="O636">
            <v>5</v>
          </cell>
          <cell r="P636">
            <v>2</v>
          </cell>
        </row>
        <row r="637">
          <cell r="A637" t="str">
            <v>6724899</v>
          </cell>
          <cell r="B637" t="str">
            <v>1323767</v>
          </cell>
          <cell r="C637" t="str">
            <v>637-83-61</v>
          </cell>
          <cell r="D637" t="str">
            <v>637</v>
          </cell>
          <cell r="E637" t="str">
            <v>637 GLOCK 17/22  PLN BLK RH</v>
          </cell>
          <cell r="F637" t="str">
            <v>DG-HOLSTER-SEW-DTC</v>
          </cell>
          <cell r="G637" t="str">
            <v>1420-210-FG</v>
          </cell>
          <cell r="H637" t="str">
            <v>R</v>
          </cell>
          <cell r="I637" t="str">
            <v>06/04/2024</v>
          </cell>
          <cell r="J637" t="str">
            <v>06/06/2024</v>
          </cell>
          <cell r="K637" t="str">
            <v>06/17/2024</v>
          </cell>
          <cell r="L637">
            <v>10</v>
          </cell>
          <cell r="M637" t="str">
            <v>6/6/2024 8:57:09 AM</v>
          </cell>
          <cell r="N637" t="str">
            <v>25</v>
          </cell>
          <cell r="O637">
            <v>10</v>
          </cell>
          <cell r="P637">
            <v>4.83</v>
          </cell>
        </row>
        <row r="638">
          <cell r="A638" t="str">
            <v>6724900</v>
          </cell>
          <cell r="B638" t="str">
            <v>1323770</v>
          </cell>
          <cell r="C638" t="str">
            <v>637-283-62</v>
          </cell>
          <cell r="D638" t="str">
            <v>637</v>
          </cell>
          <cell r="E638" t="str">
            <v>637 GLOCK 19/23  PLN BLK LH</v>
          </cell>
          <cell r="F638" t="str">
            <v>DG-HOLSTER-SEW-DTC</v>
          </cell>
          <cell r="G638" t="str">
            <v>1420-210-FG</v>
          </cell>
          <cell r="H638" t="str">
            <v>R</v>
          </cell>
          <cell r="I638" t="str">
            <v>06/04/2024</v>
          </cell>
          <cell r="J638" t="str">
            <v>06/10/2024</v>
          </cell>
          <cell r="K638" t="str">
            <v>06/17/2024</v>
          </cell>
          <cell r="L638">
            <v>5</v>
          </cell>
          <cell r="M638" t="str">
            <v>6/6/2024 8:57:19 AM</v>
          </cell>
          <cell r="N638" t="str">
            <v>25</v>
          </cell>
          <cell r="O638">
            <v>5</v>
          </cell>
          <cell r="P638">
            <v>2.42</v>
          </cell>
        </row>
        <row r="639">
          <cell r="A639" t="str">
            <v>6724902</v>
          </cell>
          <cell r="B639" t="str">
            <v>1323769</v>
          </cell>
          <cell r="C639" t="str">
            <v>637-283-61</v>
          </cell>
          <cell r="D639" t="str">
            <v>637</v>
          </cell>
          <cell r="E639" t="str">
            <v>637 GLOCK 19/23  PLN BLK RH</v>
          </cell>
          <cell r="F639" t="str">
            <v>DG-HOLSTER-SEW-DTC</v>
          </cell>
          <cell r="G639" t="str">
            <v>1420-210-FG</v>
          </cell>
          <cell r="H639" t="str">
            <v>R</v>
          </cell>
          <cell r="I639" t="str">
            <v>06/04/2024</v>
          </cell>
          <cell r="J639" t="str">
            <v>06/07/2024</v>
          </cell>
          <cell r="K639" t="str">
            <v>06/17/2024</v>
          </cell>
          <cell r="L639">
            <v>50</v>
          </cell>
          <cell r="M639" t="str">
            <v>6/6/2024 7:58:08 AM</v>
          </cell>
          <cell r="N639" t="str">
            <v>25</v>
          </cell>
          <cell r="O639">
            <v>50</v>
          </cell>
          <cell r="P639">
            <v>24.15</v>
          </cell>
        </row>
        <row r="640">
          <cell r="A640" t="str">
            <v>6724888</v>
          </cell>
          <cell r="B640" t="str">
            <v>1328109</v>
          </cell>
          <cell r="C640" t="str">
            <v>637-750-61</v>
          </cell>
          <cell r="D640" t="str">
            <v>637</v>
          </cell>
          <cell r="E640" t="str">
            <v>637 SIG P320C 9/40 PLN BLK RH</v>
          </cell>
          <cell r="F640" t="str">
            <v>DG-HOLSTER-SEW</v>
          </cell>
          <cell r="G640" t="str">
            <v>1420-210-FG</v>
          </cell>
          <cell r="H640" t="str">
            <v>R</v>
          </cell>
          <cell r="I640" t="str">
            <v>06/04/2024</v>
          </cell>
          <cell r="J640" t="str">
            <v>06/05/2024</v>
          </cell>
          <cell r="K640" t="str">
            <v>06/17/2024</v>
          </cell>
          <cell r="L640">
            <v>10</v>
          </cell>
          <cell r="M640" t="str">
            <v>6/6/2024 8:56:59 AM</v>
          </cell>
          <cell r="N640" t="str">
            <v>25</v>
          </cell>
          <cell r="O640">
            <v>10</v>
          </cell>
          <cell r="P640">
            <v>4.83</v>
          </cell>
        </row>
        <row r="641">
          <cell r="A641" t="str">
            <v>6724319</v>
          </cell>
          <cell r="B641" t="str">
            <v>1127275</v>
          </cell>
          <cell r="C641" t="str">
            <v>6378-83-541</v>
          </cell>
          <cell r="D641" t="str">
            <v>6378</v>
          </cell>
          <cell r="E641" t="str">
            <v>6378 GLOCK 17/22 STX TAC FOL GRN RH</v>
          </cell>
          <cell r="F641" t="str">
            <v>DG-HOLSTER-DTC</v>
          </cell>
          <cell r="G641" t="str">
            <v>1420-210-FG</v>
          </cell>
          <cell r="H641" t="str">
            <v>R</v>
          </cell>
          <cell r="I641" t="str">
            <v>06/04/2024</v>
          </cell>
          <cell r="J641" t="str">
            <v>06/04/2024</v>
          </cell>
          <cell r="K641" t="str">
            <v>06/17/2024</v>
          </cell>
          <cell r="L641">
            <v>5</v>
          </cell>
          <cell r="M641" t="str">
            <v>6/6/2024 9:51:19 AM</v>
          </cell>
          <cell r="N641" t="str">
            <v>25</v>
          </cell>
          <cell r="O641">
            <v>5</v>
          </cell>
          <cell r="P641">
            <v>2.2599999999999998</v>
          </cell>
        </row>
        <row r="642">
          <cell r="A642" t="str">
            <v>6724322</v>
          </cell>
          <cell r="B642" t="str">
            <v>1132079</v>
          </cell>
          <cell r="C642" t="str">
            <v>6378-83-561</v>
          </cell>
          <cell r="D642" t="str">
            <v>6378</v>
          </cell>
          <cell r="E642" t="str">
            <v>6378 GLOCK 17/22 STX TAC ODG RH</v>
          </cell>
          <cell r="F642" t="str">
            <v>DG-HOLSTER-DTC</v>
          </cell>
          <cell r="G642" t="str">
            <v>1420-210-FG</v>
          </cell>
          <cell r="H642" t="str">
            <v>R</v>
          </cell>
          <cell r="I642" t="str">
            <v>06/04/2024</v>
          </cell>
          <cell r="J642" t="str">
            <v>06/04/2024</v>
          </cell>
          <cell r="K642" t="str">
            <v>06/17/2024</v>
          </cell>
          <cell r="L642">
            <v>10</v>
          </cell>
          <cell r="M642" t="str">
            <v>6/6/2024 9:49:50 AM</v>
          </cell>
          <cell r="N642" t="str">
            <v>25</v>
          </cell>
          <cell r="O642">
            <v>10</v>
          </cell>
          <cell r="P642">
            <v>4.5</v>
          </cell>
        </row>
        <row r="643">
          <cell r="A643" t="str">
            <v>6724671</v>
          </cell>
          <cell r="B643" t="str">
            <v>1132276</v>
          </cell>
          <cell r="C643" t="str">
            <v>6378-832-132</v>
          </cell>
          <cell r="D643" t="str">
            <v>6378</v>
          </cell>
          <cell r="E643" t="str">
            <v>6378 GLOCK 17/22 W/X300 STX TAC BLK LH</v>
          </cell>
          <cell r="F643" t="str">
            <v>DG-HOLSTER-DTC</v>
          </cell>
          <cell r="G643" t="str">
            <v>1420-210-FG</v>
          </cell>
          <cell r="H643" t="str">
            <v>R</v>
          </cell>
          <cell r="I643" t="str">
            <v>06/04/2024</v>
          </cell>
          <cell r="J643" t="str">
            <v>06/10/2024</v>
          </cell>
          <cell r="K643" t="str">
            <v>06/17/2024</v>
          </cell>
          <cell r="L643">
            <v>5</v>
          </cell>
          <cell r="M643" t="str">
            <v>6/6/2024 8:59:08 AM</v>
          </cell>
          <cell r="N643" t="str">
            <v>25</v>
          </cell>
          <cell r="O643">
            <v>5</v>
          </cell>
          <cell r="P643">
            <v>1.93</v>
          </cell>
        </row>
        <row r="644">
          <cell r="A644" t="str">
            <v>6724681</v>
          </cell>
          <cell r="B644" t="str">
            <v>1149363</v>
          </cell>
          <cell r="C644" t="str">
            <v>6378-3832-131</v>
          </cell>
          <cell r="D644" t="str">
            <v>6378</v>
          </cell>
          <cell r="E644" t="str">
            <v>6378 GLOCK 20/21 W/X300 STX TAC BLK RH</v>
          </cell>
          <cell r="F644" t="str">
            <v>DG-HOLSTER-DTC</v>
          </cell>
          <cell r="G644" t="str">
            <v>1420-210-FG</v>
          </cell>
          <cell r="H644" t="str">
            <v>R</v>
          </cell>
          <cell r="I644" t="str">
            <v>06/04/2024</v>
          </cell>
          <cell r="J644" t="str">
            <v>06/10/2024</v>
          </cell>
          <cell r="K644" t="str">
            <v>06/17/2024</v>
          </cell>
          <cell r="L644">
            <v>5</v>
          </cell>
          <cell r="M644" t="str">
            <v>6/6/2024 8:59:08 AM</v>
          </cell>
          <cell r="N644" t="str">
            <v>25</v>
          </cell>
          <cell r="O644">
            <v>5</v>
          </cell>
          <cell r="P644">
            <v>3.23</v>
          </cell>
        </row>
        <row r="645">
          <cell r="A645" t="str">
            <v>6724399</v>
          </cell>
          <cell r="B645" t="str">
            <v>1132390</v>
          </cell>
          <cell r="C645" t="str">
            <v>6378-483-411</v>
          </cell>
          <cell r="D645" t="str">
            <v>6378</v>
          </cell>
          <cell r="E645" t="str">
            <v>6378 GLOCK 29/30 STX PLN BLK RH</v>
          </cell>
          <cell r="F645" t="str">
            <v>DG-HOLSTER-SEW-DTC</v>
          </cell>
          <cell r="G645" t="str">
            <v>1420-210-FG</v>
          </cell>
          <cell r="H645" t="str">
            <v>R</v>
          </cell>
          <cell r="I645" t="str">
            <v>06/04/2024</v>
          </cell>
          <cell r="J645" t="str">
            <v>06/04/2024</v>
          </cell>
          <cell r="K645" t="str">
            <v>06/17/2024</v>
          </cell>
          <cell r="L645">
            <v>10</v>
          </cell>
          <cell r="M645" t="str">
            <v>6/6/2024 9:47:12 AM</v>
          </cell>
          <cell r="N645" t="str">
            <v>25</v>
          </cell>
          <cell r="O645">
            <v>10</v>
          </cell>
          <cell r="P645">
            <v>4.17</v>
          </cell>
        </row>
        <row r="646">
          <cell r="A646" t="str">
            <v>6723925</v>
          </cell>
          <cell r="B646" t="str">
            <v>1139729</v>
          </cell>
          <cell r="C646" t="str">
            <v>6378-683-411</v>
          </cell>
          <cell r="D646" t="str">
            <v>6378</v>
          </cell>
          <cell r="E646" t="str">
            <v>6378 GLOCK 34/35 STX PLN BLK RH</v>
          </cell>
          <cell r="F646" t="str">
            <v>DG-HOLSTER-SEW-DTC</v>
          </cell>
          <cell r="G646" t="str">
            <v>1420-210-FG</v>
          </cell>
          <cell r="H646" t="str">
            <v>R</v>
          </cell>
          <cell r="I646" t="str">
            <v>06/03/2024</v>
          </cell>
          <cell r="J646" t="str">
            <v>06/03/2024</v>
          </cell>
          <cell r="K646" t="str">
            <v>06/17/2024</v>
          </cell>
          <cell r="L646">
            <v>10</v>
          </cell>
          <cell r="M646" t="str">
            <v>6/6/2024 9:47:12 AM</v>
          </cell>
          <cell r="N646" t="str">
            <v>25</v>
          </cell>
          <cell r="O646">
            <v>10</v>
          </cell>
          <cell r="P646">
            <v>4.17</v>
          </cell>
        </row>
        <row r="647">
          <cell r="A647" t="str">
            <v>6723480</v>
          </cell>
          <cell r="B647" t="str">
            <v>1139873</v>
          </cell>
          <cell r="C647" t="str">
            <v>6378-01-411</v>
          </cell>
          <cell r="D647" t="str">
            <v>6378</v>
          </cell>
          <cell r="E647" t="str">
            <v>6378 S&amp;W 640 STX PLN BLK RH</v>
          </cell>
          <cell r="F647" t="str">
            <v>DG-HOLSTER-DTC</v>
          </cell>
          <cell r="G647" t="str">
            <v>1420-210-FG</v>
          </cell>
          <cell r="H647" t="str">
            <v>R</v>
          </cell>
          <cell r="I647" t="str">
            <v>06/03/2024</v>
          </cell>
          <cell r="J647" t="str">
            <v>06/03/2024</v>
          </cell>
          <cell r="K647" t="str">
            <v>06/17/2024</v>
          </cell>
          <cell r="L647">
            <v>5</v>
          </cell>
          <cell r="M647" t="str">
            <v>6/6/2024 9:47:12 AM</v>
          </cell>
          <cell r="N647" t="str">
            <v>25</v>
          </cell>
          <cell r="O647">
            <v>5</v>
          </cell>
          <cell r="P647">
            <v>2.09</v>
          </cell>
        </row>
        <row r="648">
          <cell r="A648" t="str">
            <v>6724317</v>
          </cell>
          <cell r="B648" t="str">
            <v>1123838</v>
          </cell>
          <cell r="C648" t="str">
            <v>6378-219-412</v>
          </cell>
          <cell r="D648" t="str">
            <v>6378</v>
          </cell>
          <cell r="E648" t="str">
            <v>6378 S&amp;W M&amp;P9/40 1.0 STX PLN BLK LH</v>
          </cell>
          <cell r="F648" t="str">
            <v>DG-HOLSTER-DTC</v>
          </cell>
          <cell r="G648" t="str">
            <v>1420-210-FG</v>
          </cell>
          <cell r="H648" t="str">
            <v>R</v>
          </cell>
          <cell r="I648" t="str">
            <v>06/04/2024</v>
          </cell>
          <cell r="J648" t="str">
            <v>06/04/2024</v>
          </cell>
          <cell r="K648" t="str">
            <v>06/17/2024</v>
          </cell>
          <cell r="L648">
            <v>5</v>
          </cell>
          <cell r="M648" t="str">
            <v>6/6/2024 9:47:12 AM</v>
          </cell>
          <cell r="N648" t="str">
            <v>25</v>
          </cell>
          <cell r="O648">
            <v>5</v>
          </cell>
          <cell r="P648">
            <v>2.09</v>
          </cell>
        </row>
        <row r="649">
          <cell r="A649" t="str">
            <v>6724326</v>
          </cell>
          <cell r="B649" t="str">
            <v>1123837</v>
          </cell>
          <cell r="C649" t="str">
            <v>6378-219-411</v>
          </cell>
          <cell r="D649" t="str">
            <v>6378</v>
          </cell>
          <cell r="E649" t="str">
            <v>6378 S&amp;W M&amp;P9/40 1.0 STX PLN BLK RH</v>
          </cell>
          <cell r="F649" t="str">
            <v>DG-HOLSTER-DTC</v>
          </cell>
          <cell r="G649" t="str">
            <v>1420-210-FG</v>
          </cell>
          <cell r="H649" t="str">
            <v>R</v>
          </cell>
          <cell r="I649" t="str">
            <v>06/04/2024</v>
          </cell>
          <cell r="J649" t="str">
            <v>06/04/2024</v>
          </cell>
          <cell r="K649" t="str">
            <v>06/17/2024</v>
          </cell>
          <cell r="L649">
            <v>25</v>
          </cell>
          <cell r="M649" t="str">
            <v>6/6/2024 9:47:12 AM</v>
          </cell>
          <cell r="N649" t="str">
            <v>25</v>
          </cell>
          <cell r="O649">
            <v>25</v>
          </cell>
          <cell r="P649">
            <v>10.43</v>
          </cell>
        </row>
        <row r="650">
          <cell r="A650" t="str">
            <v>6724321</v>
          </cell>
          <cell r="B650" t="str">
            <v>1130059</v>
          </cell>
          <cell r="C650" t="str">
            <v>6378-2192-411</v>
          </cell>
          <cell r="D650" t="str">
            <v>6378</v>
          </cell>
          <cell r="E650" t="str">
            <v>6378 S&amp;W M&amp;P9/40 4IN X300 STX PLN BLK RH</v>
          </cell>
          <cell r="F650" t="str">
            <v>DG-HOLSTER-DTC</v>
          </cell>
          <cell r="G650" t="str">
            <v>1420-210-FG</v>
          </cell>
          <cell r="H650" t="str">
            <v>R</v>
          </cell>
          <cell r="I650" t="str">
            <v>06/04/2024</v>
          </cell>
          <cell r="J650" t="str">
            <v>06/04/2024</v>
          </cell>
          <cell r="K650" t="str">
            <v>06/17/2024</v>
          </cell>
          <cell r="L650">
            <v>10</v>
          </cell>
          <cell r="M650" t="str">
            <v>6/6/2024 9:47:12 AM</v>
          </cell>
          <cell r="N650" t="str">
            <v>25</v>
          </cell>
          <cell r="O650">
            <v>10</v>
          </cell>
          <cell r="P650">
            <v>6.42</v>
          </cell>
        </row>
        <row r="651">
          <cell r="A651" t="str">
            <v>6723474</v>
          </cell>
          <cell r="B651" t="str">
            <v>1123780</v>
          </cell>
          <cell r="C651" t="str">
            <v>6378-77-411</v>
          </cell>
          <cell r="D651" t="str">
            <v>6378</v>
          </cell>
          <cell r="E651" t="str">
            <v>6378 SIG P226 STX PLN BLK RH</v>
          </cell>
          <cell r="F651" t="str">
            <v>DG-HOLSTER-DTC</v>
          </cell>
          <cell r="G651" t="str">
            <v>1420-210-FG</v>
          </cell>
          <cell r="H651" t="str">
            <v>R</v>
          </cell>
          <cell r="I651" t="str">
            <v>06/03/2024</v>
          </cell>
          <cell r="J651" t="str">
            <v>06/03/2024</v>
          </cell>
          <cell r="K651" t="str">
            <v>06/17/2024</v>
          </cell>
          <cell r="L651">
            <v>10</v>
          </cell>
          <cell r="M651" t="str">
            <v>6/6/2024 9:47:12 AM</v>
          </cell>
          <cell r="N651" t="str">
            <v>25</v>
          </cell>
          <cell r="O651">
            <v>10</v>
          </cell>
          <cell r="P651">
            <v>4.17</v>
          </cell>
        </row>
        <row r="652">
          <cell r="A652" t="str">
            <v>6724316</v>
          </cell>
          <cell r="B652" t="str">
            <v>1123784</v>
          </cell>
          <cell r="C652" t="str">
            <v>6378-74-411</v>
          </cell>
          <cell r="D652" t="str">
            <v>6378</v>
          </cell>
          <cell r="E652" t="str">
            <v>6378 SIG P228/P229 STX PLN BLK RH</v>
          </cell>
          <cell r="F652" t="str">
            <v>DG-HOLSTER-DTC</v>
          </cell>
          <cell r="G652" t="str">
            <v>1420-210-FG</v>
          </cell>
          <cell r="H652" t="str">
            <v>R</v>
          </cell>
          <cell r="I652" t="str">
            <v>06/04/2024</v>
          </cell>
          <cell r="J652" t="str">
            <v>06/04/2024</v>
          </cell>
          <cell r="K652" t="str">
            <v>06/17/2024</v>
          </cell>
          <cell r="L652">
            <v>10</v>
          </cell>
          <cell r="M652" t="str">
            <v>6/6/2024 9:47:12 AM</v>
          </cell>
          <cell r="N652" t="str">
            <v>25</v>
          </cell>
          <cell r="O652">
            <v>10</v>
          </cell>
          <cell r="P652">
            <v>4.17</v>
          </cell>
        </row>
        <row r="653">
          <cell r="A653" t="str">
            <v>6724684</v>
          </cell>
          <cell r="B653" t="str">
            <v>1152424</v>
          </cell>
          <cell r="C653" t="str">
            <v>6378-450-131</v>
          </cell>
          <cell r="D653" t="str">
            <v>6378</v>
          </cell>
          <cell r="E653" t="str">
            <v>6378 SIG P320 STX TAC BLK RH</v>
          </cell>
          <cell r="F653" t="str">
            <v>DG-HOLSTER-DTC</v>
          </cell>
          <cell r="G653" t="str">
            <v>1420-210-FG</v>
          </cell>
          <cell r="H653" t="str">
            <v>R</v>
          </cell>
          <cell r="I653" t="str">
            <v>06/04/2024</v>
          </cell>
          <cell r="J653" t="str">
            <v>06/07/2024</v>
          </cell>
          <cell r="K653" t="str">
            <v>06/17/2024</v>
          </cell>
          <cell r="L653">
            <v>5</v>
          </cell>
          <cell r="M653" t="str">
            <v>6/6/2024 8:59:08 AM</v>
          </cell>
          <cell r="N653" t="str">
            <v>25</v>
          </cell>
          <cell r="O653">
            <v>5</v>
          </cell>
          <cell r="P653">
            <v>2.2599999999999998</v>
          </cell>
        </row>
        <row r="654">
          <cell r="A654" t="str">
            <v>6723853</v>
          </cell>
          <cell r="B654" t="str">
            <v>1320258</v>
          </cell>
          <cell r="C654" t="str">
            <v>6378RDS-8321-132</v>
          </cell>
          <cell r="D654" t="str">
            <v>6378RDS</v>
          </cell>
          <cell r="E654" t="str">
            <v>6378RDS GLOCK 17MOS TLR 2 STX TAC BLK LH</v>
          </cell>
          <cell r="F654" t="str">
            <v>DG-HOLSTER-RDS-DTC</v>
          </cell>
          <cell r="G654" t="str">
            <v>1420-210-FG</v>
          </cell>
          <cell r="H654" t="str">
            <v>R</v>
          </cell>
          <cell r="I654" t="str">
            <v>06/03/2024</v>
          </cell>
          <cell r="J654" t="str">
            <v>06/03/2024</v>
          </cell>
          <cell r="K654" t="str">
            <v>06/17/2024</v>
          </cell>
          <cell r="L654">
            <v>10</v>
          </cell>
          <cell r="M654" t="str">
            <v>6/6/2024 9:59:43 AM</v>
          </cell>
          <cell r="N654" t="str">
            <v>25</v>
          </cell>
          <cell r="O654">
            <v>10</v>
          </cell>
          <cell r="P654">
            <v>4.33</v>
          </cell>
        </row>
        <row r="655">
          <cell r="A655" t="str">
            <v>6723849</v>
          </cell>
          <cell r="B655" t="str">
            <v>1319341</v>
          </cell>
          <cell r="C655" t="str">
            <v>6378RDS-832-741</v>
          </cell>
          <cell r="D655" t="str">
            <v>6378RDS</v>
          </cell>
          <cell r="E655" t="str">
            <v>6378RDS GLOCK 17MOS X300U COR CYB RH</v>
          </cell>
          <cell r="F655" t="str">
            <v>DG-HOLSTER-RDS-DTC</v>
          </cell>
          <cell r="G655" t="str">
            <v>1420-210-FG</v>
          </cell>
          <cell r="H655" t="str">
            <v>R</v>
          </cell>
          <cell r="I655" t="str">
            <v>06/03/2024</v>
          </cell>
          <cell r="J655" t="str">
            <v>06/03/2024</v>
          </cell>
          <cell r="K655" t="str">
            <v>06/17/2024</v>
          </cell>
          <cell r="L655">
            <v>5</v>
          </cell>
          <cell r="M655" t="str">
            <v>6/6/2024 10:14:11 AM</v>
          </cell>
          <cell r="N655" t="str">
            <v>25</v>
          </cell>
          <cell r="O655">
            <v>5</v>
          </cell>
          <cell r="P655">
            <v>2.17</v>
          </cell>
        </row>
        <row r="656">
          <cell r="A656" t="str">
            <v>6727154</v>
          </cell>
          <cell r="B656" t="str">
            <v>1203869</v>
          </cell>
          <cell r="C656" t="str">
            <v>6378RDS-832-412</v>
          </cell>
          <cell r="D656" t="str">
            <v>6378RDS</v>
          </cell>
          <cell r="E656" t="str">
            <v>6378RDS GLOCK 17MOS X300U STX TAC BLK LH</v>
          </cell>
          <cell r="F656" t="str">
            <v>DG-HOLSTER-RDS-DTC</v>
          </cell>
          <cell r="G656" t="str">
            <v>1420-210-FG</v>
          </cell>
          <cell r="H656" t="str">
            <v>F</v>
          </cell>
          <cell r="I656" t="str">
            <v>06/10/2024</v>
          </cell>
          <cell r="J656" t="str">
            <v>06/10/2024</v>
          </cell>
          <cell r="K656" t="str">
            <v>06/17/2024</v>
          </cell>
          <cell r="L656">
            <v>5</v>
          </cell>
          <cell r="M656" t="str">
            <v/>
          </cell>
          <cell r="N656" t="str">
            <v>25</v>
          </cell>
          <cell r="O656">
            <v>5</v>
          </cell>
          <cell r="P656">
            <v>2.17</v>
          </cell>
        </row>
        <row r="657">
          <cell r="A657" t="str">
            <v>6723735</v>
          </cell>
          <cell r="B657" t="str">
            <v>1200371</v>
          </cell>
          <cell r="C657" t="str">
            <v>6378RDS-832-131</v>
          </cell>
          <cell r="D657" t="str">
            <v>6378RDS</v>
          </cell>
          <cell r="E657" t="str">
            <v>6378RDS GLOCK 17MOS X300U STX TAC BLK RH</v>
          </cell>
          <cell r="F657" t="str">
            <v>DG-HOLSTER-RDS-DTC</v>
          </cell>
          <cell r="G657" t="str">
            <v>1420-210-FG</v>
          </cell>
          <cell r="H657" t="str">
            <v>R</v>
          </cell>
          <cell r="I657" t="str">
            <v>06/03/2024</v>
          </cell>
          <cell r="J657" t="str">
            <v>06/03/2024</v>
          </cell>
          <cell r="K657" t="str">
            <v>06/17/2024</v>
          </cell>
          <cell r="L657">
            <v>30</v>
          </cell>
          <cell r="M657" t="str">
            <v>6/6/2024 9:59:43 AM</v>
          </cell>
          <cell r="N657" t="str">
            <v>25</v>
          </cell>
          <cell r="O657">
            <v>30</v>
          </cell>
          <cell r="P657">
            <v>12.99</v>
          </cell>
        </row>
        <row r="658">
          <cell r="A658" t="str">
            <v>6723857</v>
          </cell>
          <cell r="B658" t="str">
            <v>1322770</v>
          </cell>
          <cell r="C658" t="str">
            <v>6378RDS-8329-702</v>
          </cell>
          <cell r="D658" t="str">
            <v>6378RDS</v>
          </cell>
          <cell r="E658" t="str">
            <v>6378RDS GLOCK 17MOS XVL2 COR MLTCM LH</v>
          </cell>
          <cell r="F658" t="str">
            <v>DG-HOLSTER-RDS-DTC</v>
          </cell>
          <cell r="G658" t="str">
            <v>1420-210-FG</v>
          </cell>
          <cell r="H658" t="str">
            <v>R</v>
          </cell>
          <cell r="I658" t="str">
            <v>06/03/2024</v>
          </cell>
          <cell r="J658" t="str">
            <v>06/03/2024</v>
          </cell>
          <cell r="K658" t="str">
            <v>06/17/2024</v>
          </cell>
          <cell r="L658">
            <v>5</v>
          </cell>
          <cell r="M658" t="str">
            <v>6/6/2024 10:14:11 AM</v>
          </cell>
          <cell r="N658" t="str">
            <v>25</v>
          </cell>
          <cell r="O658">
            <v>5</v>
          </cell>
          <cell r="P658">
            <v>2.17</v>
          </cell>
        </row>
        <row r="659">
          <cell r="A659" t="str">
            <v>6723856</v>
          </cell>
          <cell r="B659" t="str">
            <v>1322769</v>
          </cell>
          <cell r="C659" t="str">
            <v>6378RDS-8329-701</v>
          </cell>
          <cell r="D659" t="str">
            <v>6378RDS</v>
          </cell>
          <cell r="E659" t="str">
            <v>6378RDS GLOCK 17MOS XVL2 COR MLTCM RH</v>
          </cell>
          <cell r="F659" t="str">
            <v>DG-HOLSTER-RDS-DTC</v>
          </cell>
          <cell r="G659" t="str">
            <v>1420-210-FG</v>
          </cell>
          <cell r="H659" t="str">
            <v>R</v>
          </cell>
          <cell r="I659" t="str">
            <v>06/03/2024</v>
          </cell>
          <cell r="J659" t="str">
            <v>06/03/2024</v>
          </cell>
          <cell r="K659" t="str">
            <v>06/17/2024</v>
          </cell>
          <cell r="L659">
            <v>5</v>
          </cell>
          <cell r="M659" t="str">
            <v>6/6/2024 10:14:11 AM</v>
          </cell>
          <cell r="N659" t="str">
            <v>25</v>
          </cell>
          <cell r="O659">
            <v>5</v>
          </cell>
          <cell r="P659">
            <v>2.17</v>
          </cell>
        </row>
        <row r="660">
          <cell r="A660" t="str">
            <v>6727184</v>
          </cell>
          <cell r="B660" t="str">
            <v>1320175</v>
          </cell>
          <cell r="C660" t="str">
            <v>6378RDS-2832-702-MS30</v>
          </cell>
          <cell r="D660" t="str">
            <v>6378RDS</v>
          </cell>
          <cell r="E660" t="str">
            <v>6378RDS GLOCK 19MOS X300U CORD MLTCM LH</v>
          </cell>
          <cell r="F660" t="str">
            <v>DG-HOLSTER-RDS-DTC</v>
          </cell>
          <cell r="G660" t="str">
            <v>1420-210-FG</v>
          </cell>
          <cell r="H660" t="str">
            <v>F</v>
          </cell>
          <cell r="I660" t="str">
            <v>06/10/2024</v>
          </cell>
          <cell r="J660" t="str">
            <v>06/10/2024</v>
          </cell>
          <cell r="K660" t="str">
            <v>06/17/2024</v>
          </cell>
          <cell r="L660">
            <v>5</v>
          </cell>
          <cell r="M660" t="str">
            <v/>
          </cell>
          <cell r="N660" t="str">
            <v>25</v>
          </cell>
          <cell r="O660">
            <v>5</v>
          </cell>
          <cell r="P660">
            <v>2</v>
          </cell>
        </row>
        <row r="661">
          <cell r="A661" t="str">
            <v>6727183</v>
          </cell>
          <cell r="B661" t="str">
            <v>1320174</v>
          </cell>
          <cell r="C661" t="str">
            <v>6378RDS-2832-701-MS30</v>
          </cell>
          <cell r="D661" t="str">
            <v>6378RDS</v>
          </cell>
          <cell r="E661" t="str">
            <v>6378RDS GLOCK 19MOS X300U CORD MLTCM RH</v>
          </cell>
          <cell r="F661" t="str">
            <v>DG-HOLSTER-RDS-DTC</v>
          </cell>
          <cell r="G661" t="str">
            <v>1420-210-FG</v>
          </cell>
          <cell r="H661" t="str">
            <v>F</v>
          </cell>
          <cell r="I661" t="str">
            <v>06/10/2024</v>
          </cell>
          <cell r="J661" t="str">
            <v>06/10/2024</v>
          </cell>
          <cell r="K661" t="str">
            <v>06/17/2024</v>
          </cell>
          <cell r="L661">
            <v>5</v>
          </cell>
          <cell r="M661" t="str">
            <v/>
          </cell>
          <cell r="N661" t="str">
            <v>25</v>
          </cell>
          <cell r="O661">
            <v>5</v>
          </cell>
          <cell r="P661">
            <v>2</v>
          </cell>
        </row>
        <row r="662">
          <cell r="A662" t="str">
            <v>6727177</v>
          </cell>
          <cell r="B662" t="str">
            <v>1304621</v>
          </cell>
          <cell r="C662" t="str">
            <v>6378RDS-2832-552</v>
          </cell>
          <cell r="D662" t="str">
            <v>6378RDS</v>
          </cell>
          <cell r="E662" t="str">
            <v>6378RDS GLOCK 19MOS X300U STX TAC FDE LH</v>
          </cell>
          <cell r="F662" t="str">
            <v>DG-HOLSTER-RDS-DTC</v>
          </cell>
          <cell r="G662" t="str">
            <v>1420-210-FG</v>
          </cell>
          <cell r="H662" t="str">
            <v>F</v>
          </cell>
          <cell r="I662" t="str">
            <v>06/10/2024</v>
          </cell>
          <cell r="J662" t="str">
            <v>06/10/2024</v>
          </cell>
          <cell r="K662" t="str">
            <v>06/17/2024</v>
          </cell>
          <cell r="L662">
            <v>5</v>
          </cell>
          <cell r="M662" t="str">
            <v/>
          </cell>
          <cell r="N662" t="str">
            <v>25</v>
          </cell>
          <cell r="O662">
            <v>5</v>
          </cell>
          <cell r="P662">
            <v>2</v>
          </cell>
        </row>
        <row r="663">
          <cell r="A663" t="str">
            <v>6727174</v>
          </cell>
          <cell r="B663" t="str">
            <v>1206860</v>
          </cell>
          <cell r="C663" t="str">
            <v>6378RDS-2832-551</v>
          </cell>
          <cell r="D663" t="str">
            <v>6378RDS</v>
          </cell>
          <cell r="E663" t="str">
            <v>6378RDS GLOCK 19MOS X300U STX TAC FDE RH</v>
          </cell>
          <cell r="F663" t="str">
            <v>DG-HOLSTER-RDS-DTC</v>
          </cell>
          <cell r="G663" t="str">
            <v>1420-210-FG</v>
          </cell>
          <cell r="H663" t="str">
            <v>F</v>
          </cell>
          <cell r="I663" t="str">
            <v>06/10/2024</v>
          </cell>
          <cell r="J663" t="str">
            <v>06/10/2024</v>
          </cell>
          <cell r="K663" t="str">
            <v>06/17/2024</v>
          </cell>
          <cell r="L663">
            <v>5</v>
          </cell>
          <cell r="M663" t="str">
            <v/>
          </cell>
          <cell r="N663" t="str">
            <v>25</v>
          </cell>
          <cell r="O663">
            <v>5</v>
          </cell>
          <cell r="P663">
            <v>2</v>
          </cell>
        </row>
        <row r="664">
          <cell r="A664" t="str">
            <v>6723525</v>
          </cell>
          <cell r="B664" t="str">
            <v>1304378</v>
          </cell>
          <cell r="C664" t="str">
            <v>6378RDS-6832-411</v>
          </cell>
          <cell r="D664" t="str">
            <v>6378RDS</v>
          </cell>
          <cell r="E664" t="str">
            <v>6378RDS GLOCK 34/35 X300U STX PLN BLK RH</v>
          </cell>
          <cell r="F664" t="str">
            <v>DG-HOLSTER-RDS</v>
          </cell>
          <cell r="G664" t="str">
            <v>1420-210-FG</v>
          </cell>
          <cell r="H664" t="str">
            <v>R</v>
          </cell>
          <cell r="I664" t="str">
            <v>06/03/2024</v>
          </cell>
          <cell r="J664" t="str">
            <v>06/03/2024</v>
          </cell>
          <cell r="K664" t="str">
            <v>06/17/2024</v>
          </cell>
          <cell r="L664">
            <v>22</v>
          </cell>
          <cell r="M664" t="str">
            <v>6/6/2024 10:02:28 AM</v>
          </cell>
          <cell r="N664" t="str">
            <v>25</v>
          </cell>
          <cell r="O664">
            <v>22</v>
          </cell>
          <cell r="P664">
            <v>8.8000000000000007</v>
          </cell>
        </row>
        <row r="665">
          <cell r="A665" t="str">
            <v>6723531</v>
          </cell>
          <cell r="B665" t="str">
            <v>1320197</v>
          </cell>
          <cell r="C665" t="str">
            <v>6378RDS-8182-131</v>
          </cell>
          <cell r="D665" t="str">
            <v>6378RDS</v>
          </cell>
          <cell r="E665" t="str">
            <v>6378RDS MP 2.0 9MM X300U STX TAC BLK RH</v>
          </cell>
          <cell r="F665" t="str">
            <v>DG-HOLSTER-RDS</v>
          </cell>
          <cell r="G665" t="str">
            <v>1420-210-FG</v>
          </cell>
          <cell r="H665" t="str">
            <v>R</v>
          </cell>
          <cell r="I665" t="str">
            <v>06/03/2024</v>
          </cell>
          <cell r="J665" t="str">
            <v>06/03/2024</v>
          </cell>
          <cell r="K665" t="str">
            <v>06/17/2024</v>
          </cell>
          <cell r="L665">
            <v>10</v>
          </cell>
          <cell r="M665" t="str">
            <v>6/6/2024 9:59:43 AM</v>
          </cell>
          <cell r="N665" t="str">
            <v>25</v>
          </cell>
          <cell r="O665">
            <v>10</v>
          </cell>
          <cell r="P665">
            <v>4</v>
          </cell>
        </row>
        <row r="666">
          <cell r="A666" t="str">
            <v>6723536</v>
          </cell>
          <cell r="B666" t="str">
            <v>1321735</v>
          </cell>
          <cell r="C666" t="str">
            <v>6378RDS-2222-411</v>
          </cell>
          <cell r="D666" t="str">
            <v>6378RDS</v>
          </cell>
          <cell r="E666" t="str">
            <v>6378RDS MP2.0 9 CORE X300U STXPLN BLK RH</v>
          </cell>
          <cell r="F666" t="str">
            <v>DG-HOLSTER-RDS</v>
          </cell>
          <cell r="G666" t="str">
            <v>1420-210-FG</v>
          </cell>
          <cell r="H666" t="str">
            <v>R</v>
          </cell>
          <cell r="I666" t="str">
            <v>06/03/2024</v>
          </cell>
          <cell r="J666" t="str">
            <v>06/03/2024</v>
          </cell>
          <cell r="K666" t="str">
            <v>06/17/2024</v>
          </cell>
          <cell r="L666">
            <v>23</v>
          </cell>
          <cell r="M666" t="str">
            <v>6/6/2024 10:02:28 AM</v>
          </cell>
          <cell r="N666" t="str">
            <v>25</v>
          </cell>
          <cell r="O666">
            <v>23</v>
          </cell>
          <cell r="P666">
            <v>9.1999999999999993</v>
          </cell>
        </row>
        <row r="667">
          <cell r="A667" t="str">
            <v>6724798</v>
          </cell>
          <cell r="B667" t="str">
            <v>1321735</v>
          </cell>
          <cell r="C667" t="str">
            <v>6378RDS-2222-411</v>
          </cell>
          <cell r="D667" t="str">
            <v>6378RDS</v>
          </cell>
          <cell r="E667" t="str">
            <v>6378RDS MP2.0 9 CORE X300U STXPLN BLK RH</v>
          </cell>
          <cell r="F667" t="str">
            <v>DG-HOLSTER-RDS</v>
          </cell>
          <cell r="G667" t="str">
            <v>1420-210-FG</v>
          </cell>
          <cell r="H667" t="str">
            <v>R</v>
          </cell>
          <cell r="I667" t="str">
            <v>06/04/2024</v>
          </cell>
          <cell r="J667" t="str">
            <v>06/10/2024</v>
          </cell>
          <cell r="K667" t="str">
            <v>06/17/2024</v>
          </cell>
          <cell r="L667">
            <v>20</v>
          </cell>
          <cell r="M667" t="str">
            <v>6/6/2024 10:02:28 AM</v>
          </cell>
          <cell r="N667" t="str">
            <v>25</v>
          </cell>
          <cell r="O667">
            <v>20</v>
          </cell>
          <cell r="P667">
            <v>8</v>
          </cell>
        </row>
        <row r="668">
          <cell r="A668" t="str">
            <v>6723532</v>
          </cell>
          <cell r="B668" t="str">
            <v>1320395</v>
          </cell>
          <cell r="C668" t="str">
            <v>6378RDS-2222-131</v>
          </cell>
          <cell r="D668" t="str">
            <v>6378RDS</v>
          </cell>
          <cell r="E668" t="str">
            <v>6378RDS MP2.0 9 CORE X300U STXTAC BLK RH</v>
          </cell>
          <cell r="F668" t="str">
            <v>DG-HOLSTER-RDS</v>
          </cell>
          <cell r="G668" t="str">
            <v>1420-210-FG</v>
          </cell>
          <cell r="H668" t="str">
            <v>R</v>
          </cell>
          <cell r="I668" t="str">
            <v>06/03/2024</v>
          </cell>
          <cell r="J668" t="str">
            <v>06/03/2024</v>
          </cell>
          <cell r="K668" t="str">
            <v>06/17/2024</v>
          </cell>
          <cell r="L668">
            <v>20</v>
          </cell>
          <cell r="M668" t="str">
            <v>6/6/2024 9:59:43 AM</v>
          </cell>
          <cell r="N668" t="str">
            <v>25</v>
          </cell>
          <cell r="O668">
            <v>20</v>
          </cell>
          <cell r="P668">
            <v>8</v>
          </cell>
        </row>
        <row r="669">
          <cell r="A669" t="str">
            <v>6724750</v>
          </cell>
          <cell r="B669" t="str">
            <v>1206083</v>
          </cell>
          <cell r="C669" t="str">
            <v>6378RDS-2192-131</v>
          </cell>
          <cell r="D669" t="str">
            <v>6378RDS</v>
          </cell>
          <cell r="E669" t="str">
            <v>6378RDS S&amp;W M&amp;P 4IN X300U STX TAC BLK RH</v>
          </cell>
          <cell r="F669" t="str">
            <v>DG-HOLSTER-RDS</v>
          </cell>
          <cell r="G669" t="str">
            <v>1420-210-FG</v>
          </cell>
          <cell r="H669" t="str">
            <v>R</v>
          </cell>
          <cell r="I669" t="str">
            <v>06/04/2024</v>
          </cell>
          <cell r="J669" t="str">
            <v>06/10/2024</v>
          </cell>
          <cell r="K669" t="str">
            <v>06/17/2024</v>
          </cell>
          <cell r="L669">
            <v>5</v>
          </cell>
          <cell r="M669" t="str">
            <v>6/6/2024 9:59:43 AM</v>
          </cell>
          <cell r="N669" t="str">
            <v>25</v>
          </cell>
          <cell r="O669">
            <v>5</v>
          </cell>
          <cell r="P669">
            <v>2</v>
          </cell>
        </row>
        <row r="670">
          <cell r="A670" t="str">
            <v>6727206</v>
          </cell>
          <cell r="B670" t="str">
            <v>1335064</v>
          </cell>
          <cell r="C670" t="str">
            <v>6378RDS-572-411</v>
          </cell>
          <cell r="D670" t="str">
            <v>6378RDS</v>
          </cell>
          <cell r="E670" t="str">
            <v>6378RDS SA ECHELON X300U STX PLN BLK RH</v>
          </cell>
          <cell r="F670" t="str">
            <v>DG-HOLSTER-RDS-DTC</v>
          </cell>
          <cell r="G670" t="str">
            <v>1420-210-FG</v>
          </cell>
          <cell r="H670" t="str">
            <v>F</v>
          </cell>
          <cell r="I670" t="str">
            <v>06/10/2024</v>
          </cell>
          <cell r="J670" t="str">
            <v>06/10/2024</v>
          </cell>
          <cell r="K670" t="str">
            <v>06/17/2024</v>
          </cell>
          <cell r="L670">
            <v>10</v>
          </cell>
          <cell r="M670" t="str">
            <v/>
          </cell>
          <cell r="N670" t="str">
            <v>25</v>
          </cell>
          <cell r="O670">
            <v>10</v>
          </cell>
          <cell r="P670">
            <v>4</v>
          </cell>
        </row>
        <row r="671">
          <cell r="A671" t="str">
            <v>6724756</v>
          </cell>
          <cell r="B671" t="str">
            <v>1208070</v>
          </cell>
          <cell r="C671" t="str">
            <v>6378RDS-4502-411</v>
          </cell>
          <cell r="D671" t="str">
            <v>6378RDS</v>
          </cell>
          <cell r="E671" t="str">
            <v>6378RDS SIG 320RX X300U STX PLN BLK RH</v>
          </cell>
          <cell r="F671" t="str">
            <v>DG-HOLSTER-RDS</v>
          </cell>
          <cell r="G671" t="str">
            <v>1420-210-FG</v>
          </cell>
          <cell r="H671" t="str">
            <v>R</v>
          </cell>
          <cell r="I671" t="str">
            <v>06/04/2024</v>
          </cell>
          <cell r="J671" t="str">
            <v>06/06/2024</v>
          </cell>
          <cell r="K671" t="str">
            <v>06/17/2024</v>
          </cell>
          <cell r="L671">
            <v>5</v>
          </cell>
          <cell r="M671" t="str">
            <v>6/6/2024 10:02:28 AM</v>
          </cell>
          <cell r="N671" t="str">
            <v>25</v>
          </cell>
          <cell r="O671">
            <v>5</v>
          </cell>
          <cell r="P671">
            <v>2.17</v>
          </cell>
        </row>
        <row r="672">
          <cell r="A672" t="str">
            <v>6723523</v>
          </cell>
          <cell r="B672" t="str">
            <v>1208068</v>
          </cell>
          <cell r="C672" t="str">
            <v>6378RDS-4502-131</v>
          </cell>
          <cell r="D672" t="str">
            <v>6378RDS</v>
          </cell>
          <cell r="E672" t="str">
            <v>6378RDS SIG 320RX X300U STX TAC BLK RH</v>
          </cell>
          <cell r="F672" t="str">
            <v>DG-HOLSTER-RDS</v>
          </cell>
          <cell r="G672" t="str">
            <v>1420-210-FG</v>
          </cell>
          <cell r="H672" t="str">
            <v>R</v>
          </cell>
          <cell r="I672" t="str">
            <v>06/03/2024</v>
          </cell>
          <cell r="J672" t="str">
            <v>06/03/2024</v>
          </cell>
          <cell r="K672" t="str">
            <v>06/17/2024</v>
          </cell>
          <cell r="L672">
            <v>19</v>
          </cell>
          <cell r="M672" t="str">
            <v>6/6/2024 9:59:43 AM</v>
          </cell>
          <cell r="N672" t="str">
            <v>25</v>
          </cell>
          <cell r="O672">
            <v>19</v>
          </cell>
          <cell r="P672">
            <v>8.23</v>
          </cell>
        </row>
        <row r="673">
          <cell r="A673" t="str">
            <v>6724338</v>
          </cell>
          <cell r="B673" t="str">
            <v>1208068</v>
          </cell>
          <cell r="C673" t="str">
            <v>6378RDS-4502-131</v>
          </cell>
          <cell r="D673" t="str">
            <v>6378RDS</v>
          </cell>
          <cell r="E673" t="str">
            <v>6378RDS SIG 320RX X300U STX TAC BLK RH</v>
          </cell>
          <cell r="F673" t="str">
            <v>DG-HOLSTER-RDS</v>
          </cell>
          <cell r="G673" t="str">
            <v>1420-210-FG</v>
          </cell>
          <cell r="H673" t="str">
            <v>R</v>
          </cell>
          <cell r="I673" t="str">
            <v>06/04/2024</v>
          </cell>
          <cell r="J673" t="str">
            <v>06/04/2024</v>
          </cell>
          <cell r="K673" t="str">
            <v>06/17/2024</v>
          </cell>
          <cell r="L673">
            <v>10</v>
          </cell>
          <cell r="M673" t="str">
            <v>6/6/2024 9:59:43 AM</v>
          </cell>
          <cell r="N673" t="str">
            <v>25</v>
          </cell>
          <cell r="O673">
            <v>10</v>
          </cell>
          <cell r="P673">
            <v>4.33</v>
          </cell>
        </row>
        <row r="674">
          <cell r="A674" t="str">
            <v>6726977</v>
          </cell>
          <cell r="B674" t="str">
            <v>1329020</v>
          </cell>
          <cell r="C674" t="str">
            <v>6378RDS-1582-131</v>
          </cell>
          <cell r="D674" t="str">
            <v>6378RDS</v>
          </cell>
          <cell r="E674" t="str">
            <v>6378RDS STI STACC P 4.4" X300U STXBLK RH</v>
          </cell>
          <cell r="F674" t="str">
            <v>DG-HOLSTER-RDS</v>
          </cell>
          <cell r="G674" t="str">
            <v>1420-210-FG</v>
          </cell>
          <cell r="H674" t="str">
            <v>F</v>
          </cell>
          <cell r="I674" t="str">
            <v>06/10/2024</v>
          </cell>
          <cell r="J674" t="str">
            <v>06/10/2024</v>
          </cell>
          <cell r="K674" t="str">
            <v>06/17/2024</v>
          </cell>
          <cell r="L674">
            <v>34</v>
          </cell>
          <cell r="M674" t="str">
            <v/>
          </cell>
          <cell r="N674" t="str">
            <v>25</v>
          </cell>
          <cell r="O674">
            <v>34</v>
          </cell>
          <cell r="P674">
            <v>13.6</v>
          </cell>
        </row>
        <row r="675">
          <cell r="A675" t="str">
            <v>6727069</v>
          </cell>
          <cell r="B675" t="str">
            <v>1329022</v>
          </cell>
          <cell r="C675" t="str">
            <v>6378RDS-1582-701</v>
          </cell>
          <cell r="D675" t="str">
            <v>6378RDS</v>
          </cell>
          <cell r="E675" t="str">
            <v>6378RDS STI STACC P 4.4"X300U MLTCM RH</v>
          </cell>
          <cell r="F675" t="str">
            <v>DG-HOLSTER-RDS</v>
          </cell>
          <cell r="G675" t="str">
            <v>1420-210-FG</v>
          </cell>
          <cell r="H675" t="str">
            <v>F</v>
          </cell>
          <cell r="I675" t="str">
            <v>06/10/2024</v>
          </cell>
          <cell r="J675" t="str">
            <v>06/10/2024</v>
          </cell>
          <cell r="K675" t="str">
            <v>06/17/2024</v>
          </cell>
          <cell r="L675">
            <v>5</v>
          </cell>
          <cell r="M675" t="str">
            <v/>
          </cell>
          <cell r="N675" t="str">
            <v>25</v>
          </cell>
          <cell r="O675">
            <v>5</v>
          </cell>
          <cell r="P675">
            <v>2</v>
          </cell>
        </row>
        <row r="676">
          <cell r="A676" t="str">
            <v>6727254</v>
          </cell>
          <cell r="B676" t="str">
            <v>1159066</v>
          </cell>
          <cell r="C676" t="str">
            <v>6378USN-283-701</v>
          </cell>
          <cell r="D676" t="str">
            <v>6378USN</v>
          </cell>
          <cell r="E676" t="str">
            <v>6378USN GLOCK 19/23 CORD MUL CAM RH</v>
          </cell>
          <cell r="F676" t="str">
            <v>DG-HOLSTER-USN-DTC</v>
          </cell>
          <cell r="G676" t="str">
            <v>1420-210-FG</v>
          </cell>
          <cell r="H676" t="str">
            <v>F</v>
          </cell>
          <cell r="I676" t="str">
            <v>06/10/2024</v>
          </cell>
          <cell r="J676" t="str">
            <v>06/10/2024</v>
          </cell>
          <cell r="K676" t="str">
            <v>06/17/2024</v>
          </cell>
          <cell r="L676">
            <v>5</v>
          </cell>
          <cell r="M676" t="str">
            <v/>
          </cell>
          <cell r="N676" t="str">
            <v>25</v>
          </cell>
          <cell r="O676">
            <v>5</v>
          </cell>
          <cell r="P676">
            <v>1.41</v>
          </cell>
        </row>
        <row r="677">
          <cell r="A677" t="str">
            <v>6727043</v>
          </cell>
          <cell r="B677" t="str">
            <v>1324709</v>
          </cell>
          <cell r="C677" t="str">
            <v>6384RDS-1582-701</v>
          </cell>
          <cell r="D677" t="str">
            <v>6384RDS</v>
          </cell>
          <cell r="E677" t="str">
            <v>6384RDS STI STACC P 4.4"X300U MLTCM RH</v>
          </cell>
          <cell r="F677" t="str">
            <v>DG-HOLSTER-RDS</v>
          </cell>
          <cell r="G677" t="str">
            <v>1420-210-FG</v>
          </cell>
          <cell r="H677" t="str">
            <v>F</v>
          </cell>
          <cell r="I677" t="str">
            <v>06/10/2024</v>
          </cell>
          <cell r="J677" t="str">
            <v>06/10/2024</v>
          </cell>
          <cell r="K677" t="str">
            <v>06/17/2024</v>
          </cell>
          <cell r="L677">
            <v>5</v>
          </cell>
          <cell r="M677" t="str">
            <v/>
          </cell>
          <cell r="N677" t="str">
            <v>25</v>
          </cell>
          <cell r="O677">
            <v>5</v>
          </cell>
          <cell r="P677">
            <v>2</v>
          </cell>
        </row>
        <row r="678">
          <cell r="A678" t="str">
            <v>6724682</v>
          </cell>
          <cell r="B678" t="str">
            <v>1151430</v>
          </cell>
          <cell r="C678" t="str">
            <v>6390-832-131</v>
          </cell>
          <cell r="D678" t="str">
            <v>6390</v>
          </cell>
          <cell r="E678" t="str">
            <v>6390 GLOCK 17/22 X300U STX TAC BLK RH</v>
          </cell>
          <cell r="F678" t="str">
            <v>DG-HOLSTER-DTC</v>
          </cell>
          <cell r="G678" t="str">
            <v>1420-210-FG</v>
          </cell>
          <cell r="H678" t="str">
            <v>R</v>
          </cell>
          <cell r="I678" t="str">
            <v>06/04/2024</v>
          </cell>
          <cell r="J678" t="str">
            <v>06/10/2024</v>
          </cell>
          <cell r="K678" t="str">
            <v>06/17/2024</v>
          </cell>
          <cell r="L678">
            <v>5</v>
          </cell>
          <cell r="M678" t="str">
            <v>6/6/2024 8:59:08 AM</v>
          </cell>
          <cell r="N678" t="str">
            <v>25</v>
          </cell>
          <cell r="O678">
            <v>5</v>
          </cell>
          <cell r="P678">
            <v>2.04</v>
          </cell>
        </row>
        <row r="679">
          <cell r="A679" t="str">
            <v>6726857</v>
          </cell>
          <cell r="B679" t="str">
            <v>1156208</v>
          </cell>
          <cell r="C679" t="str">
            <v>6390-6832-411</v>
          </cell>
          <cell r="D679" t="str">
            <v>6390</v>
          </cell>
          <cell r="E679" t="str">
            <v>6390 GLOCK 34/35 X300 STX PLN BLK RH</v>
          </cell>
          <cell r="F679" t="str">
            <v>DG-HOLSTER</v>
          </cell>
          <cell r="G679" t="str">
            <v>1420-210-FG</v>
          </cell>
          <cell r="H679" t="str">
            <v>F</v>
          </cell>
          <cell r="I679" t="str">
            <v>06/10/2024</v>
          </cell>
          <cell r="J679" t="str">
            <v>06/10/2024</v>
          </cell>
          <cell r="K679" t="str">
            <v>06/17/2024</v>
          </cell>
          <cell r="L679">
            <v>5</v>
          </cell>
          <cell r="M679" t="str">
            <v/>
          </cell>
          <cell r="N679" t="str">
            <v>25</v>
          </cell>
          <cell r="O679">
            <v>5</v>
          </cell>
          <cell r="P679">
            <v>1.44</v>
          </cell>
        </row>
        <row r="680">
          <cell r="A680" t="str">
            <v>6726870</v>
          </cell>
          <cell r="B680" t="str">
            <v>1169281</v>
          </cell>
          <cell r="C680" t="str">
            <v>6390-7742-561</v>
          </cell>
          <cell r="D680" t="str">
            <v>6390</v>
          </cell>
          <cell r="E680" t="str">
            <v>6390 SIG P226R X300 STX TAC ODG RH</v>
          </cell>
          <cell r="F680" t="str">
            <v>DG-HOLSTER</v>
          </cell>
          <cell r="G680" t="str">
            <v>1420-210-FG</v>
          </cell>
          <cell r="H680" t="str">
            <v>F</v>
          </cell>
          <cell r="I680" t="str">
            <v>06/10/2024</v>
          </cell>
          <cell r="J680" t="str">
            <v>06/10/2024</v>
          </cell>
          <cell r="K680" t="str">
            <v>06/17/2024</v>
          </cell>
          <cell r="L680">
            <v>5</v>
          </cell>
          <cell r="M680" t="str">
            <v/>
          </cell>
          <cell r="N680" t="str">
            <v>25</v>
          </cell>
          <cell r="O680">
            <v>5</v>
          </cell>
          <cell r="P680">
            <v>1.87</v>
          </cell>
        </row>
        <row r="681">
          <cell r="A681" t="str">
            <v>6727234</v>
          </cell>
          <cell r="B681" t="str">
            <v>1335361</v>
          </cell>
          <cell r="C681" t="str">
            <v>6390RDS-2582-481</v>
          </cell>
          <cell r="D681" t="str">
            <v>6390RDS</v>
          </cell>
          <cell r="E681" t="str">
            <v>6390RDS 2011 STCC 5"X300U STX BSK BLK RH</v>
          </cell>
          <cell r="F681" t="str">
            <v>DG-HOLSTER-RDS-DTC</v>
          </cell>
          <cell r="G681" t="str">
            <v>1420-210-FG</v>
          </cell>
          <cell r="H681" t="str">
            <v>F</v>
          </cell>
          <cell r="I681" t="str">
            <v>06/10/2024</v>
          </cell>
          <cell r="J681" t="str">
            <v>06/10/2024</v>
          </cell>
          <cell r="K681" t="str">
            <v>06/17/2024</v>
          </cell>
          <cell r="L681">
            <v>5</v>
          </cell>
          <cell r="M681" t="str">
            <v/>
          </cell>
          <cell r="N681" t="str">
            <v>25</v>
          </cell>
          <cell r="O681">
            <v>5</v>
          </cell>
          <cell r="P681">
            <v>2</v>
          </cell>
        </row>
        <row r="682">
          <cell r="A682" t="str">
            <v>6723571</v>
          </cell>
          <cell r="B682" t="str">
            <v>1327089</v>
          </cell>
          <cell r="C682" t="str">
            <v>6390RDS-2702-701</v>
          </cell>
          <cell r="D682" t="str">
            <v>6390RDS</v>
          </cell>
          <cell r="E682" t="str">
            <v>6390RDS FN 509 X300U COR MLTCM RH</v>
          </cell>
          <cell r="F682" t="str">
            <v>DG-HOLSTER-RDS</v>
          </cell>
          <cell r="G682" t="str">
            <v>1420-210-FG</v>
          </cell>
          <cell r="H682" t="str">
            <v>R</v>
          </cell>
          <cell r="I682" t="str">
            <v>06/03/2024</v>
          </cell>
          <cell r="J682" t="str">
            <v>06/03/2024</v>
          </cell>
          <cell r="K682" t="str">
            <v>06/17/2024</v>
          </cell>
          <cell r="L682">
            <v>5</v>
          </cell>
          <cell r="M682" t="str">
            <v>6/6/2024 10:14:11 AM</v>
          </cell>
          <cell r="N682" t="str">
            <v>25</v>
          </cell>
          <cell r="O682">
            <v>5</v>
          </cell>
          <cell r="P682">
            <v>2</v>
          </cell>
        </row>
        <row r="683">
          <cell r="A683" t="str">
            <v>6727073</v>
          </cell>
          <cell r="B683" t="str">
            <v>1329139</v>
          </cell>
          <cell r="C683" t="str">
            <v>6390RDS-2712-131</v>
          </cell>
          <cell r="D683" t="str">
            <v>6390RDS</v>
          </cell>
          <cell r="E683" t="str">
            <v>6390RDS FN509T 4.5IN X300U STX TACBLK RH</v>
          </cell>
          <cell r="F683" t="str">
            <v>DG-HOLSTER-RDS</v>
          </cell>
          <cell r="G683" t="str">
            <v>1420-210-FG</v>
          </cell>
          <cell r="H683" t="str">
            <v>F</v>
          </cell>
          <cell r="I683" t="str">
            <v>06/10/2024</v>
          </cell>
          <cell r="J683" t="str">
            <v>06/10/2024</v>
          </cell>
          <cell r="K683" t="str">
            <v>06/17/2024</v>
          </cell>
          <cell r="L683">
            <v>5</v>
          </cell>
          <cell r="M683" t="str">
            <v/>
          </cell>
          <cell r="N683" t="str">
            <v>25</v>
          </cell>
          <cell r="O683">
            <v>5</v>
          </cell>
          <cell r="P683">
            <v>2</v>
          </cell>
        </row>
        <row r="684">
          <cell r="A684" t="str">
            <v>6723855</v>
          </cell>
          <cell r="B684" t="str">
            <v>1322373</v>
          </cell>
          <cell r="C684" t="str">
            <v>6390RDS-8321-701</v>
          </cell>
          <cell r="D684" t="str">
            <v>6390RDS</v>
          </cell>
          <cell r="E684" t="str">
            <v>6390RDS GLOCK 17MOS TLR 2  COR MLTCM RH</v>
          </cell>
          <cell r="F684" t="str">
            <v>DG-HOLSTER-RDS-DTC</v>
          </cell>
          <cell r="G684" t="str">
            <v>1420-210-FG</v>
          </cell>
          <cell r="H684" t="str">
            <v>R</v>
          </cell>
          <cell r="I684" t="str">
            <v>06/03/2024</v>
          </cell>
          <cell r="J684" t="str">
            <v>06/03/2024</v>
          </cell>
          <cell r="K684" t="str">
            <v>06/17/2024</v>
          </cell>
          <cell r="L684">
            <v>5</v>
          </cell>
          <cell r="M684" t="str">
            <v>6/6/2024 10:14:11 AM</v>
          </cell>
          <cell r="N684" t="str">
            <v>25</v>
          </cell>
          <cell r="O684">
            <v>5</v>
          </cell>
          <cell r="P684">
            <v>2.17</v>
          </cell>
        </row>
        <row r="685">
          <cell r="A685" t="str">
            <v>6723826</v>
          </cell>
          <cell r="B685" t="str">
            <v>1204721</v>
          </cell>
          <cell r="C685" t="str">
            <v>6390RDS-832-781</v>
          </cell>
          <cell r="D685" t="str">
            <v>6390RDS</v>
          </cell>
          <cell r="E685" t="str">
            <v>6390RDS GLOCK 17MOS X300U COR BLK RH</v>
          </cell>
          <cell r="F685" t="str">
            <v>DG-HOLSTER-RDS-DTC</v>
          </cell>
          <cell r="G685" t="str">
            <v>1420-210-FG</v>
          </cell>
          <cell r="H685" t="str">
            <v>R</v>
          </cell>
          <cell r="I685" t="str">
            <v>06/03/2024</v>
          </cell>
          <cell r="J685" t="str">
            <v>06/03/2024</v>
          </cell>
          <cell r="K685" t="str">
            <v>06/17/2024</v>
          </cell>
          <cell r="L685">
            <v>5</v>
          </cell>
          <cell r="M685" t="str">
            <v>6/6/2024 10:14:11 AM</v>
          </cell>
          <cell r="N685" t="str">
            <v>25</v>
          </cell>
          <cell r="O685">
            <v>5</v>
          </cell>
          <cell r="P685">
            <v>2.17</v>
          </cell>
        </row>
        <row r="686">
          <cell r="A686" t="str">
            <v>6724805</v>
          </cell>
          <cell r="B686" t="str">
            <v>1204715</v>
          </cell>
          <cell r="C686" t="str">
            <v>6390RDS-832-701</v>
          </cell>
          <cell r="D686" t="str">
            <v>6390RDS</v>
          </cell>
          <cell r="E686" t="str">
            <v>6390RDS GLOCK 17MOS X300U COR MLTCM RH</v>
          </cell>
          <cell r="F686" t="str">
            <v>DG-HOLSTER-RDS-DTC</v>
          </cell>
          <cell r="G686" t="str">
            <v>1420-210-FG</v>
          </cell>
          <cell r="H686" t="str">
            <v>R</v>
          </cell>
          <cell r="I686" t="str">
            <v>06/04/2024</v>
          </cell>
          <cell r="J686" t="str">
            <v>06/10/2024</v>
          </cell>
          <cell r="K686" t="str">
            <v>06/17/2024</v>
          </cell>
          <cell r="L686">
            <v>20</v>
          </cell>
          <cell r="M686" t="str">
            <v>6/6/2024 10:14:11 AM</v>
          </cell>
          <cell r="N686" t="str">
            <v>25</v>
          </cell>
          <cell r="O686">
            <v>20</v>
          </cell>
          <cell r="P686">
            <v>8.66</v>
          </cell>
        </row>
        <row r="687">
          <cell r="A687" t="str">
            <v>6724819</v>
          </cell>
          <cell r="B687" t="str">
            <v>1201823</v>
          </cell>
          <cell r="C687" t="str">
            <v>6390RDS-832-551</v>
          </cell>
          <cell r="D687" t="str">
            <v>6390RDS</v>
          </cell>
          <cell r="E687" t="str">
            <v>6390RDS GLOCK 17MOS X300U STX TAC FDE RH</v>
          </cell>
          <cell r="F687" t="str">
            <v>DG-HOLSTER-RDS-DTC</v>
          </cell>
          <cell r="G687" t="str">
            <v>1420-210-FG</v>
          </cell>
          <cell r="H687" t="str">
            <v>R</v>
          </cell>
          <cell r="I687" t="str">
            <v>06/04/2024</v>
          </cell>
          <cell r="J687" t="str">
            <v>06/07/2024</v>
          </cell>
          <cell r="K687" t="str">
            <v>06/17/2024</v>
          </cell>
          <cell r="L687">
            <v>5</v>
          </cell>
          <cell r="M687" t="str">
            <v>6/6/2024 10:03:19 AM</v>
          </cell>
          <cell r="N687" t="str">
            <v>25</v>
          </cell>
          <cell r="O687">
            <v>5</v>
          </cell>
          <cell r="P687">
            <v>2.17</v>
          </cell>
        </row>
        <row r="688">
          <cell r="A688" t="str">
            <v>6726944</v>
          </cell>
          <cell r="B688" t="str">
            <v>1315047</v>
          </cell>
          <cell r="C688" t="str">
            <v>6390RDS-28321-131</v>
          </cell>
          <cell r="D688" t="str">
            <v>6390RDS</v>
          </cell>
          <cell r="E688" t="str">
            <v>6390RDS GLOCK 19MOS TLR2HL STX TC BLK RH</v>
          </cell>
          <cell r="F688" t="str">
            <v>DG-HOLSTER-DTC</v>
          </cell>
          <cell r="G688" t="str">
            <v>1420-210-FG</v>
          </cell>
          <cell r="H688" t="str">
            <v>F</v>
          </cell>
          <cell r="I688" t="str">
            <v>06/10/2024</v>
          </cell>
          <cell r="J688" t="str">
            <v>06/10/2024</v>
          </cell>
          <cell r="K688" t="str">
            <v>06/17/2024</v>
          </cell>
          <cell r="L688">
            <v>5</v>
          </cell>
          <cell r="M688" t="str">
            <v/>
          </cell>
          <cell r="N688" t="str">
            <v>25</v>
          </cell>
          <cell r="O688">
            <v>5</v>
          </cell>
          <cell r="P688">
            <v>2</v>
          </cell>
        </row>
        <row r="689">
          <cell r="A689" t="str">
            <v>6727179</v>
          </cell>
          <cell r="B689" t="str">
            <v>1315058</v>
          </cell>
          <cell r="C689" t="str">
            <v>6390RDS-28321-562</v>
          </cell>
          <cell r="D689" t="str">
            <v>6390RDS</v>
          </cell>
          <cell r="E689" t="str">
            <v>6390RDS GLOCK 19MOS TLR2HL STX  ODG LH</v>
          </cell>
          <cell r="F689" t="str">
            <v>DG-HOLSTER-RDS-DTC</v>
          </cell>
          <cell r="G689" t="str">
            <v>1420-210-FG</v>
          </cell>
          <cell r="H689" t="str">
            <v>F</v>
          </cell>
          <cell r="I689" t="str">
            <v>06/10/2024</v>
          </cell>
          <cell r="J689" t="str">
            <v>06/10/2024</v>
          </cell>
          <cell r="K689" t="str">
            <v>06/17/2024</v>
          </cell>
          <cell r="L689">
            <v>5</v>
          </cell>
          <cell r="M689" t="str">
            <v/>
          </cell>
          <cell r="N689" t="str">
            <v>25</v>
          </cell>
          <cell r="O689">
            <v>5</v>
          </cell>
          <cell r="P689">
            <v>2</v>
          </cell>
        </row>
        <row r="690">
          <cell r="A690" t="str">
            <v>6727193</v>
          </cell>
          <cell r="B690" t="str">
            <v>1332862</v>
          </cell>
          <cell r="C690" t="str">
            <v>6390RDS-2832-722</v>
          </cell>
          <cell r="D690" t="str">
            <v>6390RDS</v>
          </cell>
          <cell r="E690" t="str">
            <v>6390RDS GLOCK 19MOS X300U COR OD RGRN LH</v>
          </cell>
          <cell r="F690" t="str">
            <v>DG-HOLSTER-RDS-DTC</v>
          </cell>
          <cell r="G690" t="str">
            <v>1420-210-FG</v>
          </cell>
          <cell r="H690" t="str">
            <v>F</v>
          </cell>
          <cell r="I690" t="str">
            <v>06/10/2024</v>
          </cell>
          <cell r="J690" t="str">
            <v>06/10/2024</v>
          </cell>
          <cell r="K690" t="str">
            <v>06/17/2024</v>
          </cell>
          <cell r="L690">
            <v>5</v>
          </cell>
          <cell r="M690" t="str">
            <v/>
          </cell>
          <cell r="N690" t="str">
            <v>25</v>
          </cell>
          <cell r="O690">
            <v>5</v>
          </cell>
          <cell r="P690">
            <v>2</v>
          </cell>
        </row>
        <row r="691">
          <cell r="A691" t="str">
            <v>6727172</v>
          </cell>
          <cell r="B691" t="str">
            <v>1206392</v>
          </cell>
          <cell r="C691" t="str">
            <v>6390RDS-2832-781</v>
          </cell>
          <cell r="D691" t="str">
            <v>6390RDS</v>
          </cell>
          <cell r="E691" t="str">
            <v>6390RDS GLOCK 19MOS X300U CORD BLK RH</v>
          </cell>
          <cell r="F691" t="str">
            <v>DG-HOLSTER-RDS-DTC</v>
          </cell>
          <cell r="G691" t="str">
            <v>1420-210-FG</v>
          </cell>
          <cell r="H691" t="str">
            <v>F</v>
          </cell>
          <cell r="I691" t="str">
            <v>06/10/2024</v>
          </cell>
          <cell r="J691" t="str">
            <v>06/10/2024</v>
          </cell>
          <cell r="K691" t="str">
            <v>06/17/2024</v>
          </cell>
          <cell r="L691">
            <v>9</v>
          </cell>
          <cell r="M691" t="str">
            <v/>
          </cell>
          <cell r="N691" t="str">
            <v>25</v>
          </cell>
          <cell r="O691">
            <v>9</v>
          </cell>
          <cell r="P691">
            <v>3.6</v>
          </cell>
        </row>
        <row r="692">
          <cell r="A692" t="str">
            <v>6727175</v>
          </cell>
          <cell r="B692" t="str">
            <v>1207508</v>
          </cell>
          <cell r="C692" t="str">
            <v>6390RDS-2832-561</v>
          </cell>
          <cell r="D692" t="str">
            <v>6390RDS</v>
          </cell>
          <cell r="E692" t="str">
            <v>6390RDS GLOCK 19MOS X300U STX TAC ODG RH</v>
          </cell>
          <cell r="F692" t="str">
            <v>DG-HOLSTER-RDS-DTC</v>
          </cell>
          <cell r="G692" t="str">
            <v>1420-210-FG</v>
          </cell>
          <cell r="H692" t="str">
            <v>F</v>
          </cell>
          <cell r="I692" t="str">
            <v>06/10/2024</v>
          </cell>
          <cell r="J692" t="str">
            <v>06/10/2024</v>
          </cell>
          <cell r="K692" t="str">
            <v>06/17/2024</v>
          </cell>
          <cell r="L692">
            <v>16</v>
          </cell>
          <cell r="M692" t="str">
            <v/>
          </cell>
          <cell r="N692" t="str">
            <v>25</v>
          </cell>
          <cell r="O692">
            <v>16</v>
          </cell>
          <cell r="P692">
            <v>6.4</v>
          </cell>
        </row>
        <row r="693">
          <cell r="A693" t="str">
            <v>6726989</v>
          </cell>
          <cell r="B693" t="str">
            <v>1200333</v>
          </cell>
          <cell r="C693" t="str">
            <v>6390RDS-6832-131</v>
          </cell>
          <cell r="D693" t="str">
            <v>6390RDS</v>
          </cell>
          <cell r="E693" t="str">
            <v>6390RDS GLOCK 34/35 X300U STX TAC BLK RH</v>
          </cell>
          <cell r="F693" t="str">
            <v>DG-HOLSTER-RDS</v>
          </cell>
          <cell r="G693" t="str">
            <v>1420-210-FG</v>
          </cell>
          <cell r="H693" t="str">
            <v>R</v>
          </cell>
          <cell r="I693" t="str">
            <v>06/10/2024</v>
          </cell>
          <cell r="J693" t="str">
            <v>06/10/2024</v>
          </cell>
          <cell r="K693" t="str">
            <v>06/17/2024</v>
          </cell>
          <cell r="L693">
            <v>10</v>
          </cell>
          <cell r="M693" t="str">
            <v>6/10/2024 12:51:41 PM</v>
          </cell>
          <cell r="N693" t="str">
            <v>25</v>
          </cell>
          <cell r="O693">
            <v>10</v>
          </cell>
          <cell r="P693">
            <v>4</v>
          </cell>
        </row>
        <row r="694">
          <cell r="A694" t="str">
            <v>6727015</v>
          </cell>
          <cell r="B694" t="str">
            <v>1321323</v>
          </cell>
          <cell r="C694" t="str">
            <v>6390RDS-8182-131</v>
          </cell>
          <cell r="D694" t="str">
            <v>6390RDS</v>
          </cell>
          <cell r="E694" t="str">
            <v>6390RDS MP 2.0 9MM X300U STX TAC BLK RH</v>
          </cell>
          <cell r="F694" t="str">
            <v>DG-HOLSTER-RDS</v>
          </cell>
          <cell r="G694" t="str">
            <v>1420-210-FG</v>
          </cell>
          <cell r="H694" t="str">
            <v>F</v>
          </cell>
          <cell r="I694" t="str">
            <v>06/10/2024</v>
          </cell>
          <cell r="J694" t="str">
            <v>06/10/2024</v>
          </cell>
          <cell r="K694" t="str">
            <v>06/17/2024</v>
          </cell>
          <cell r="L694">
            <v>15</v>
          </cell>
          <cell r="M694" t="str">
            <v/>
          </cell>
          <cell r="N694" t="str">
            <v>25</v>
          </cell>
          <cell r="O694">
            <v>15</v>
          </cell>
          <cell r="P694">
            <v>6</v>
          </cell>
        </row>
        <row r="695">
          <cell r="A695" t="str">
            <v>6723622</v>
          </cell>
          <cell r="B695" t="str">
            <v>1319546</v>
          </cell>
          <cell r="C695" t="str">
            <v>6390RDS-2222-131</v>
          </cell>
          <cell r="D695" t="str">
            <v>6390RDS</v>
          </cell>
          <cell r="E695" t="str">
            <v>6390RDS MP2.0 9 CORE X300U STXTAC BLK RH</v>
          </cell>
          <cell r="F695" t="str">
            <v>DG-HOLSTER-RDS</v>
          </cell>
          <cell r="G695" t="str">
            <v>1420-210-FG</v>
          </cell>
          <cell r="H695" t="str">
            <v>R</v>
          </cell>
          <cell r="I695" t="str">
            <v>06/03/2024</v>
          </cell>
          <cell r="J695" t="str">
            <v>06/03/2024</v>
          </cell>
          <cell r="K695" t="str">
            <v>06/17/2024</v>
          </cell>
          <cell r="L695">
            <v>20</v>
          </cell>
          <cell r="M695" t="str">
            <v>6/6/2024 9:59:43 AM</v>
          </cell>
          <cell r="N695" t="str">
            <v>25</v>
          </cell>
          <cell r="O695">
            <v>20</v>
          </cell>
          <cell r="P695">
            <v>8</v>
          </cell>
        </row>
        <row r="696">
          <cell r="A696" t="str">
            <v>6727006</v>
          </cell>
          <cell r="B696" t="str">
            <v>1209396</v>
          </cell>
          <cell r="C696" t="str">
            <v>6390RDS-2192-701</v>
          </cell>
          <cell r="D696" t="str">
            <v>6390RDS</v>
          </cell>
          <cell r="E696" t="str">
            <v>6390RDS S&amp;W M&amp;P 4IN X300U CORD MTCM RH</v>
          </cell>
          <cell r="F696" t="str">
            <v>DG-HOLSTER-RDS</v>
          </cell>
          <cell r="G696" t="str">
            <v>1420-210-FG</v>
          </cell>
          <cell r="H696" t="str">
            <v>F</v>
          </cell>
          <cell r="I696" t="str">
            <v>06/10/2024</v>
          </cell>
          <cell r="J696" t="str">
            <v>06/10/2024</v>
          </cell>
          <cell r="K696" t="str">
            <v>06/17/2024</v>
          </cell>
          <cell r="L696">
            <v>5</v>
          </cell>
          <cell r="M696" t="str">
            <v/>
          </cell>
          <cell r="N696" t="str">
            <v>25</v>
          </cell>
          <cell r="O696">
            <v>5</v>
          </cell>
          <cell r="P696">
            <v>2</v>
          </cell>
        </row>
        <row r="697">
          <cell r="A697" t="str">
            <v>6723612</v>
          </cell>
          <cell r="B697" t="str">
            <v>1304460</v>
          </cell>
          <cell r="C697" t="str">
            <v>6390RDS-8192-701</v>
          </cell>
          <cell r="D697" t="str">
            <v>6390RDS</v>
          </cell>
          <cell r="E697" t="str">
            <v>6390RDS S&amp;W M&amp;P 5IN X300U COR MLTCM RH</v>
          </cell>
          <cell r="F697" t="str">
            <v>DG-HOLSTER-RDS</v>
          </cell>
          <cell r="G697" t="str">
            <v>1420-210-FG</v>
          </cell>
          <cell r="H697" t="str">
            <v>R</v>
          </cell>
          <cell r="I697" t="str">
            <v>06/03/2024</v>
          </cell>
          <cell r="J697" t="str">
            <v>06/03/2024</v>
          </cell>
          <cell r="K697" t="str">
            <v>06/17/2024</v>
          </cell>
          <cell r="L697">
            <v>1</v>
          </cell>
          <cell r="M697" t="str">
            <v>6/6/2024 10:14:11 AM</v>
          </cell>
          <cell r="N697" t="str">
            <v>25</v>
          </cell>
          <cell r="O697">
            <v>1</v>
          </cell>
          <cell r="P697">
            <v>0.4</v>
          </cell>
        </row>
        <row r="698">
          <cell r="A698" t="str">
            <v>6723598</v>
          </cell>
          <cell r="B698" t="str">
            <v>1207626</v>
          </cell>
          <cell r="C698" t="str">
            <v>6390RDS-8192-561</v>
          </cell>
          <cell r="D698" t="str">
            <v>6390RDS</v>
          </cell>
          <cell r="E698" t="str">
            <v>6390RDS S&amp;W M&amp;P 5IN X300U STX TAC ODG RH</v>
          </cell>
          <cell r="F698" t="str">
            <v>DG-HOLSTER-RDS</v>
          </cell>
          <cell r="G698" t="str">
            <v>1420-210-FG</v>
          </cell>
          <cell r="H698" t="str">
            <v>R</v>
          </cell>
          <cell r="I698" t="str">
            <v>06/03/2024</v>
          </cell>
          <cell r="J698" t="str">
            <v>06/03/2024</v>
          </cell>
          <cell r="K698" t="str">
            <v>06/17/2024</v>
          </cell>
          <cell r="L698">
            <v>1</v>
          </cell>
          <cell r="M698" t="str">
            <v>6/6/2024 10:03:48 AM</v>
          </cell>
          <cell r="N698" t="str">
            <v>25</v>
          </cell>
          <cell r="O698">
            <v>1</v>
          </cell>
          <cell r="P698">
            <v>0.4</v>
          </cell>
        </row>
        <row r="699">
          <cell r="A699" t="str">
            <v>6727142</v>
          </cell>
          <cell r="B699" t="str">
            <v>1335063</v>
          </cell>
          <cell r="C699" t="str">
            <v>6390RDS-572-131</v>
          </cell>
          <cell r="D699" t="str">
            <v>6390RDS</v>
          </cell>
          <cell r="E699" t="str">
            <v>6390RDS SA ECHELON X300U STX TAC BLK RH</v>
          </cell>
          <cell r="F699" t="str">
            <v>DG-HOLSTER-RDS-DTC</v>
          </cell>
          <cell r="G699" t="str">
            <v>1420-210-FG</v>
          </cell>
          <cell r="H699" t="str">
            <v>F</v>
          </cell>
          <cell r="I699" t="str">
            <v>06/10/2024</v>
          </cell>
          <cell r="J699" t="str">
            <v>06/10/2024</v>
          </cell>
          <cell r="K699" t="str">
            <v>06/17/2024</v>
          </cell>
          <cell r="L699">
            <v>30</v>
          </cell>
          <cell r="M699" t="str">
            <v/>
          </cell>
          <cell r="N699" t="str">
            <v>25</v>
          </cell>
          <cell r="O699">
            <v>30</v>
          </cell>
          <cell r="P699">
            <v>12</v>
          </cell>
        </row>
        <row r="700">
          <cell r="A700" t="str">
            <v>6723618</v>
          </cell>
          <cell r="B700" t="str">
            <v>1305860</v>
          </cell>
          <cell r="C700" t="str">
            <v>6390RDS-7502-701</v>
          </cell>
          <cell r="D700" t="str">
            <v>6390RDS</v>
          </cell>
          <cell r="E700" t="str">
            <v>6390RDS SIG 320CRX X300U COR MLTCM RH</v>
          </cell>
          <cell r="F700" t="str">
            <v>DG-HOLSTER-RDS</v>
          </cell>
          <cell r="G700" t="str">
            <v>1420-210-FG</v>
          </cell>
          <cell r="H700" t="str">
            <v>R</v>
          </cell>
          <cell r="I700" t="str">
            <v>06/03/2024</v>
          </cell>
          <cell r="J700" t="str">
            <v>06/03/2024</v>
          </cell>
          <cell r="K700" t="str">
            <v>06/17/2024</v>
          </cell>
          <cell r="L700">
            <v>5</v>
          </cell>
          <cell r="M700" t="str">
            <v>6/6/2024 10:14:11 AM</v>
          </cell>
          <cell r="N700" t="str">
            <v>25</v>
          </cell>
          <cell r="O700">
            <v>5</v>
          </cell>
          <cell r="P700">
            <v>2</v>
          </cell>
        </row>
        <row r="701">
          <cell r="A701" t="str">
            <v>6723608</v>
          </cell>
          <cell r="B701" t="str">
            <v>1208155</v>
          </cell>
          <cell r="C701" t="str">
            <v>6390RDS-7502-131</v>
          </cell>
          <cell r="D701" t="str">
            <v>6390RDS</v>
          </cell>
          <cell r="E701" t="str">
            <v>6390RDS SIG 320CRX X300U STX TAC BLK RH</v>
          </cell>
          <cell r="F701" t="str">
            <v>DG-HOLSTER-RDS</v>
          </cell>
          <cell r="G701" t="str">
            <v>1420-210-FG</v>
          </cell>
          <cell r="H701" t="str">
            <v>R</v>
          </cell>
          <cell r="I701" t="str">
            <v>06/03/2024</v>
          </cell>
          <cell r="J701" t="str">
            <v>06/03/2024</v>
          </cell>
          <cell r="K701" t="str">
            <v>06/17/2024</v>
          </cell>
          <cell r="L701">
            <v>6</v>
          </cell>
          <cell r="M701" t="str">
            <v>6/6/2024 9:59:43 AM</v>
          </cell>
          <cell r="N701" t="str">
            <v>25</v>
          </cell>
          <cell r="O701">
            <v>6</v>
          </cell>
          <cell r="P701">
            <v>2.4</v>
          </cell>
        </row>
        <row r="702">
          <cell r="A702" t="str">
            <v>6723610</v>
          </cell>
          <cell r="B702" t="str">
            <v>1209332</v>
          </cell>
          <cell r="C702" t="str">
            <v>6390RDS-7502-561</v>
          </cell>
          <cell r="D702" t="str">
            <v>6390RDS</v>
          </cell>
          <cell r="E702" t="str">
            <v>6390RDS SIG 320CRX X300U STX TAC ODG RH</v>
          </cell>
          <cell r="F702" t="str">
            <v>DG-HOLSTER-RDS</v>
          </cell>
          <cell r="G702" t="str">
            <v>1420-210-FG</v>
          </cell>
          <cell r="H702" t="str">
            <v>R</v>
          </cell>
          <cell r="I702" t="str">
            <v>06/03/2024</v>
          </cell>
          <cell r="J702" t="str">
            <v>06/03/2024</v>
          </cell>
          <cell r="K702" t="str">
            <v>06/17/2024</v>
          </cell>
          <cell r="L702">
            <v>5</v>
          </cell>
          <cell r="M702" t="str">
            <v>6/6/2024 10:04:00 AM</v>
          </cell>
          <cell r="N702" t="str">
            <v>25</v>
          </cell>
          <cell r="O702">
            <v>5</v>
          </cell>
          <cell r="P702">
            <v>2</v>
          </cell>
        </row>
        <row r="703">
          <cell r="A703" t="str">
            <v>6725034</v>
          </cell>
          <cell r="B703" t="str">
            <v>1337101</v>
          </cell>
          <cell r="C703" t="str">
            <v>SA-BDY-6390RDS-45028-702-AG-NBL</v>
          </cell>
          <cell r="D703" t="str">
            <v>SA-BDY-6390RDS</v>
          </cell>
          <cell r="E703" t="str">
            <v>6390RDS SIG 320RX TLR-8 CORD MLTCM LH</v>
          </cell>
          <cell r="F703" t="str">
            <v>DG-HOLSTER-RDS</v>
          </cell>
          <cell r="G703" t="str">
            <v>1420-210-SB</v>
          </cell>
          <cell r="H703" t="str">
            <v>R</v>
          </cell>
          <cell r="I703" t="str">
            <v>06/05/2024</v>
          </cell>
          <cell r="J703" t="str">
            <v>06/05/2024</v>
          </cell>
          <cell r="K703" t="str">
            <v>06/17/2024</v>
          </cell>
          <cell r="L703">
            <v>10</v>
          </cell>
          <cell r="M703" t="str">
            <v>6/6/2024 10:15:40 AM</v>
          </cell>
          <cell r="N703" t="str">
            <v>25</v>
          </cell>
          <cell r="O703">
            <v>10</v>
          </cell>
          <cell r="P703">
            <v>4.33</v>
          </cell>
        </row>
        <row r="704">
          <cell r="A704" t="str">
            <v>6725033</v>
          </cell>
          <cell r="B704" t="str">
            <v>1337095</v>
          </cell>
          <cell r="C704" t="str">
            <v>SA-BDY-6390RDS-45028-412-AG-NBL</v>
          </cell>
          <cell r="D704" t="str">
            <v>SA-BDY-6390RDS</v>
          </cell>
          <cell r="E704" t="str">
            <v>6390RDS SIG 320RX TLR-8 STX PLN BLK LH</v>
          </cell>
          <cell r="F704" t="str">
            <v>DG-HOLSTER-RDS</v>
          </cell>
          <cell r="G704" t="str">
            <v>1420-210-SB</v>
          </cell>
          <cell r="H704" t="str">
            <v>R</v>
          </cell>
          <cell r="I704" t="str">
            <v>06/05/2024</v>
          </cell>
          <cell r="J704" t="str">
            <v>06/05/2024</v>
          </cell>
          <cell r="K704" t="str">
            <v>06/17/2024</v>
          </cell>
          <cell r="L704">
            <v>10</v>
          </cell>
          <cell r="M704" t="str">
            <v>6/6/2024 10:08:46 AM</v>
          </cell>
          <cell r="N704" t="str">
            <v>25</v>
          </cell>
          <cell r="O704">
            <v>10</v>
          </cell>
          <cell r="P704">
            <v>4.33</v>
          </cell>
        </row>
        <row r="705">
          <cell r="A705" t="str">
            <v>6724753</v>
          </cell>
          <cell r="B705" t="str">
            <v>1208020</v>
          </cell>
          <cell r="C705" t="str">
            <v>6390RDS-4502-411</v>
          </cell>
          <cell r="D705" t="str">
            <v>6390RDS</v>
          </cell>
          <cell r="E705" t="str">
            <v>6390RDS SIG 320RX X300U STX PLN BLK RH</v>
          </cell>
          <cell r="F705" t="str">
            <v>DG-HOLSTER-RDS</v>
          </cell>
          <cell r="G705" t="str">
            <v>1420-210-FG</v>
          </cell>
          <cell r="H705" t="str">
            <v>R</v>
          </cell>
          <cell r="I705" t="str">
            <v>06/04/2024</v>
          </cell>
          <cell r="J705" t="str">
            <v>06/10/2024</v>
          </cell>
          <cell r="K705" t="str">
            <v>06/17/2024</v>
          </cell>
          <cell r="L705">
            <v>5</v>
          </cell>
          <cell r="M705" t="str">
            <v>6/6/2024 10:02:28 AM</v>
          </cell>
          <cell r="N705" t="str">
            <v>25</v>
          </cell>
          <cell r="O705">
            <v>5</v>
          </cell>
          <cell r="P705">
            <v>2.17</v>
          </cell>
        </row>
        <row r="706">
          <cell r="A706" t="str">
            <v>6723521</v>
          </cell>
          <cell r="B706" t="str">
            <v>1208018</v>
          </cell>
          <cell r="C706" t="str">
            <v>6390RDS-4502-131</v>
          </cell>
          <cell r="D706" t="str">
            <v>6390RDS</v>
          </cell>
          <cell r="E706" t="str">
            <v>6390RDS SIG 320RX X300U STX TAC BLK RH</v>
          </cell>
          <cell r="F706" t="str">
            <v>DG-HOLSTER-RDS</v>
          </cell>
          <cell r="G706" t="str">
            <v>1420-210-FG</v>
          </cell>
          <cell r="H706" t="str">
            <v>R</v>
          </cell>
          <cell r="I706" t="str">
            <v>06/03/2024</v>
          </cell>
          <cell r="J706" t="str">
            <v>06/03/2024</v>
          </cell>
          <cell r="K706" t="str">
            <v>06/17/2024</v>
          </cell>
          <cell r="L706">
            <v>50</v>
          </cell>
          <cell r="M706" t="str">
            <v>6/6/2024 9:59:43 AM</v>
          </cell>
          <cell r="N706" t="str">
            <v>25</v>
          </cell>
          <cell r="O706">
            <v>50</v>
          </cell>
          <cell r="P706">
            <v>21.65</v>
          </cell>
        </row>
        <row r="707">
          <cell r="A707" t="str">
            <v>6727005</v>
          </cell>
          <cell r="B707" t="str">
            <v>1209331</v>
          </cell>
          <cell r="C707" t="str">
            <v>6390RDS-4502-561</v>
          </cell>
          <cell r="D707" t="str">
            <v>6390RDS</v>
          </cell>
          <cell r="E707" t="str">
            <v>6390RDS SIG 320RX X300U STX TAC ODG RH</v>
          </cell>
          <cell r="F707" t="str">
            <v>DG-HOLSTER-RDS</v>
          </cell>
          <cell r="G707" t="str">
            <v>1420-210-FG</v>
          </cell>
          <cell r="H707" t="str">
            <v>F</v>
          </cell>
          <cell r="I707" t="str">
            <v>06/10/2024</v>
          </cell>
          <cell r="J707" t="str">
            <v>06/10/2024</v>
          </cell>
          <cell r="K707" t="str">
            <v>06/17/2024</v>
          </cell>
          <cell r="L707">
            <v>10</v>
          </cell>
          <cell r="M707" t="str">
            <v/>
          </cell>
          <cell r="N707" t="str">
            <v>25</v>
          </cell>
          <cell r="O707">
            <v>10</v>
          </cell>
          <cell r="P707">
            <v>4.33</v>
          </cell>
        </row>
        <row r="708">
          <cell r="A708" t="str">
            <v>6723530</v>
          </cell>
          <cell r="B708" t="str">
            <v>1320087</v>
          </cell>
          <cell r="C708" t="str">
            <v>6390RDS-4502-731</v>
          </cell>
          <cell r="D708" t="str">
            <v>6390RDS</v>
          </cell>
          <cell r="E708" t="str">
            <v>6390RDS SIG P320RX X300U COR CAM GRN RH</v>
          </cell>
          <cell r="F708" t="str">
            <v>DG-HOLSTER-RDS</v>
          </cell>
          <cell r="G708" t="str">
            <v>1420-210-FG</v>
          </cell>
          <cell r="H708" t="str">
            <v>R</v>
          </cell>
          <cell r="I708" t="str">
            <v>06/03/2024</v>
          </cell>
          <cell r="J708" t="str">
            <v>06/03/2024</v>
          </cell>
          <cell r="K708" t="str">
            <v>06/17/2024</v>
          </cell>
          <cell r="L708">
            <v>10</v>
          </cell>
          <cell r="M708" t="str">
            <v>6/6/2024 10:14:11 AM</v>
          </cell>
          <cell r="N708" t="str">
            <v>25</v>
          </cell>
          <cell r="O708">
            <v>10</v>
          </cell>
          <cell r="P708">
            <v>4.33</v>
          </cell>
        </row>
        <row r="709">
          <cell r="A709" t="str">
            <v>6724343</v>
          </cell>
          <cell r="B709" t="str">
            <v>1320087</v>
          </cell>
          <cell r="C709" t="str">
            <v>6390RDS-4502-731</v>
          </cell>
          <cell r="D709" t="str">
            <v>6390RDS</v>
          </cell>
          <cell r="E709" t="str">
            <v>6390RDS SIG P320RX X300U COR CAM GRN RH</v>
          </cell>
          <cell r="F709" t="str">
            <v>DG-HOLSTER-RDS</v>
          </cell>
          <cell r="G709" t="str">
            <v>1420-210-FG</v>
          </cell>
          <cell r="H709" t="str">
            <v>R</v>
          </cell>
          <cell r="I709" t="str">
            <v>06/04/2024</v>
          </cell>
          <cell r="J709" t="str">
            <v>06/04/2024</v>
          </cell>
          <cell r="K709" t="str">
            <v>06/17/2024</v>
          </cell>
          <cell r="L709">
            <v>10</v>
          </cell>
          <cell r="M709" t="str">
            <v>6/6/2024 10:14:11 AM</v>
          </cell>
          <cell r="N709" t="str">
            <v>25</v>
          </cell>
          <cell r="O709">
            <v>10</v>
          </cell>
          <cell r="P709">
            <v>4.33</v>
          </cell>
        </row>
        <row r="710">
          <cell r="A710" t="str">
            <v>6723616</v>
          </cell>
          <cell r="B710" t="str">
            <v>1305590</v>
          </cell>
          <cell r="C710" t="str">
            <v>6390RDS-4502-741</v>
          </cell>
          <cell r="D710" t="str">
            <v>6390RDS</v>
          </cell>
          <cell r="E710" t="str">
            <v>6390RDS SIG P320RX X300U CORD CYTB RH</v>
          </cell>
          <cell r="F710" t="str">
            <v>DG-HOLSTER-RDS</v>
          </cell>
          <cell r="G710" t="str">
            <v>1420-210-FG</v>
          </cell>
          <cell r="H710" t="str">
            <v>R</v>
          </cell>
          <cell r="I710" t="str">
            <v>06/03/2024</v>
          </cell>
          <cell r="J710" t="str">
            <v>06/03/2024</v>
          </cell>
          <cell r="K710" t="str">
            <v>06/17/2024</v>
          </cell>
          <cell r="L710">
            <v>5</v>
          </cell>
          <cell r="M710" t="str">
            <v>6/6/2024 10:14:11 AM</v>
          </cell>
          <cell r="N710" t="str">
            <v>25</v>
          </cell>
          <cell r="O710">
            <v>5</v>
          </cell>
          <cell r="P710">
            <v>2.17</v>
          </cell>
        </row>
        <row r="711">
          <cell r="A711" t="str">
            <v>6727049</v>
          </cell>
          <cell r="B711" t="str">
            <v>1325450</v>
          </cell>
          <cell r="C711" t="str">
            <v>6390RDS-1582-561</v>
          </cell>
          <cell r="D711" t="str">
            <v>6390RDS</v>
          </cell>
          <cell r="E711" t="str">
            <v>6390RDS STI STAC P 4.4" X300U STX ODG RH</v>
          </cell>
          <cell r="F711" t="str">
            <v>DG-HOLSTER-RDS</v>
          </cell>
          <cell r="G711" t="str">
            <v>1420-210-FG</v>
          </cell>
          <cell r="H711" t="str">
            <v>F</v>
          </cell>
          <cell r="I711" t="str">
            <v>06/10/2024</v>
          </cell>
          <cell r="J711" t="str">
            <v>06/10/2024</v>
          </cell>
          <cell r="K711" t="str">
            <v>06/17/2024</v>
          </cell>
          <cell r="L711">
            <v>5</v>
          </cell>
          <cell r="M711" t="str">
            <v/>
          </cell>
          <cell r="N711" t="str">
            <v>25</v>
          </cell>
          <cell r="O711">
            <v>5</v>
          </cell>
          <cell r="P711">
            <v>2</v>
          </cell>
        </row>
        <row r="712">
          <cell r="A712" t="str">
            <v>6727060</v>
          </cell>
          <cell r="B712" t="str">
            <v>1325898</v>
          </cell>
          <cell r="C712" t="str">
            <v>6390RDS-1582-732</v>
          </cell>
          <cell r="D712" t="str">
            <v>6390RDS</v>
          </cell>
          <cell r="E712" t="str">
            <v>6390RDS STI STACC P 4.4" X300U CAMGRN LH</v>
          </cell>
          <cell r="F712" t="str">
            <v>DG-HOLSTER-RDS</v>
          </cell>
          <cell r="G712" t="str">
            <v>1420-210-FG</v>
          </cell>
          <cell r="H712" t="str">
            <v>R</v>
          </cell>
          <cell r="I712" t="str">
            <v>06/10/2024</v>
          </cell>
          <cell r="J712" t="str">
            <v>06/10/2024</v>
          </cell>
          <cell r="K712" t="str">
            <v>06/17/2024</v>
          </cell>
          <cell r="L712">
            <v>5</v>
          </cell>
          <cell r="M712" t="str">
            <v>6/11/2024 4:54:51 PM</v>
          </cell>
          <cell r="N712" t="str">
            <v>25</v>
          </cell>
          <cell r="O712">
            <v>5</v>
          </cell>
          <cell r="P712">
            <v>2</v>
          </cell>
        </row>
        <row r="713">
          <cell r="A713" t="str">
            <v>6726976</v>
          </cell>
          <cell r="B713" t="str">
            <v>1325897</v>
          </cell>
          <cell r="C713" t="str">
            <v>6390RDS-1582-731</v>
          </cell>
          <cell r="D713" t="str">
            <v>6390RDS</v>
          </cell>
          <cell r="E713" t="str">
            <v>6390RDS STI STACC P 4.4" X300U CAMGRN RH</v>
          </cell>
          <cell r="F713" t="str">
            <v>DG-HOLSTER-RDS</v>
          </cell>
          <cell r="G713" t="str">
            <v>1420-210-FG</v>
          </cell>
          <cell r="H713" t="str">
            <v>F</v>
          </cell>
          <cell r="I713" t="str">
            <v>06/10/2024</v>
          </cell>
          <cell r="J713" t="str">
            <v>06/10/2024</v>
          </cell>
          <cell r="K713" t="str">
            <v>06/17/2024</v>
          </cell>
          <cell r="L713">
            <v>30</v>
          </cell>
          <cell r="M713" t="str">
            <v/>
          </cell>
          <cell r="N713" t="str">
            <v>25</v>
          </cell>
          <cell r="O713">
            <v>30</v>
          </cell>
          <cell r="P713">
            <v>12</v>
          </cell>
        </row>
        <row r="714">
          <cell r="A714" t="str">
            <v>6727038</v>
          </cell>
          <cell r="B714" t="str">
            <v>1324675</v>
          </cell>
          <cell r="C714" t="str">
            <v>6390RDS-1582-781</v>
          </cell>
          <cell r="D714" t="str">
            <v>6390RDS</v>
          </cell>
          <cell r="E714" t="str">
            <v>6390RDS STI STACC P 4.4" X300U CORBLK RH</v>
          </cell>
          <cell r="F714" t="str">
            <v>DG-HOLSTER-RDS</v>
          </cell>
          <cell r="G714" t="str">
            <v>1420-210-FG</v>
          </cell>
          <cell r="H714" t="str">
            <v>F</v>
          </cell>
          <cell r="I714" t="str">
            <v>06/10/2024</v>
          </cell>
          <cell r="J714" t="str">
            <v>06/10/2024</v>
          </cell>
          <cell r="K714" t="str">
            <v>06/17/2024</v>
          </cell>
          <cell r="L714">
            <v>19</v>
          </cell>
          <cell r="M714" t="str">
            <v/>
          </cell>
          <cell r="N714" t="str">
            <v>25</v>
          </cell>
          <cell r="O714">
            <v>19</v>
          </cell>
          <cell r="P714">
            <v>7.6</v>
          </cell>
        </row>
        <row r="715">
          <cell r="A715" t="str">
            <v>6727089</v>
          </cell>
          <cell r="B715" t="str">
            <v>1333151</v>
          </cell>
          <cell r="C715" t="str">
            <v>6390RDS-1582-491</v>
          </cell>
          <cell r="D715" t="str">
            <v>6390RDS</v>
          </cell>
          <cell r="E715" t="str">
            <v>6390RDS STI STACC P 4.4" X300U HGSBLK RH</v>
          </cell>
          <cell r="F715" t="str">
            <v>DG-HOLSTER-RDS</v>
          </cell>
          <cell r="G715" t="str">
            <v>1420-210-FG</v>
          </cell>
          <cell r="H715" t="str">
            <v>F</v>
          </cell>
          <cell r="I715" t="str">
            <v>06/10/2024</v>
          </cell>
          <cell r="J715" t="str">
            <v>06/10/2024</v>
          </cell>
          <cell r="K715" t="str">
            <v>06/17/2024</v>
          </cell>
          <cell r="L715">
            <v>1</v>
          </cell>
          <cell r="M715" t="str">
            <v/>
          </cell>
          <cell r="N715" t="str">
            <v>25</v>
          </cell>
          <cell r="O715">
            <v>1</v>
          </cell>
          <cell r="P715">
            <v>0.4</v>
          </cell>
        </row>
        <row r="716">
          <cell r="A716" t="str">
            <v>6727045</v>
          </cell>
          <cell r="B716" t="str">
            <v>1325332</v>
          </cell>
          <cell r="C716" t="str">
            <v>6390RDS-1582-411</v>
          </cell>
          <cell r="D716" t="str">
            <v>6390RDS</v>
          </cell>
          <cell r="E716" t="str">
            <v>6390RDS STI STACC P 4.4" X300U PLNBLK RH</v>
          </cell>
          <cell r="F716" t="str">
            <v>DG-HOLSTER-RDS</v>
          </cell>
          <cell r="G716" t="str">
            <v>1420-210-FG</v>
          </cell>
          <cell r="H716" t="str">
            <v>F</v>
          </cell>
          <cell r="I716" t="str">
            <v>06/10/2024</v>
          </cell>
          <cell r="J716" t="str">
            <v>06/10/2024</v>
          </cell>
          <cell r="K716" t="str">
            <v>06/17/2024</v>
          </cell>
          <cell r="L716">
            <v>5</v>
          </cell>
          <cell r="M716" t="str">
            <v/>
          </cell>
          <cell r="N716" t="str">
            <v>25</v>
          </cell>
          <cell r="O716">
            <v>5</v>
          </cell>
          <cell r="P716">
            <v>2</v>
          </cell>
        </row>
        <row r="717">
          <cell r="A717" t="str">
            <v>6726971</v>
          </cell>
          <cell r="B717" t="str">
            <v>1324672</v>
          </cell>
          <cell r="C717" t="str">
            <v>6390RDS-1582-132</v>
          </cell>
          <cell r="D717" t="str">
            <v>6390RDS</v>
          </cell>
          <cell r="E717" t="str">
            <v>6390RDS STI STACC P 4.4" X300U STXBLK LH</v>
          </cell>
          <cell r="F717" t="str">
            <v>DG-HOLSTER-RDS</v>
          </cell>
          <cell r="G717" t="str">
            <v>1420-210-FG</v>
          </cell>
          <cell r="H717" t="str">
            <v>F</v>
          </cell>
          <cell r="I717" t="str">
            <v>06/10/2024</v>
          </cell>
          <cell r="J717" t="str">
            <v>06/10/2024</v>
          </cell>
          <cell r="K717" t="str">
            <v>06/17/2024</v>
          </cell>
          <cell r="L717">
            <v>28</v>
          </cell>
          <cell r="M717" t="str">
            <v/>
          </cell>
          <cell r="N717" t="str">
            <v>25</v>
          </cell>
          <cell r="O717">
            <v>28</v>
          </cell>
          <cell r="P717">
            <v>11.2</v>
          </cell>
        </row>
        <row r="718">
          <cell r="A718" t="str">
            <v>6726970</v>
          </cell>
          <cell r="B718" t="str">
            <v>1324671</v>
          </cell>
          <cell r="C718" t="str">
            <v>6390RDS-1582-131</v>
          </cell>
          <cell r="D718" t="str">
            <v>6390RDS</v>
          </cell>
          <cell r="E718" t="str">
            <v>6390RDS STI STACC P 4.4" X300U STXBLK RH</v>
          </cell>
          <cell r="F718" t="str">
            <v>DG-HOLSTER-RDS</v>
          </cell>
          <cell r="G718" t="str">
            <v>1420-210-FG</v>
          </cell>
          <cell r="H718" t="str">
            <v>F</v>
          </cell>
          <cell r="I718" t="str">
            <v>06/10/2024</v>
          </cell>
          <cell r="J718" t="str">
            <v>06/10/2024</v>
          </cell>
          <cell r="K718" t="str">
            <v>06/17/2024</v>
          </cell>
          <cell r="L718">
            <v>96</v>
          </cell>
          <cell r="M718" t="str">
            <v/>
          </cell>
          <cell r="N718" t="str">
            <v>25</v>
          </cell>
          <cell r="O718">
            <v>96</v>
          </cell>
          <cell r="P718">
            <v>38.4</v>
          </cell>
        </row>
        <row r="719">
          <cell r="A719" t="str">
            <v>6727064</v>
          </cell>
          <cell r="B719" t="str">
            <v>1327147</v>
          </cell>
          <cell r="C719" t="str">
            <v>6390RDS-1582-761</v>
          </cell>
          <cell r="D719" t="str">
            <v>6390RDS</v>
          </cell>
          <cell r="E719" t="str">
            <v>6390RDS STI STACC P 4.4" X300U STXCYB RH</v>
          </cell>
          <cell r="F719" t="str">
            <v>DG-HOLSTER-RDS</v>
          </cell>
          <cell r="G719" t="str">
            <v>1420-210-FG</v>
          </cell>
          <cell r="H719" t="str">
            <v>F</v>
          </cell>
          <cell r="I719" t="str">
            <v>06/10/2024</v>
          </cell>
          <cell r="J719" t="str">
            <v>06/10/2024</v>
          </cell>
          <cell r="K719" t="str">
            <v>06/17/2024</v>
          </cell>
          <cell r="L719">
            <v>19</v>
          </cell>
          <cell r="M719" t="str">
            <v/>
          </cell>
          <cell r="N719" t="str">
            <v>25</v>
          </cell>
          <cell r="O719">
            <v>19</v>
          </cell>
          <cell r="P719">
            <v>7.6</v>
          </cell>
        </row>
        <row r="720">
          <cell r="A720" t="str">
            <v>6727037</v>
          </cell>
          <cell r="B720" t="str">
            <v>1324674</v>
          </cell>
          <cell r="C720" t="str">
            <v>6390RDS-1582-552</v>
          </cell>
          <cell r="D720" t="str">
            <v>6390RDS</v>
          </cell>
          <cell r="E720" t="str">
            <v>6390RDS STI STACC P 4.4" X300U STXFDE LH</v>
          </cell>
          <cell r="F720" t="str">
            <v>DG-HOLSTER-RDS</v>
          </cell>
          <cell r="G720" t="str">
            <v>1420-210-FG</v>
          </cell>
          <cell r="H720" t="str">
            <v>F</v>
          </cell>
          <cell r="I720" t="str">
            <v>06/10/2024</v>
          </cell>
          <cell r="J720" t="str">
            <v>06/10/2024</v>
          </cell>
          <cell r="K720" t="str">
            <v>06/17/2024</v>
          </cell>
          <cell r="L720">
            <v>1</v>
          </cell>
          <cell r="M720" t="str">
            <v/>
          </cell>
          <cell r="N720" t="str">
            <v>25</v>
          </cell>
          <cell r="O720">
            <v>1</v>
          </cell>
          <cell r="P720">
            <v>0.4</v>
          </cell>
        </row>
        <row r="721">
          <cell r="A721" t="str">
            <v>6727039</v>
          </cell>
          <cell r="B721" t="str">
            <v>1324678</v>
          </cell>
          <cell r="C721" t="str">
            <v>6390RDS-1582-702</v>
          </cell>
          <cell r="D721" t="str">
            <v>6390RDS</v>
          </cell>
          <cell r="E721" t="str">
            <v>6390RDS STI STACC P 4.4"X300U MLTCM LH</v>
          </cell>
          <cell r="F721" t="str">
            <v>DG-HOLSTER-RDS</v>
          </cell>
          <cell r="G721" t="str">
            <v>1420-210-FG</v>
          </cell>
          <cell r="H721" t="str">
            <v>F</v>
          </cell>
          <cell r="I721" t="str">
            <v>06/10/2024</v>
          </cell>
          <cell r="J721" t="str">
            <v>06/10/2024</v>
          </cell>
          <cell r="K721" t="str">
            <v>06/17/2024</v>
          </cell>
          <cell r="L721">
            <v>5</v>
          </cell>
          <cell r="M721" t="str">
            <v/>
          </cell>
          <cell r="N721" t="str">
            <v>25</v>
          </cell>
          <cell r="O721">
            <v>5</v>
          </cell>
          <cell r="P721">
            <v>2</v>
          </cell>
        </row>
        <row r="722">
          <cell r="A722" t="str">
            <v>6726972</v>
          </cell>
          <cell r="B722" t="str">
            <v>1324677</v>
          </cell>
          <cell r="C722" t="str">
            <v>6390RDS-1582-701</v>
          </cell>
          <cell r="D722" t="str">
            <v>6390RDS</v>
          </cell>
          <cell r="E722" t="str">
            <v>6390RDS STI STACC P 4.4"X300U MLTCM RH</v>
          </cell>
          <cell r="F722" t="str">
            <v>DG-HOLSTER-RDS</v>
          </cell>
          <cell r="G722" t="str">
            <v>1420-210-FG</v>
          </cell>
          <cell r="H722" t="str">
            <v>F</v>
          </cell>
          <cell r="I722" t="str">
            <v>06/10/2024</v>
          </cell>
          <cell r="J722" t="str">
            <v>06/10/2024</v>
          </cell>
          <cell r="K722" t="str">
            <v>06/17/2024</v>
          </cell>
          <cell r="L722">
            <v>42</v>
          </cell>
          <cell r="M722" t="str">
            <v/>
          </cell>
          <cell r="N722" t="str">
            <v>25</v>
          </cell>
          <cell r="O722">
            <v>42</v>
          </cell>
          <cell r="P722">
            <v>16.8</v>
          </cell>
        </row>
        <row r="723">
          <cell r="A723" t="str">
            <v>6727250</v>
          </cell>
          <cell r="B723" t="str">
            <v>1336132</v>
          </cell>
          <cell r="C723" t="str">
            <v>6390RDS-5842-131</v>
          </cell>
          <cell r="D723" t="str">
            <v>6390RDS</v>
          </cell>
          <cell r="E723" t="str">
            <v>6390RDS WLTHRPDP 4.5 X300U STXTAC BLK RH</v>
          </cell>
          <cell r="F723" t="str">
            <v>DG-HOLSTER-RDS-DTC</v>
          </cell>
          <cell r="G723" t="str">
            <v>1420-210-FG</v>
          </cell>
          <cell r="H723" t="str">
            <v>F</v>
          </cell>
          <cell r="I723" t="str">
            <v>06/10/2024</v>
          </cell>
          <cell r="J723" t="str">
            <v>06/10/2024</v>
          </cell>
          <cell r="K723" t="str">
            <v>06/17/2024</v>
          </cell>
          <cell r="L723">
            <v>5</v>
          </cell>
          <cell r="M723" t="str">
            <v/>
          </cell>
          <cell r="N723" t="str">
            <v>25</v>
          </cell>
          <cell r="O723">
            <v>5</v>
          </cell>
          <cell r="P723">
            <v>2.15</v>
          </cell>
        </row>
        <row r="724">
          <cell r="A724" t="str">
            <v>6727235</v>
          </cell>
          <cell r="B724" t="str">
            <v>1335363</v>
          </cell>
          <cell r="C724" t="str">
            <v>6390RDSO-2582-481</v>
          </cell>
          <cell r="D724" t="str">
            <v>6390RDSO</v>
          </cell>
          <cell r="E724" t="str">
            <v>6390RDSO 2011 STCC 5"X300U STX BSK BLKRH</v>
          </cell>
          <cell r="F724" t="str">
            <v>DG-HOLSTER-RDS-DTC</v>
          </cell>
          <cell r="G724" t="str">
            <v>1420-210-FG</v>
          </cell>
          <cell r="H724" t="str">
            <v>F</v>
          </cell>
          <cell r="I724" t="str">
            <v>06/10/2024</v>
          </cell>
          <cell r="J724" t="str">
            <v>06/10/2024</v>
          </cell>
          <cell r="K724" t="str">
            <v>06/17/2024</v>
          </cell>
          <cell r="L724">
            <v>6</v>
          </cell>
          <cell r="M724" t="str">
            <v/>
          </cell>
          <cell r="N724" t="str">
            <v>25</v>
          </cell>
          <cell r="O724">
            <v>6</v>
          </cell>
          <cell r="P724">
            <v>2.4</v>
          </cell>
        </row>
        <row r="725">
          <cell r="A725" t="str">
            <v>6727213</v>
          </cell>
          <cell r="B725" t="str">
            <v>1335130</v>
          </cell>
          <cell r="C725" t="str">
            <v>6390RDSO-2582-132</v>
          </cell>
          <cell r="D725" t="str">
            <v>6390RDSO</v>
          </cell>
          <cell r="E725" t="str">
            <v>6390RDSO 2011 STCC 5"X300U STX TAC BLKLH</v>
          </cell>
          <cell r="F725" t="str">
            <v>DG-HOLSTER-RDS-DTC</v>
          </cell>
          <cell r="G725" t="str">
            <v>1420-210-FG</v>
          </cell>
          <cell r="H725" t="str">
            <v>F</v>
          </cell>
          <cell r="I725" t="str">
            <v>06/10/2024</v>
          </cell>
          <cell r="J725" t="str">
            <v>06/10/2024</v>
          </cell>
          <cell r="K725" t="str">
            <v>06/17/2024</v>
          </cell>
          <cell r="L725">
            <v>5</v>
          </cell>
          <cell r="M725" t="str">
            <v/>
          </cell>
          <cell r="N725" t="str">
            <v>25</v>
          </cell>
          <cell r="O725">
            <v>5</v>
          </cell>
          <cell r="P725">
            <v>2</v>
          </cell>
        </row>
        <row r="726">
          <cell r="A726" t="str">
            <v>6727095</v>
          </cell>
          <cell r="B726" t="str">
            <v>1333930</v>
          </cell>
          <cell r="C726" t="str">
            <v>6390RDSO-6832-701</v>
          </cell>
          <cell r="D726" t="str">
            <v>6390RDSO</v>
          </cell>
          <cell r="E726" t="str">
            <v>6390RDSO GLOCK 34/35 X300U COR MLTCM RH</v>
          </cell>
          <cell r="F726" t="str">
            <v>DG-HOLSTER-RDS</v>
          </cell>
          <cell r="G726" t="str">
            <v>1420-210-FG</v>
          </cell>
          <cell r="H726" t="str">
            <v>F</v>
          </cell>
          <cell r="I726" t="str">
            <v>06/10/2024</v>
          </cell>
          <cell r="J726" t="str">
            <v>06/10/2024</v>
          </cell>
          <cell r="K726" t="str">
            <v>06/17/2024</v>
          </cell>
          <cell r="L726">
            <v>2</v>
          </cell>
          <cell r="M726" t="str">
            <v/>
          </cell>
          <cell r="N726" t="str">
            <v>25</v>
          </cell>
          <cell r="O726">
            <v>2</v>
          </cell>
          <cell r="P726">
            <v>0.8</v>
          </cell>
        </row>
        <row r="727">
          <cell r="A727" t="str">
            <v>6727209</v>
          </cell>
          <cell r="B727" t="str">
            <v>1335069</v>
          </cell>
          <cell r="C727" t="str">
            <v>6390RDSO-572-701</v>
          </cell>
          <cell r="D727" t="str">
            <v>6390RDSO</v>
          </cell>
          <cell r="E727" t="str">
            <v>6390RDSO SA ECHELON X300U COR MLTCM RH</v>
          </cell>
          <cell r="F727" t="str">
            <v>DG-HOLSTER-RDS-DTC</v>
          </cell>
          <cell r="G727" t="str">
            <v>1420-210-FG</v>
          </cell>
          <cell r="H727" t="str">
            <v>F</v>
          </cell>
          <cell r="I727" t="str">
            <v>06/10/2024</v>
          </cell>
          <cell r="J727" t="str">
            <v>06/10/2024</v>
          </cell>
          <cell r="K727" t="str">
            <v>06/17/2024</v>
          </cell>
          <cell r="L727">
            <v>10</v>
          </cell>
          <cell r="M727" t="str">
            <v/>
          </cell>
          <cell r="N727" t="str">
            <v>25</v>
          </cell>
          <cell r="O727">
            <v>10</v>
          </cell>
          <cell r="P727">
            <v>4</v>
          </cell>
        </row>
        <row r="728">
          <cell r="A728" t="str">
            <v>6727222</v>
          </cell>
          <cell r="B728" t="str">
            <v>1335237</v>
          </cell>
          <cell r="C728" t="str">
            <v>6390RDSO-45027-131</v>
          </cell>
          <cell r="D728" t="str">
            <v>6390RDSO</v>
          </cell>
          <cell r="E728" t="str">
            <v xml:space="preserve">6390RDSO SIG 320RX TLR-7 STX TAC BLK RH </v>
          </cell>
          <cell r="F728" t="str">
            <v>DG-HOLSTER-RDS-DTC</v>
          </cell>
          <cell r="G728" t="str">
            <v>1420-210-FG</v>
          </cell>
          <cell r="H728" t="str">
            <v>F</v>
          </cell>
          <cell r="I728" t="str">
            <v>06/10/2024</v>
          </cell>
          <cell r="J728" t="str">
            <v>06/10/2024</v>
          </cell>
          <cell r="K728" t="str">
            <v>06/17/2024</v>
          </cell>
          <cell r="L728">
            <v>5</v>
          </cell>
          <cell r="M728" t="str">
            <v/>
          </cell>
          <cell r="N728" t="str">
            <v>25</v>
          </cell>
          <cell r="O728">
            <v>5</v>
          </cell>
          <cell r="P728">
            <v>2.17</v>
          </cell>
        </row>
        <row r="729">
          <cell r="A729" t="str">
            <v>6727120</v>
          </cell>
          <cell r="B729" t="str">
            <v>1334904</v>
          </cell>
          <cell r="C729" t="str">
            <v>6390RDSO-4502-411</v>
          </cell>
          <cell r="D729" t="str">
            <v>6390RDSO</v>
          </cell>
          <cell r="E729" t="str">
            <v>6390RDSO SIG 320RX X300U STX PLN BLK RH</v>
          </cell>
          <cell r="F729" t="str">
            <v>DG-HOLSTER-RDS</v>
          </cell>
          <cell r="G729" t="str">
            <v>1420-210-FG</v>
          </cell>
          <cell r="H729" t="str">
            <v>F</v>
          </cell>
          <cell r="I729" t="str">
            <v>06/10/2024</v>
          </cell>
          <cell r="J729" t="str">
            <v>06/10/2024</v>
          </cell>
          <cell r="K729" t="str">
            <v>06/17/2024</v>
          </cell>
          <cell r="L729">
            <v>5</v>
          </cell>
          <cell r="M729" t="str">
            <v/>
          </cell>
          <cell r="N729" t="str">
            <v>25</v>
          </cell>
          <cell r="O729">
            <v>5</v>
          </cell>
          <cell r="P729">
            <v>2.17</v>
          </cell>
        </row>
        <row r="730">
          <cell r="A730" t="str">
            <v>6727119</v>
          </cell>
          <cell r="B730" t="str">
            <v>1334898</v>
          </cell>
          <cell r="C730" t="str">
            <v>6390RDSO-4502-131</v>
          </cell>
          <cell r="D730" t="str">
            <v>6390RDSO</v>
          </cell>
          <cell r="E730" t="str">
            <v>6390RDSO SIG 320RX X300U STX TAC BLK RH</v>
          </cell>
          <cell r="F730" t="str">
            <v>DG-HOLSTER-RDS</v>
          </cell>
          <cell r="G730" t="str">
            <v>1420-210-FG</v>
          </cell>
          <cell r="H730" t="str">
            <v>F</v>
          </cell>
          <cell r="I730" t="str">
            <v>06/10/2024</v>
          </cell>
          <cell r="J730" t="str">
            <v>06/10/2024</v>
          </cell>
          <cell r="K730" t="str">
            <v>06/17/2024</v>
          </cell>
          <cell r="L730">
            <v>5</v>
          </cell>
          <cell r="M730" t="str">
            <v/>
          </cell>
          <cell r="N730" t="str">
            <v>25</v>
          </cell>
          <cell r="O730">
            <v>5</v>
          </cell>
          <cell r="P730">
            <v>2.17</v>
          </cell>
        </row>
        <row r="731">
          <cell r="A731" t="str">
            <v>6727125</v>
          </cell>
          <cell r="B731" t="str">
            <v>1335345</v>
          </cell>
          <cell r="C731" t="str">
            <v>6390RDSO-1582-132</v>
          </cell>
          <cell r="D731" t="str">
            <v>6390RDSO</v>
          </cell>
          <cell r="E731" t="str">
            <v>6390RDSO STI STACCP 4.4" X300U STXBLK LH</v>
          </cell>
          <cell r="F731" t="str">
            <v>DG-HOLSTER-RDS</v>
          </cell>
          <cell r="G731" t="str">
            <v>1420-210-FG</v>
          </cell>
          <cell r="H731" t="str">
            <v>F</v>
          </cell>
          <cell r="I731" t="str">
            <v>06/10/2024</v>
          </cell>
          <cell r="J731" t="str">
            <v>06/10/2024</v>
          </cell>
          <cell r="K731" t="str">
            <v>06/17/2024</v>
          </cell>
          <cell r="L731">
            <v>3</v>
          </cell>
          <cell r="M731" t="str">
            <v/>
          </cell>
          <cell r="N731" t="str">
            <v>25</v>
          </cell>
          <cell r="O731">
            <v>3</v>
          </cell>
          <cell r="P731">
            <v>1.2</v>
          </cell>
        </row>
        <row r="732">
          <cell r="A732" t="str">
            <v>6727168</v>
          </cell>
          <cell r="B732" t="str">
            <v>1205503</v>
          </cell>
          <cell r="C732" t="str">
            <v>6390RDS-8321-131</v>
          </cell>
          <cell r="D732" t="str">
            <v>6390RDS</v>
          </cell>
          <cell r="E732" t="str">
            <v>6390RDS  GLOCK 17MOS TLR2 STX TAC BLK RH</v>
          </cell>
          <cell r="F732" t="str">
            <v>DG-HOLSTER-RDS-DTC</v>
          </cell>
          <cell r="G732" t="str">
            <v>1420-210-FG</v>
          </cell>
          <cell r="H732" t="str">
            <v>F</v>
          </cell>
          <cell r="I732" t="str">
            <v>06/10/2024</v>
          </cell>
          <cell r="J732" t="str">
            <v>06/10/2024</v>
          </cell>
          <cell r="K732" t="str">
            <v>06/17/2024</v>
          </cell>
          <cell r="L732">
            <v>5</v>
          </cell>
          <cell r="M732" t="str">
            <v/>
          </cell>
          <cell r="N732" t="str">
            <v>25</v>
          </cell>
          <cell r="O732">
            <v>5</v>
          </cell>
          <cell r="P732">
            <v>2.17</v>
          </cell>
        </row>
        <row r="733">
          <cell r="A733" t="str">
            <v>6724323</v>
          </cell>
          <cell r="B733" t="str">
            <v>1151440</v>
          </cell>
          <cell r="C733" t="str">
            <v>6395-832-411</v>
          </cell>
          <cell r="D733" t="str">
            <v>6395</v>
          </cell>
          <cell r="E733" t="str">
            <v>6395 GLOCK 17/22 X300U STX PLN BLK RH</v>
          </cell>
          <cell r="F733" t="str">
            <v>DG-HOLSTER-DTC</v>
          </cell>
          <cell r="G733" t="str">
            <v>1420-210-FG</v>
          </cell>
          <cell r="H733" t="str">
            <v>R</v>
          </cell>
          <cell r="I733" t="str">
            <v>06/04/2024</v>
          </cell>
          <cell r="J733" t="str">
            <v>06/04/2024</v>
          </cell>
          <cell r="K733" t="str">
            <v>06/17/2024</v>
          </cell>
          <cell r="L733">
            <v>5</v>
          </cell>
          <cell r="M733" t="str">
            <v>6/6/2024 9:47:12 AM</v>
          </cell>
          <cell r="N733" t="str">
            <v>25</v>
          </cell>
          <cell r="O733">
            <v>5</v>
          </cell>
          <cell r="P733">
            <v>2.04</v>
          </cell>
        </row>
        <row r="734">
          <cell r="A734" t="str">
            <v>6724324</v>
          </cell>
          <cell r="B734" t="str">
            <v>1152856</v>
          </cell>
          <cell r="C734" t="str">
            <v>6395-283-131</v>
          </cell>
          <cell r="D734" t="str">
            <v>6395</v>
          </cell>
          <cell r="E734" t="str">
            <v>6395 GLOCK 19/23 STX TAC BLK RH</v>
          </cell>
          <cell r="F734" t="str">
            <v>DG-HOLSTER-DTC</v>
          </cell>
          <cell r="G734" t="str">
            <v>1420-210-FG</v>
          </cell>
          <cell r="H734" t="str">
            <v>R</v>
          </cell>
          <cell r="I734" t="str">
            <v>06/04/2024</v>
          </cell>
          <cell r="J734" t="str">
            <v>06/04/2024</v>
          </cell>
          <cell r="K734" t="str">
            <v>06/17/2024</v>
          </cell>
          <cell r="L734">
            <v>5</v>
          </cell>
          <cell r="M734" t="str">
            <v>6/6/2024 8:59:08 AM</v>
          </cell>
          <cell r="N734" t="str">
            <v>25</v>
          </cell>
          <cell r="O734">
            <v>5</v>
          </cell>
          <cell r="P734">
            <v>1.33</v>
          </cell>
        </row>
        <row r="735">
          <cell r="A735" t="str">
            <v>6726878</v>
          </cell>
          <cell r="B735" t="str">
            <v>1183056</v>
          </cell>
          <cell r="C735" t="str">
            <v>6395-450-411</v>
          </cell>
          <cell r="D735" t="str">
            <v>6395</v>
          </cell>
          <cell r="E735" t="str">
            <v>6395 SIG P320 9/40/45 STX PLN BLK RH</v>
          </cell>
          <cell r="F735" t="str">
            <v>DG-HOLSTER</v>
          </cell>
          <cell r="G735" t="str">
            <v>1420-210-FG</v>
          </cell>
          <cell r="H735" t="str">
            <v>F</v>
          </cell>
          <cell r="I735" t="str">
            <v>06/10/2024</v>
          </cell>
          <cell r="J735" t="str">
            <v>06/10/2024</v>
          </cell>
          <cell r="K735" t="str">
            <v>06/17/2024</v>
          </cell>
          <cell r="L735">
            <v>5</v>
          </cell>
          <cell r="M735" t="str">
            <v/>
          </cell>
          <cell r="N735" t="str">
            <v>25</v>
          </cell>
          <cell r="O735">
            <v>5</v>
          </cell>
          <cell r="P735">
            <v>1.06</v>
          </cell>
        </row>
        <row r="736">
          <cell r="A736" t="str">
            <v>6726805</v>
          </cell>
          <cell r="B736" t="str">
            <v>1162475</v>
          </cell>
          <cell r="C736" t="str">
            <v>6395-560-131</v>
          </cell>
          <cell r="D736" t="str">
            <v>6395</v>
          </cell>
          <cell r="E736" t="str">
            <v>6395 SPRNGFLD OPR X300  STX TAC BLK RH</v>
          </cell>
          <cell r="F736" t="str">
            <v>DG-HOLSTER</v>
          </cell>
          <cell r="G736" t="str">
            <v>1420-210-FG</v>
          </cell>
          <cell r="H736" t="str">
            <v>F</v>
          </cell>
          <cell r="I736" t="str">
            <v>06/10/2024</v>
          </cell>
          <cell r="J736" t="str">
            <v>06/10/2024</v>
          </cell>
          <cell r="K736" t="str">
            <v>06/17/2024</v>
          </cell>
          <cell r="L736">
            <v>25</v>
          </cell>
          <cell r="M736" t="str">
            <v/>
          </cell>
          <cell r="N736" t="str">
            <v>25</v>
          </cell>
          <cell r="O736">
            <v>25</v>
          </cell>
          <cell r="P736">
            <v>9.39</v>
          </cell>
        </row>
        <row r="737">
          <cell r="A737" t="str">
            <v>6723671</v>
          </cell>
          <cell r="B737" t="str">
            <v>1329170</v>
          </cell>
          <cell r="C737" t="str">
            <v>6395RDS-2712-131</v>
          </cell>
          <cell r="D737" t="str">
            <v>6395RDS</v>
          </cell>
          <cell r="E737" t="str">
            <v>6395RDS FN509T 4.5IN X300U STX TACBLK RH</v>
          </cell>
          <cell r="F737" t="str">
            <v>DG-HOLSTER-RDS</v>
          </cell>
          <cell r="G737" t="str">
            <v>1420-210-FG</v>
          </cell>
          <cell r="H737" t="str">
            <v>R</v>
          </cell>
          <cell r="I737" t="str">
            <v>06/03/2024</v>
          </cell>
          <cell r="J737" t="str">
            <v>06/03/2024</v>
          </cell>
          <cell r="K737" t="str">
            <v>06/17/2024</v>
          </cell>
          <cell r="L737">
            <v>5</v>
          </cell>
          <cell r="M737" t="str">
            <v>6/6/2024 9:59:43 AM</v>
          </cell>
          <cell r="N737" t="str">
            <v>25</v>
          </cell>
          <cell r="O737">
            <v>5</v>
          </cell>
          <cell r="P737">
            <v>2</v>
          </cell>
        </row>
        <row r="738">
          <cell r="A738" t="str">
            <v>6723866</v>
          </cell>
          <cell r="B738" t="str">
            <v>1332730</v>
          </cell>
          <cell r="C738" t="str">
            <v>6395RDS-8327-411</v>
          </cell>
          <cell r="D738" t="str">
            <v>6395RDS</v>
          </cell>
          <cell r="E738" t="str">
            <v>6395RDS GLOCK 17MOS TLR-7 STX PLN BLK RH</v>
          </cell>
          <cell r="F738" t="str">
            <v>DG-HOLSTER-RDS-DTC</v>
          </cell>
          <cell r="G738" t="str">
            <v>1420-210-FG</v>
          </cell>
          <cell r="H738" t="str">
            <v>R</v>
          </cell>
          <cell r="I738" t="str">
            <v>06/03/2024</v>
          </cell>
          <cell r="J738" t="str">
            <v>06/03/2024</v>
          </cell>
          <cell r="K738" t="str">
            <v>06/17/2024</v>
          </cell>
          <cell r="L738">
            <v>5</v>
          </cell>
          <cell r="M738" t="str">
            <v>6/6/2024 10:08:46 AM</v>
          </cell>
          <cell r="N738" t="str">
            <v>25</v>
          </cell>
          <cell r="O738">
            <v>5</v>
          </cell>
          <cell r="P738">
            <v>2.17</v>
          </cell>
        </row>
        <row r="739">
          <cell r="A739" t="str">
            <v>6723821</v>
          </cell>
          <cell r="B739" t="str">
            <v>1204577</v>
          </cell>
          <cell r="C739" t="str">
            <v>6395RDS-832-731</v>
          </cell>
          <cell r="D739" t="str">
            <v>6395RDS</v>
          </cell>
          <cell r="E739" t="str">
            <v>6395RDS GLOCK 17MOS X300U COR CAM GRN RH</v>
          </cell>
          <cell r="F739" t="str">
            <v>DG-HOLSTER-RDS-DTC</v>
          </cell>
          <cell r="G739" t="str">
            <v>1420-210-FG</v>
          </cell>
          <cell r="H739" t="str">
            <v>R</v>
          </cell>
          <cell r="I739" t="str">
            <v>06/03/2024</v>
          </cell>
          <cell r="J739" t="str">
            <v>06/03/2024</v>
          </cell>
          <cell r="K739" t="str">
            <v>06/17/2024</v>
          </cell>
          <cell r="L739">
            <v>5</v>
          </cell>
          <cell r="M739" t="str">
            <v>6/6/2024 10:14:11 AM</v>
          </cell>
          <cell r="N739" t="str">
            <v>25</v>
          </cell>
          <cell r="O739">
            <v>5</v>
          </cell>
          <cell r="P739">
            <v>2.17</v>
          </cell>
        </row>
        <row r="740">
          <cell r="A740" t="str">
            <v>6723869</v>
          </cell>
          <cell r="B740" t="str">
            <v>1333048</v>
          </cell>
          <cell r="C740" t="str">
            <v>6395RDS-28327-411</v>
          </cell>
          <cell r="D740" t="str">
            <v>6395RDS</v>
          </cell>
          <cell r="E740" t="str">
            <v>6395RDS GLOCK 19MOS TLR-7 STX PLN BLK RH</v>
          </cell>
          <cell r="F740" t="str">
            <v>DG-HOLSTER-RDS-DTC</v>
          </cell>
          <cell r="G740" t="str">
            <v>1420-210-FG</v>
          </cell>
          <cell r="H740" t="str">
            <v>R</v>
          </cell>
          <cell r="I740" t="str">
            <v>06/03/2024</v>
          </cell>
          <cell r="J740" t="str">
            <v>06/03/2024</v>
          </cell>
          <cell r="K740" t="str">
            <v>06/17/2024</v>
          </cell>
          <cell r="L740">
            <v>5</v>
          </cell>
          <cell r="M740" t="str">
            <v>6/6/2024 9:53:20 AM</v>
          </cell>
          <cell r="N740" t="str">
            <v>25</v>
          </cell>
          <cell r="O740">
            <v>5</v>
          </cell>
          <cell r="P740">
            <v>2</v>
          </cell>
        </row>
        <row r="741">
          <cell r="A741" t="str">
            <v>6727188</v>
          </cell>
          <cell r="B741" t="str">
            <v>1331839</v>
          </cell>
          <cell r="C741" t="str">
            <v>6395RDS-28321-411</v>
          </cell>
          <cell r="D741" t="str">
            <v>6395RDS</v>
          </cell>
          <cell r="E741" t="str">
            <v>6395RDS GLOCK 19MOS TLR2HL STX PL BLK RH</v>
          </cell>
          <cell r="F741" t="str">
            <v>DG-HOLSTER-RDS-DTC</v>
          </cell>
          <cell r="G741" t="str">
            <v>1420-210-FG</v>
          </cell>
          <cell r="H741" t="str">
            <v>F</v>
          </cell>
          <cell r="I741" t="str">
            <v>06/10/2024</v>
          </cell>
          <cell r="J741" t="str">
            <v>06/10/2024</v>
          </cell>
          <cell r="K741" t="str">
            <v>06/17/2024</v>
          </cell>
          <cell r="L741">
            <v>5</v>
          </cell>
          <cell r="M741" t="str">
            <v/>
          </cell>
          <cell r="N741" t="str">
            <v>25</v>
          </cell>
          <cell r="O741">
            <v>5</v>
          </cell>
          <cell r="P741">
            <v>2</v>
          </cell>
        </row>
        <row r="742">
          <cell r="A742" t="str">
            <v>6727181</v>
          </cell>
          <cell r="B742" t="str">
            <v>1317564</v>
          </cell>
          <cell r="C742" t="str">
            <v>6395RDS-2832-481</v>
          </cell>
          <cell r="D742" t="str">
            <v>6395RDS</v>
          </cell>
          <cell r="E742" t="str">
            <v>6395RDS GLOCK 19MOS X300U STX BSK BLK RH</v>
          </cell>
          <cell r="F742" t="str">
            <v>DG-HOLSTER-RDS-DTC</v>
          </cell>
          <cell r="G742" t="str">
            <v>1420-210-FG</v>
          </cell>
          <cell r="H742" t="str">
            <v>F</v>
          </cell>
          <cell r="I742" t="str">
            <v>06/10/2024</v>
          </cell>
          <cell r="J742" t="str">
            <v>06/10/2024</v>
          </cell>
          <cell r="K742" t="str">
            <v>06/17/2024</v>
          </cell>
          <cell r="L742">
            <v>5</v>
          </cell>
          <cell r="M742" t="str">
            <v/>
          </cell>
          <cell r="N742" t="str">
            <v>25</v>
          </cell>
          <cell r="O742">
            <v>5</v>
          </cell>
          <cell r="P742">
            <v>2</v>
          </cell>
        </row>
        <row r="743">
          <cell r="A743" t="str">
            <v>6727180</v>
          </cell>
          <cell r="B743" t="str">
            <v>1316933</v>
          </cell>
          <cell r="C743" t="str">
            <v>6395RDS-2832-561</v>
          </cell>
          <cell r="D743" t="str">
            <v>6395RDS</v>
          </cell>
          <cell r="E743" t="str">
            <v>6395RDS GLOCK 19MOS X300U STX TAC ODG RH</v>
          </cell>
          <cell r="F743" t="str">
            <v>DG-HOLSTER-RDS-DTC</v>
          </cell>
          <cell r="G743" t="str">
            <v>1420-210-FG</v>
          </cell>
          <cell r="H743" t="str">
            <v>F</v>
          </cell>
          <cell r="I743" t="str">
            <v>06/10/2024</v>
          </cell>
          <cell r="J743" t="str">
            <v>06/10/2024</v>
          </cell>
          <cell r="K743" t="str">
            <v>06/17/2024</v>
          </cell>
          <cell r="L743">
            <v>5</v>
          </cell>
          <cell r="M743" t="str">
            <v/>
          </cell>
          <cell r="N743" t="str">
            <v>25</v>
          </cell>
          <cell r="O743">
            <v>5</v>
          </cell>
          <cell r="P743">
            <v>2</v>
          </cell>
        </row>
        <row r="744">
          <cell r="A744" t="str">
            <v>6723511</v>
          </cell>
          <cell r="B744" t="str">
            <v>1200338</v>
          </cell>
          <cell r="C744" t="str">
            <v>6395RDS-6832-131</v>
          </cell>
          <cell r="D744" t="str">
            <v>6395RDS</v>
          </cell>
          <cell r="E744" t="str">
            <v>6395RDS GLOCK 34/35 X300U STX TAC BLK RH</v>
          </cell>
          <cell r="F744" t="str">
            <v>DG-HOLSTER-RDS</v>
          </cell>
          <cell r="G744" t="str">
            <v>1420-210-FG</v>
          </cell>
          <cell r="H744" t="str">
            <v>R</v>
          </cell>
          <cell r="I744" t="str">
            <v>06/03/2024</v>
          </cell>
          <cell r="J744" t="str">
            <v>06/03/2024</v>
          </cell>
          <cell r="K744" t="str">
            <v>06/17/2024</v>
          </cell>
          <cell r="L744">
            <v>10</v>
          </cell>
          <cell r="M744" t="str">
            <v>6/6/2024 9:59:43 AM</v>
          </cell>
          <cell r="N744" t="str">
            <v>25</v>
          </cell>
          <cell r="O744">
            <v>10</v>
          </cell>
          <cell r="P744">
            <v>4</v>
          </cell>
        </row>
        <row r="745">
          <cell r="A745" t="str">
            <v>6727109</v>
          </cell>
          <cell r="B745" t="str">
            <v>1334659</v>
          </cell>
          <cell r="C745" t="str">
            <v>6395RDS-5932-411</v>
          </cell>
          <cell r="D745" t="str">
            <v>6395RDS</v>
          </cell>
          <cell r="E745" t="str">
            <v>6395RDS H&amp;K VP9 X300U STX PLN BLK RH</v>
          </cell>
          <cell r="F745" t="str">
            <v>DG-HOLSTER-RDS</v>
          </cell>
          <cell r="G745" t="str">
            <v>1420-210-FG</v>
          </cell>
          <cell r="H745" t="str">
            <v>F</v>
          </cell>
          <cell r="I745" t="str">
            <v>06/10/2024</v>
          </cell>
          <cell r="J745" t="str">
            <v>06/10/2024</v>
          </cell>
          <cell r="K745" t="str">
            <v>06/17/2024</v>
          </cell>
          <cell r="L745">
            <v>5</v>
          </cell>
          <cell r="M745" t="str">
            <v/>
          </cell>
          <cell r="N745" t="str">
            <v>25</v>
          </cell>
          <cell r="O745">
            <v>5</v>
          </cell>
          <cell r="P745">
            <v>2</v>
          </cell>
        </row>
        <row r="746">
          <cell r="A746" t="str">
            <v>6727025</v>
          </cell>
          <cell r="B746" t="str">
            <v>1324408</v>
          </cell>
          <cell r="C746" t="str">
            <v>6395RDS-582-131</v>
          </cell>
          <cell r="D746" t="str">
            <v>6395RDS</v>
          </cell>
          <cell r="E746" t="str">
            <v>6395RDS PRODIGY 4.25" X300U STX BLK RH</v>
          </cell>
          <cell r="F746" t="str">
            <v>DG-HOLSTER-RDS</v>
          </cell>
          <cell r="G746" t="str">
            <v>1420-210-FG</v>
          </cell>
          <cell r="H746" t="str">
            <v>F</v>
          </cell>
          <cell r="I746" t="str">
            <v>06/10/2024</v>
          </cell>
          <cell r="J746" t="str">
            <v>06/10/2024</v>
          </cell>
          <cell r="K746" t="str">
            <v>06/17/2024</v>
          </cell>
          <cell r="L746">
            <v>15</v>
          </cell>
          <cell r="M746" t="str">
            <v/>
          </cell>
          <cell r="N746" t="str">
            <v>25</v>
          </cell>
          <cell r="O746">
            <v>15</v>
          </cell>
          <cell r="P746">
            <v>6</v>
          </cell>
        </row>
        <row r="747">
          <cell r="A747" t="str">
            <v>6727009</v>
          </cell>
          <cell r="B747" t="str">
            <v>1314508</v>
          </cell>
          <cell r="C747" t="str">
            <v>6395RDS-7502-731</v>
          </cell>
          <cell r="D747" t="str">
            <v>6395RDS</v>
          </cell>
          <cell r="E747" t="str">
            <v>6395RDS SIG 320CRX X300U COR CAM GRN RH</v>
          </cell>
          <cell r="F747" t="str">
            <v>DG-HOLSTER-RDS</v>
          </cell>
          <cell r="G747" t="str">
            <v>1420-210-FG</v>
          </cell>
          <cell r="H747" t="str">
            <v>F</v>
          </cell>
          <cell r="I747" t="str">
            <v>06/10/2024</v>
          </cell>
          <cell r="J747" t="str">
            <v>06/10/2024</v>
          </cell>
          <cell r="K747" t="str">
            <v>06/17/2024</v>
          </cell>
          <cell r="L747">
            <v>8</v>
          </cell>
          <cell r="M747" t="str">
            <v/>
          </cell>
          <cell r="N747" t="str">
            <v>25</v>
          </cell>
          <cell r="O747">
            <v>8</v>
          </cell>
          <cell r="P747">
            <v>3.2</v>
          </cell>
        </row>
        <row r="748">
          <cell r="A748" t="str">
            <v>6723605</v>
          </cell>
          <cell r="B748" t="str">
            <v>1208028</v>
          </cell>
          <cell r="C748" t="str">
            <v>6395RDS-4502-411</v>
          </cell>
          <cell r="D748" t="str">
            <v>6395RDS</v>
          </cell>
          <cell r="E748" t="str">
            <v>6395RDS SIG 320RX X300U STX PLN BLK RH</v>
          </cell>
          <cell r="F748" t="str">
            <v>DG-HOLSTER-RDS</v>
          </cell>
          <cell r="G748" t="str">
            <v>1420-210-FG</v>
          </cell>
          <cell r="H748" t="str">
            <v>R</v>
          </cell>
          <cell r="I748" t="str">
            <v>06/03/2024</v>
          </cell>
          <cell r="J748" t="str">
            <v>06/03/2024</v>
          </cell>
          <cell r="K748" t="str">
            <v>06/17/2024</v>
          </cell>
          <cell r="L748">
            <v>5</v>
          </cell>
          <cell r="M748" t="str">
            <v>6/6/2024 10:02:28 AM</v>
          </cell>
          <cell r="N748" t="str">
            <v>25</v>
          </cell>
          <cell r="O748">
            <v>5</v>
          </cell>
          <cell r="P748">
            <v>2.17</v>
          </cell>
        </row>
        <row r="749">
          <cell r="A749" t="str">
            <v>6724755</v>
          </cell>
          <cell r="B749" t="str">
            <v>1208026</v>
          </cell>
          <cell r="C749" t="str">
            <v>6395RDS-4502-131</v>
          </cell>
          <cell r="D749" t="str">
            <v>6395RDS</v>
          </cell>
          <cell r="E749" t="str">
            <v>6395RDS SIG 320RX X300U STX TAC BLK RH</v>
          </cell>
          <cell r="F749" t="str">
            <v>DG-HOLSTER-RDS</v>
          </cell>
          <cell r="G749" t="str">
            <v>1420-210-FG</v>
          </cell>
          <cell r="H749" t="str">
            <v>R</v>
          </cell>
          <cell r="I749" t="str">
            <v>06/04/2024</v>
          </cell>
          <cell r="J749" t="str">
            <v>06/07/2024</v>
          </cell>
          <cell r="K749" t="str">
            <v>06/17/2024</v>
          </cell>
          <cell r="L749">
            <v>5</v>
          </cell>
          <cell r="M749" t="str">
            <v>6/6/2024 9:59:43 AM</v>
          </cell>
          <cell r="N749" t="str">
            <v>25</v>
          </cell>
          <cell r="O749">
            <v>5</v>
          </cell>
          <cell r="P749">
            <v>2.17</v>
          </cell>
        </row>
        <row r="750">
          <cell r="A750" t="str">
            <v>6727040</v>
          </cell>
          <cell r="B750" t="str">
            <v>1324680</v>
          </cell>
          <cell r="C750" t="str">
            <v>6395RDS-1582-132</v>
          </cell>
          <cell r="D750" t="str">
            <v>6395RDS</v>
          </cell>
          <cell r="E750" t="str">
            <v>6395RDS STI STACC P 4.4" X300U STXBLK LH</v>
          </cell>
          <cell r="F750" t="str">
            <v>DG-HOLSTER-RDS</v>
          </cell>
          <cell r="G750" t="str">
            <v>1420-210-FG</v>
          </cell>
          <cell r="H750" t="str">
            <v>F</v>
          </cell>
          <cell r="I750" t="str">
            <v>06/10/2024</v>
          </cell>
          <cell r="J750" t="str">
            <v>06/10/2024</v>
          </cell>
          <cell r="K750" t="str">
            <v>06/17/2024</v>
          </cell>
          <cell r="L750">
            <v>5</v>
          </cell>
          <cell r="M750" t="str">
            <v/>
          </cell>
          <cell r="N750" t="str">
            <v>25</v>
          </cell>
          <cell r="O750">
            <v>5</v>
          </cell>
          <cell r="P750">
            <v>2</v>
          </cell>
        </row>
        <row r="751">
          <cell r="A751" t="str">
            <v>6727041</v>
          </cell>
          <cell r="B751" t="str">
            <v>1324681</v>
          </cell>
          <cell r="C751" t="str">
            <v>6395RDS-1582-551</v>
          </cell>
          <cell r="D751" t="str">
            <v>6395RDS</v>
          </cell>
          <cell r="E751" t="str">
            <v>6395RDS STI STACC P 4.4" X300U STXFDE RH</v>
          </cell>
          <cell r="F751" t="str">
            <v>DG-HOLSTER-RDS</v>
          </cell>
          <cell r="G751" t="str">
            <v>1420-210-FG</v>
          </cell>
          <cell r="H751" t="str">
            <v>F</v>
          </cell>
          <cell r="I751" t="str">
            <v>06/10/2024</v>
          </cell>
          <cell r="J751" t="str">
            <v>06/10/2024</v>
          </cell>
          <cell r="K751" t="str">
            <v>06/17/2024</v>
          </cell>
          <cell r="L751">
            <v>5</v>
          </cell>
          <cell r="M751" t="str">
            <v/>
          </cell>
          <cell r="N751" t="str">
            <v>25</v>
          </cell>
          <cell r="O751">
            <v>5</v>
          </cell>
          <cell r="P751">
            <v>2</v>
          </cell>
        </row>
        <row r="752">
          <cell r="A752" t="str">
            <v>6727042</v>
          </cell>
          <cell r="B752" t="str">
            <v>1324685</v>
          </cell>
          <cell r="C752" t="str">
            <v>6395RDS-1582-701</v>
          </cell>
          <cell r="D752" t="str">
            <v>6395RDS</v>
          </cell>
          <cell r="E752" t="str">
            <v>6395RDS STI STACC P 4.4"X300U MLTCM RH</v>
          </cell>
          <cell r="F752" t="str">
            <v>DG-HOLSTER-RDS</v>
          </cell>
          <cell r="G752" t="str">
            <v>1420-210-FG</v>
          </cell>
          <cell r="H752" t="str">
            <v>F</v>
          </cell>
          <cell r="I752" t="str">
            <v>06/10/2024</v>
          </cell>
          <cell r="J752" t="str">
            <v>06/10/2024</v>
          </cell>
          <cell r="K752" t="str">
            <v>06/17/2024</v>
          </cell>
          <cell r="L752">
            <v>5</v>
          </cell>
          <cell r="M752" t="str">
            <v/>
          </cell>
          <cell r="N752" t="str">
            <v>25</v>
          </cell>
          <cell r="O752">
            <v>5</v>
          </cell>
          <cell r="P752">
            <v>2</v>
          </cell>
        </row>
        <row r="753">
          <cell r="A753" t="str">
            <v>6723950</v>
          </cell>
          <cell r="B753" t="str">
            <v>1125205</v>
          </cell>
          <cell r="C753" t="str">
            <v>72-83-9</v>
          </cell>
          <cell r="D753" t="str">
            <v>72</v>
          </cell>
          <cell r="E753" t="str">
            <v>72 GLOCK 17/22 HI GLS BLK</v>
          </cell>
          <cell r="F753" t="str">
            <v>DG-POUCH-F1</v>
          </cell>
          <cell r="G753" t="str">
            <v>1420-210-FG</v>
          </cell>
          <cell r="H753" t="str">
            <v>R</v>
          </cell>
          <cell r="I753" t="str">
            <v>06/03/2024</v>
          </cell>
          <cell r="J753" t="str">
            <v>06/03/2024</v>
          </cell>
          <cell r="K753" t="str">
            <v>06/17/2024</v>
          </cell>
          <cell r="L753">
            <v>10</v>
          </cell>
          <cell r="M753" t="str">
            <v>6/3/2024 4:31:15 PM</v>
          </cell>
          <cell r="N753" t="str">
            <v>25</v>
          </cell>
          <cell r="O753">
            <v>10</v>
          </cell>
          <cell r="P753">
            <v>5.04</v>
          </cell>
        </row>
        <row r="754">
          <cell r="A754" t="str">
            <v>6726162</v>
          </cell>
          <cell r="B754" t="str">
            <v>1125205</v>
          </cell>
          <cell r="C754" t="str">
            <v>72-83-9</v>
          </cell>
          <cell r="D754" t="str">
            <v>72</v>
          </cell>
          <cell r="E754" t="str">
            <v>72 GLOCK 17/22 HI GLS BLK</v>
          </cell>
          <cell r="F754" t="str">
            <v>DG-POUCH-F1</v>
          </cell>
          <cell r="G754" t="str">
            <v>1420-210-FG</v>
          </cell>
          <cell r="H754" t="str">
            <v>R</v>
          </cell>
          <cell r="I754" t="str">
            <v>06/07/2024</v>
          </cell>
          <cell r="J754" t="str">
            <v>06/07/2024</v>
          </cell>
          <cell r="K754" t="str">
            <v>06/17/2024</v>
          </cell>
          <cell r="L754">
            <v>13</v>
          </cell>
          <cell r="M754" t="str">
            <v>6/7/2024 11:44:04 AM</v>
          </cell>
          <cell r="N754" t="str">
            <v>25</v>
          </cell>
          <cell r="O754">
            <v>13</v>
          </cell>
          <cell r="P754">
            <v>6.56</v>
          </cell>
        </row>
        <row r="755">
          <cell r="A755" t="str">
            <v>6723960</v>
          </cell>
          <cell r="B755" t="str">
            <v>1129250</v>
          </cell>
          <cell r="C755" t="str">
            <v>72-83-2PBL</v>
          </cell>
          <cell r="D755" t="str">
            <v>72</v>
          </cell>
          <cell r="E755" t="str">
            <v>72 GLOCK 17/22 PLN BLK</v>
          </cell>
          <cell r="F755" t="str">
            <v>DG-POUCH-F1</v>
          </cell>
          <cell r="G755" t="str">
            <v>1420-210-FG</v>
          </cell>
          <cell r="H755" t="str">
            <v>R</v>
          </cell>
          <cell r="I755" t="str">
            <v>06/03/2024</v>
          </cell>
          <cell r="J755" t="str">
            <v>06/03/2024</v>
          </cell>
          <cell r="K755" t="str">
            <v>06/17/2024</v>
          </cell>
          <cell r="L755">
            <v>5</v>
          </cell>
          <cell r="M755" t="str">
            <v>6/5/2024 3:03:18 PM</v>
          </cell>
          <cell r="N755" t="str">
            <v>25</v>
          </cell>
          <cell r="O755">
            <v>5</v>
          </cell>
          <cell r="P755">
            <v>2.2000000000000002</v>
          </cell>
        </row>
        <row r="756">
          <cell r="A756" t="str">
            <v>6726662</v>
          </cell>
          <cell r="B756" t="str">
            <v>1017383</v>
          </cell>
          <cell r="C756" t="str">
            <v>22412</v>
          </cell>
          <cell r="D756" t="str">
            <v>7225</v>
          </cell>
          <cell r="E756" t="str">
            <v>7225 ERGOTEK DUTY BLT NYL BLK SZ 42-44</v>
          </cell>
          <cell r="F756" t="str">
            <v>BN-BELT</v>
          </cell>
          <cell r="G756" t="str">
            <v>1420-210-FG</v>
          </cell>
          <cell r="H756" t="str">
            <v>R</v>
          </cell>
          <cell r="I756" t="str">
            <v>06/10/2024</v>
          </cell>
          <cell r="J756" t="str">
            <v>06/10/2024</v>
          </cell>
          <cell r="K756" t="str">
            <v>06/17/2024</v>
          </cell>
          <cell r="L756">
            <v>5</v>
          </cell>
          <cell r="M756" t="str">
            <v>6/11/2024 2:36:12 PM</v>
          </cell>
          <cell r="N756" t="str">
            <v>25</v>
          </cell>
          <cell r="O756">
            <v>5</v>
          </cell>
          <cell r="P756">
            <v>0.71</v>
          </cell>
        </row>
        <row r="757">
          <cell r="A757" t="str">
            <v>6726644</v>
          </cell>
          <cell r="B757" t="str">
            <v>1013761</v>
          </cell>
          <cell r="C757" t="str">
            <v>24772</v>
          </cell>
          <cell r="D757" t="str">
            <v>7235</v>
          </cell>
          <cell r="E757" t="str">
            <v>7235 ERGOTEK BLT KIT NYL BLK SZ 28-30</v>
          </cell>
          <cell r="F757" t="str">
            <v>BN-BELT</v>
          </cell>
          <cell r="G757" t="str">
            <v>1420-210-FG</v>
          </cell>
          <cell r="H757" t="str">
            <v>R</v>
          </cell>
          <cell r="I757" t="str">
            <v>06/10/2024</v>
          </cell>
          <cell r="J757" t="str">
            <v>06/10/2024</v>
          </cell>
          <cell r="K757" t="str">
            <v>06/17/2024</v>
          </cell>
          <cell r="L757">
            <v>5</v>
          </cell>
          <cell r="M757" t="str">
            <v>6/11/2024 2:36:12 PM</v>
          </cell>
          <cell r="N757" t="str">
            <v>25</v>
          </cell>
          <cell r="O757">
            <v>5</v>
          </cell>
          <cell r="P757">
            <v>1.55</v>
          </cell>
        </row>
        <row r="758">
          <cell r="A758" t="str">
            <v>6726684</v>
          </cell>
          <cell r="B758" t="str">
            <v>1017768</v>
          </cell>
          <cell r="C758" t="str">
            <v>23496</v>
          </cell>
          <cell r="D758" t="str">
            <v>7405K</v>
          </cell>
          <cell r="E758" t="str">
            <v>7405K KEEPER ACU W/KEY HOLDER BLK 2.25IN</v>
          </cell>
          <cell r="F758" t="str">
            <v>BN-KEEPER</v>
          </cell>
          <cell r="G758" t="str">
            <v>1420-210-FG</v>
          </cell>
          <cell r="H758" t="str">
            <v>R</v>
          </cell>
          <cell r="I758" t="str">
            <v>06/10/2024</v>
          </cell>
          <cell r="J758" t="str">
            <v>06/10/2024</v>
          </cell>
          <cell r="K758" t="str">
            <v>06/17/2024</v>
          </cell>
          <cell r="L758">
            <v>75</v>
          </cell>
          <cell r="M758" t="str">
            <v>6/11/2024 2:48:28 PM</v>
          </cell>
          <cell r="N758" t="str">
            <v>25</v>
          </cell>
          <cell r="O758">
            <v>75</v>
          </cell>
          <cell r="P758">
            <v>3.16</v>
          </cell>
        </row>
        <row r="759">
          <cell r="A759" t="str">
            <v>6726676</v>
          </cell>
          <cell r="B759" t="str">
            <v>1015913</v>
          </cell>
          <cell r="C759" t="str">
            <v>15634</v>
          </cell>
          <cell r="D759" t="str">
            <v>7406</v>
          </cell>
          <cell r="E759" t="str">
            <v>7406 BELT KEEPER ACU 4PK BLK VEL 2.25IN</v>
          </cell>
          <cell r="F759" t="str">
            <v>BN-KEEPER</v>
          </cell>
          <cell r="G759" t="str">
            <v>1420-210-FG</v>
          </cell>
          <cell r="H759" t="str">
            <v>R</v>
          </cell>
          <cell r="I759" t="str">
            <v>06/10/2024</v>
          </cell>
          <cell r="J759" t="str">
            <v>06/10/2024</v>
          </cell>
          <cell r="K759" t="str">
            <v>06/17/2024</v>
          </cell>
          <cell r="L759">
            <v>40</v>
          </cell>
          <cell r="M759" t="str">
            <v>6/11/2024 2:48:28 PM</v>
          </cell>
          <cell r="N759" t="str">
            <v>25</v>
          </cell>
          <cell r="O759">
            <v>40</v>
          </cell>
          <cell r="P759">
            <v>4.37</v>
          </cell>
        </row>
        <row r="760">
          <cell r="A760" t="str">
            <v>6726160</v>
          </cell>
          <cell r="B760" t="str">
            <v>1123198</v>
          </cell>
          <cell r="C760" t="str">
            <v>75-83-2</v>
          </cell>
          <cell r="D760" t="str">
            <v>75</v>
          </cell>
          <cell r="E760" t="str">
            <v>75 GLOCK 17/22 PLN BLK</v>
          </cell>
          <cell r="F760" t="str">
            <v>DG-POUCH-F1</v>
          </cell>
          <cell r="G760" t="str">
            <v>1420-210-FG</v>
          </cell>
          <cell r="H760" t="str">
            <v>R</v>
          </cell>
          <cell r="I760" t="str">
            <v>06/07/2024</v>
          </cell>
          <cell r="J760" t="str">
            <v>06/07/2024</v>
          </cell>
          <cell r="K760" t="str">
            <v>06/17/2024</v>
          </cell>
          <cell r="L760">
            <v>15</v>
          </cell>
          <cell r="M760" t="str">
            <v>6/7/2024 11:44:04 AM</v>
          </cell>
          <cell r="N760" t="str">
            <v>25</v>
          </cell>
          <cell r="O760">
            <v>15</v>
          </cell>
          <cell r="P760">
            <v>3.41</v>
          </cell>
        </row>
        <row r="761">
          <cell r="A761" t="str">
            <v>6726178</v>
          </cell>
          <cell r="B761" t="str">
            <v>1128389</v>
          </cell>
          <cell r="C761" t="str">
            <v>75-83-48</v>
          </cell>
          <cell r="D761" t="str">
            <v>75</v>
          </cell>
          <cell r="E761" t="str">
            <v>75 GLOCK 17/22 STX BSK BLK</v>
          </cell>
          <cell r="F761" t="str">
            <v>DG-POUCH-F1</v>
          </cell>
          <cell r="G761" t="str">
            <v>1420-210-FG</v>
          </cell>
          <cell r="H761" t="str">
            <v>R</v>
          </cell>
          <cell r="I761" t="str">
            <v>06/07/2024</v>
          </cell>
          <cell r="J761" t="str">
            <v>06/07/2024</v>
          </cell>
          <cell r="K761" t="str">
            <v>06/17/2024</v>
          </cell>
          <cell r="L761">
            <v>25</v>
          </cell>
          <cell r="M761" t="str">
            <v>6/7/2024 11:44:04 AM</v>
          </cell>
          <cell r="N761" t="str">
            <v>25</v>
          </cell>
          <cell r="O761">
            <v>25</v>
          </cell>
          <cell r="P761">
            <v>6.52</v>
          </cell>
        </row>
        <row r="762">
          <cell r="A762" t="str">
            <v>6726157</v>
          </cell>
          <cell r="B762" t="str">
            <v>1116719</v>
          </cell>
          <cell r="C762" t="str">
            <v>77-283-2B</v>
          </cell>
          <cell r="D762" t="str">
            <v>77</v>
          </cell>
          <cell r="E762" t="str">
            <v>77 GLOCK 19/23 PLN BLK</v>
          </cell>
          <cell r="F762" t="str">
            <v>DG-POUCH-F1</v>
          </cell>
          <cell r="G762" t="str">
            <v>1420-210-FG</v>
          </cell>
          <cell r="H762" t="str">
            <v>R</v>
          </cell>
          <cell r="I762" t="str">
            <v>06/07/2024</v>
          </cell>
          <cell r="J762" t="str">
            <v>06/07/2024</v>
          </cell>
          <cell r="K762" t="str">
            <v>06/17/2024</v>
          </cell>
          <cell r="L762">
            <v>5</v>
          </cell>
          <cell r="M762" t="str">
            <v>6/7/2024 11:44:04 AM</v>
          </cell>
          <cell r="N762" t="str">
            <v>25</v>
          </cell>
          <cell r="O762">
            <v>5</v>
          </cell>
          <cell r="P762">
            <v>1.85</v>
          </cell>
        </row>
        <row r="763">
          <cell r="A763" t="str">
            <v>6727261</v>
          </cell>
          <cell r="B763" t="str">
            <v>1127306</v>
          </cell>
          <cell r="C763" t="str">
            <v>77-383-41HS</v>
          </cell>
          <cell r="D763" t="str">
            <v>77</v>
          </cell>
          <cell r="E763" t="str">
            <v>77 GLOCK 20/21 STX PLN BLK</v>
          </cell>
          <cell r="F763" t="str">
            <v>DG-POUCH-F1</v>
          </cell>
          <cell r="G763" t="str">
            <v>1420-210-FG</v>
          </cell>
          <cell r="H763" t="str">
            <v>R</v>
          </cell>
          <cell r="I763" t="str">
            <v>06/10/2024</v>
          </cell>
          <cell r="J763" t="str">
            <v>06/10/2024</v>
          </cell>
          <cell r="K763" t="str">
            <v>06/17/2024</v>
          </cell>
          <cell r="L763">
            <v>5</v>
          </cell>
          <cell r="M763" t="str">
            <v>6/11/2024 3:28:28 PM</v>
          </cell>
          <cell r="N763" t="str">
            <v>25</v>
          </cell>
          <cell r="O763">
            <v>5</v>
          </cell>
          <cell r="P763">
            <v>2.08</v>
          </cell>
        </row>
        <row r="764">
          <cell r="A764" t="str">
            <v>6727270</v>
          </cell>
          <cell r="B764" t="str">
            <v>1139750</v>
          </cell>
          <cell r="C764" t="str">
            <v>773-83-121-MS34</v>
          </cell>
          <cell r="D764" t="str">
            <v>773</v>
          </cell>
          <cell r="E764" t="str">
            <v>773 GLOCK 17/22 STX TAC BLK RH</v>
          </cell>
          <cell r="F764" t="str">
            <v>DG-POUCH-F2-F3</v>
          </cell>
          <cell r="G764" t="str">
            <v>1420-210-FG</v>
          </cell>
          <cell r="H764" t="str">
            <v>R</v>
          </cell>
          <cell r="I764" t="str">
            <v>06/10/2024</v>
          </cell>
          <cell r="J764" t="str">
            <v>06/10/2024</v>
          </cell>
          <cell r="K764" t="str">
            <v>06/17/2024</v>
          </cell>
          <cell r="L764">
            <v>10</v>
          </cell>
          <cell r="M764" t="str">
            <v>6/12/2024 11:32:04 AM</v>
          </cell>
          <cell r="N764" t="str">
            <v>25</v>
          </cell>
          <cell r="O764">
            <v>10</v>
          </cell>
          <cell r="P764">
            <v>3.4</v>
          </cell>
        </row>
        <row r="765">
          <cell r="A765" t="str">
            <v>6727269</v>
          </cell>
          <cell r="B765" t="str">
            <v>1139626</v>
          </cell>
          <cell r="C765" t="str">
            <v>773-83-121-MS36</v>
          </cell>
          <cell r="D765" t="str">
            <v>773</v>
          </cell>
          <cell r="E765" t="str">
            <v>773 GLOCK 17/22 STX TAC BLK RH</v>
          </cell>
          <cell r="F765" t="str">
            <v>DG-POUCH-F2-F3</v>
          </cell>
          <cell r="G765" t="str">
            <v>1420-210-FG</v>
          </cell>
          <cell r="H765" t="str">
            <v>R</v>
          </cell>
          <cell r="I765" t="str">
            <v>06/10/2024</v>
          </cell>
          <cell r="J765" t="str">
            <v>06/10/2024</v>
          </cell>
          <cell r="K765" t="str">
            <v>06/17/2024</v>
          </cell>
          <cell r="L765">
            <v>15</v>
          </cell>
          <cell r="M765" t="str">
            <v>6/12/2024 11:32:04 AM</v>
          </cell>
          <cell r="N765" t="str">
            <v>25</v>
          </cell>
          <cell r="O765">
            <v>15</v>
          </cell>
          <cell r="P765">
            <v>2.52</v>
          </cell>
        </row>
        <row r="766">
          <cell r="A766" t="str">
            <v>6727266</v>
          </cell>
          <cell r="B766" t="str">
            <v>1123770</v>
          </cell>
          <cell r="C766" t="str">
            <v>774-308-13</v>
          </cell>
          <cell r="D766" t="str">
            <v>774</v>
          </cell>
          <cell r="E766" t="str">
            <v>774 SPRGFLD ARMORY M1A STX TAC BLK</v>
          </cell>
          <cell r="F766" t="str">
            <v>DG-POUCH-F2-F3</v>
          </cell>
          <cell r="G766" t="str">
            <v>1420-210-FG</v>
          </cell>
          <cell r="H766" t="str">
            <v>R</v>
          </cell>
          <cell r="I766" t="str">
            <v>06/10/2024</v>
          </cell>
          <cell r="J766" t="str">
            <v>06/10/2024</v>
          </cell>
          <cell r="K766" t="str">
            <v>06/17/2024</v>
          </cell>
          <cell r="L766">
            <v>10</v>
          </cell>
          <cell r="M766" t="str">
            <v>6/12/2024 11:32:04 AM</v>
          </cell>
          <cell r="N766" t="str">
            <v>25</v>
          </cell>
          <cell r="O766">
            <v>10</v>
          </cell>
          <cell r="P766">
            <v>1.2</v>
          </cell>
        </row>
        <row r="767">
          <cell r="A767" t="str">
            <v>6726169</v>
          </cell>
          <cell r="B767" t="str">
            <v>1138831</v>
          </cell>
          <cell r="C767" t="str">
            <v>78-83-2B</v>
          </cell>
          <cell r="D767" t="str">
            <v>78</v>
          </cell>
          <cell r="E767" t="str">
            <v>78 GLOCK 17/22 PLN BLK</v>
          </cell>
          <cell r="F767" t="str">
            <v>DG-POUCH-F1</v>
          </cell>
          <cell r="G767" t="str">
            <v>1420-210-FG</v>
          </cell>
          <cell r="H767" t="str">
            <v>R</v>
          </cell>
          <cell r="I767" t="str">
            <v>06/07/2024</v>
          </cell>
          <cell r="J767" t="str">
            <v>06/07/2024</v>
          </cell>
          <cell r="K767" t="str">
            <v>06/17/2024</v>
          </cell>
          <cell r="L767">
            <v>5</v>
          </cell>
          <cell r="M767" t="str">
            <v>6/7/2024 11:44:04 AM</v>
          </cell>
          <cell r="N767" t="str">
            <v>25</v>
          </cell>
          <cell r="O767">
            <v>5</v>
          </cell>
          <cell r="P767">
            <v>2.04</v>
          </cell>
        </row>
        <row r="768">
          <cell r="A768" t="str">
            <v>6726168</v>
          </cell>
          <cell r="B768" t="str">
            <v>1138057</v>
          </cell>
          <cell r="C768" t="str">
            <v>79-383-4</v>
          </cell>
          <cell r="D768" t="str">
            <v>79</v>
          </cell>
          <cell r="E768" t="str">
            <v>79 GLOCK 20/21 BSK BLK</v>
          </cell>
          <cell r="F768" t="str">
            <v>DG-POUCH-F1</v>
          </cell>
          <cell r="G768" t="str">
            <v>1420-210-FG</v>
          </cell>
          <cell r="H768" t="str">
            <v>R</v>
          </cell>
          <cell r="I768" t="str">
            <v>06/07/2024</v>
          </cell>
          <cell r="J768" t="str">
            <v>06/07/2024</v>
          </cell>
          <cell r="K768" t="str">
            <v>06/17/2024</v>
          </cell>
          <cell r="L768">
            <v>5</v>
          </cell>
          <cell r="M768" t="str">
            <v>6/7/2024 11:44:04 AM</v>
          </cell>
          <cell r="N768" t="str">
            <v>25</v>
          </cell>
          <cell r="O768">
            <v>5</v>
          </cell>
          <cell r="P768">
            <v>1.6</v>
          </cell>
        </row>
        <row r="769">
          <cell r="A769" t="str">
            <v>6726679</v>
          </cell>
          <cell r="B769" t="str">
            <v>1016893</v>
          </cell>
          <cell r="C769" t="str">
            <v>22187</v>
          </cell>
          <cell r="D769" t="str">
            <v>7906</v>
          </cell>
          <cell r="E769" t="str">
            <v>7906 BLT KPR ACE 4PK BLK BSK BR 2.25IN</v>
          </cell>
          <cell r="F769" t="str">
            <v>BN-KEEPER</v>
          </cell>
          <cell r="G769" t="str">
            <v>1420-210-FG</v>
          </cell>
          <cell r="H769" t="str">
            <v>R</v>
          </cell>
          <cell r="I769" t="str">
            <v>06/10/2024</v>
          </cell>
          <cell r="J769" t="str">
            <v>06/10/2024</v>
          </cell>
          <cell r="K769" t="str">
            <v>06/17/2024</v>
          </cell>
          <cell r="L769">
            <v>75</v>
          </cell>
          <cell r="M769" t="str">
            <v>6/11/2024 2:48:28 PM</v>
          </cell>
          <cell r="N769" t="str">
            <v>25</v>
          </cell>
          <cell r="O769">
            <v>75</v>
          </cell>
          <cell r="P769">
            <v>8.2799999999999994</v>
          </cell>
        </row>
        <row r="770">
          <cell r="A770" t="str">
            <v>6726680</v>
          </cell>
          <cell r="B770" t="str">
            <v>1016893</v>
          </cell>
          <cell r="C770" t="str">
            <v>22187</v>
          </cell>
          <cell r="D770" t="str">
            <v>7906</v>
          </cell>
          <cell r="E770" t="str">
            <v>7906 BLT KPR ACE 4PK BLK BSK BR 2.25IN</v>
          </cell>
          <cell r="F770" t="str">
            <v>BN-KEEPER</v>
          </cell>
          <cell r="G770" t="str">
            <v>1420-210-FG</v>
          </cell>
          <cell r="H770" t="str">
            <v>R</v>
          </cell>
          <cell r="I770" t="str">
            <v>06/10/2024</v>
          </cell>
          <cell r="J770" t="str">
            <v>06/10/2024</v>
          </cell>
          <cell r="K770" t="str">
            <v>06/17/2024</v>
          </cell>
          <cell r="L770">
            <v>75</v>
          </cell>
          <cell r="M770" t="str">
            <v>6/11/2024 2:48:28 PM</v>
          </cell>
          <cell r="N770" t="str">
            <v>25</v>
          </cell>
          <cell r="O770">
            <v>75</v>
          </cell>
          <cell r="P770">
            <v>8.2799999999999994</v>
          </cell>
        </row>
        <row r="771">
          <cell r="A771" t="str">
            <v>6726681</v>
          </cell>
          <cell r="B771" t="str">
            <v>1017090</v>
          </cell>
          <cell r="C771" t="str">
            <v>22305</v>
          </cell>
          <cell r="D771" t="str">
            <v>7906</v>
          </cell>
          <cell r="E771" t="str">
            <v>7906 BLT KPR ACE 4PK BLK HGS CH 2.25IN</v>
          </cell>
          <cell r="F771" t="str">
            <v>BN-KEEPER</v>
          </cell>
          <cell r="G771" t="str">
            <v>1420-210-FG</v>
          </cell>
          <cell r="H771" t="str">
            <v>R</v>
          </cell>
          <cell r="I771" t="str">
            <v>06/10/2024</v>
          </cell>
          <cell r="J771" t="str">
            <v>06/10/2024</v>
          </cell>
          <cell r="K771" t="str">
            <v>06/17/2024</v>
          </cell>
          <cell r="L771">
            <v>15</v>
          </cell>
          <cell r="M771" t="str">
            <v>6/11/2024 2:48:28 PM</v>
          </cell>
          <cell r="N771" t="str">
            <v>25</v>
          </cell>
          <cell r="O771">
            <v>15</v>
          </cell>
          <cell r="P771">
            <v>1.65</v>
          </cell>
        </row>
        <row r="772">
          <cell r="A772" t="str">
            <v>6726682</v>
          </cell>
          <cell r="B772" t="str">
            <v>1017262</v>
          </cell>
          <cell r="C772" t="str">
            <v>22092</v>
          </cell>
          <cell r="D772" t="str">
            <v>7906</v>
          </cell>
          <cell r="E772" t="str">
            <v>7906 BLT KPR ACE 4PK BLK PLN CH 2.25IN</v>
          </cell>
          <cell r="F772" t="str">
            <v>BN-KEEPER</v>
          </cell>
          <cell r="G772" t="str">
            <v>1420-210-FG</v>
          </cell>
          <cell r="H772" t="str">
            <v>R</v>
          </cell>
          <cell r="I772" t="str">
            <v>06/10/2024</v>
          </cell>
          <cell r="J772" t="str">
            <v>06/10/2024</v>
          </cell>
          <cell r="K772" t="str">
            <v>06/17/2024</v>
          </cell>
          <cell r="L772">
            <v>50</v>
          </cell>
          <cell r="M772" t="str">
            <v>6/11/2024 2:48:28 PM</v>
          </cell>
          <cell r="N772" t="str">
            <v>25</v>
          </cell>
          <cell r="O772">
            <v>50</v>
          </cell>
          <cell r="P772">
            <v>5.52</v>
          </cell>
        </row>
        <row r="773">
          <cell r="A773" t="str">
            <v>6726657</v>
          </cell>
          <cell r="B773" t="str">
            <v>1017098</v>
          </cell>
          <cell r="C773" t="str">
            <v>22587</v>
          </cell>
          <cell r="D773" t="str">
            <v>7955</v>
          </cell>
          <cell r="E773" t="str">
            <v>7955 ERGOTEK DUTY BLT BSK BLK SZ 34-36</v>
          </cell>
          <cell r="F773" t="str">
            <v>BN-BELT</v>
          </cell>
          <cell r="G773" t="str">
            <v>1420-210-FG</v>
          </cell>
          <cell r="H773" t="str">
            <v>R</v>
          </cell>
          <cell r="I773" t="str">
            <v>06/10/2024</v>
          </cell>
          <cell r="J773" t="str">
            <v>06/10/2024</v>
          </cell>
          <cell r="K773" t="str">
            <v>06/17/2024</v>
          </cell>
          <cell r="L773">
            <v>10</v>
          </cell>
          <cell r="M773" t="str">
            <v>6/11/2024 2:36:12 PM</v>
          </cell>
          <cell r="N773" t="str">
            <v>25</v>
          </cell>
          <cell r="O773">
            <v>10</v>
          </cell>
          <cell r="P773">
            <v>2.13</v>
          </cell>
        </row>
        <row r="774">
          <cell r="A774" t="str">
            <v>6726658</v>
          </cell>
          <cell r="B774" t="str">
            <v>1017099</v>
          </cell>
          <cell r="C774" t="str">
            <v>22588</v>
          </cell>
          <cell r="D774" t="str">
            <v>7955</v>
          </cell>
          <cell r="E774" t="str">
            <v>7955 ERGOTEK DUTY BLT BSK BLK SZ 36-38</v>
          </cell>
          <cell r="F774" t="str">
            <v>BN-BELT</v>
          </cell>
          <cell r="G774" t="str">
            <v>1420-210-FG</v>
          </cell>
          <cell r="H774" t="str">
            <v>R</v>
          </cell>
          <cell r="I774" t="str">
            <v>06/10/2024</v>
          </cell>
          <cell r="J774" t="str">
            <v>06/10/2024</v>
          </cell>
          <cell r="K774" t="str">
            <v>06/17/2024</v>
          </cell>
          <cell r="L774">
            <v>10</v>
          </cell>
          <cell r="M774" t="str">
            <v>6/11/2024 2:36:12 PM</v>
          </cell>
          <cell r="N774" t="str">
            <v>25</v>
          </cell>
          <cell r="O774">
            <v>10</v>
          </cell>
          <cell r="P774">
            <v>2.13</v>
          </cell>
        </row>
        <row r="775">
          <cell r="A775" t="str">
            <v>6726664</v>
          </cell>
          <cell r="B775" t="str">
            <v>1017403</v>
          </cell>
          <cell r="C775" t="str">
            <v>22712</v>
          </cell>
          <cell r="D775" t="str">
            <v>7955</v>
          </cell>
          <cell r="E775" t="str">
            <v>7955 ERGOTEK DUTY BLT PLN BLK SZ 38-40</v>
          </cell>
          <cell r="F775" t="str">
            <v>BN-BELT</v>
          </cell>
          <cell r="G775" t="str">
            <v>1420-210-FG</v>
          </cell>
          <cell r="H775" t="str">
            <v>R</v>
          </cell>
          <cell r="I775" t="str">
            <v>06/10/2024</v>
          </cell>
          <cell r="J775" t="str">
            <v>06/10/2024</v>
          </cell>
          <cell r="K775" t="str">
            <v>06/17/2024</v>
          </cell>
          <cell r="L775">
            <v>5</v>
          </cell>
          <cell r="M775" t="str">
            <v>6/11/2024 2:36:12 PM</v>
          </cell>
          <cell r="N775" t="str">
            <v>25</v>
          </cell>
          <cell r="O775">
            <v>5</v>
          </cell>
          <cell r="P775">
            <v>1.07</v>
          </cell>
        </row>
        <row r="776">
          <cell r="A776" t="str">
            <v>6726685</v>
          </cell>
          <cell r="B776" t="str">
            <v>1018229</v>
          </cell>
          <cell r="C776" t="str">
            <v>31304</v>
          </cell>
          <cell r="D776" t="str">
            <v>8006</v>
          </cell>
          <cell r="E776" t="str">
            <v>8006 BELT KEEPER PTK 4PK BLK 2IN</v>
          </cell>
          <cell r="F776" t="str">
            <v>BN-KEEPER</v>
          </cell>
          <cell r="G776" t="str">
            <v>1420-210-FG</v>
          </cell>
          <cell r="H776" t="str">
            <v>R</v>
          </cell>
          <cell r="I776" t="str">
            <v>06/10/2024</v>
          </cell>
          <cell r="J776" t="str">
            <v>06/10/2024</v>
          </cell>
          <cell r="K776" t="str">
            <v>06/17/2024</v>
          </cell>
          <cell r="L776">
            <v>25</v>
          </cell>
          <cell r="M776" t="str">
            <v>6/11/2024 2:48:28 PM</v>
          </cell>
          <cell r="N776" t="str">
            <v>25</v>
          </cell>
          <cell r="O776">
            <v>25</v>
          </cell>
          <cell r="P776">
            <v>1.24</v>
          </cell>
        </row>
        <row r="777">
          <cell r="A777" t="str">
            <v>6726747</v>
          </cell>
          <cell r="B777" t="str">
            <v>1102424</v>
          </cell>
          <cell r="C777" t="str">
            <v>87-28-6</v>
          </cell>
          <cell r="D777" t="str">
            <v>87</v>
          </cell>
          <cell r="E777" t="str">
            <v>87 SZ28 PLN BLK</v>
          </cell>
          <cell r="F777" t="str">
            <v>DG-BELT</v>
          </cell>
          <cell r="G777" t="str">
            <v>1420-210-FG</v>
          </cell>
          <cell r="H777" t="str">
            <v>R</v>
          </cell>
          <cell r="I777" t="str">
            <v>06/10/2024</v>
          </cell>
          <cell r="J777" t="str">
            <v>06/10/2024</v>
          </cell>
          <cell r="K777" t="str">
            <v>06/17/2024</v>
          </cell>
          <cell r="L777">
            <v>5</v>
          </cell>
          <cell r="M777" t="str">
            <v>6/11/2024 3:09:40 PM</v>
          </cell>
          <cell r="N777" t="str">
            <v>25</v>
          </cell>
          <cell r="O777">
            <v>5</v>
          </cell>
          <cell r="P777">
            <v>1.92</v>
          </cell>
        </row>
        <row r="778">
          <cell r="A778" t="str">
            <v>6726748</v>
          </cell>
          <cell r="B778" t="str">
            <v>1102437</v>
          </cell>
          <cell r="C778" t="str">
            <v>87-30-8</v>
          </cell>
          <cell r="D778" t="str">
            <v>87</v>
          </cell>
          <cell r="E778" t="str">
            <v>87 SZ30 BSK BLK</v>
          </cell>
          <cell r="F778" t="str">
            <v>DG-BELT</v>
          </cell>
          <cell r="G778" t="str">
            <v>1420-210-FG</v>
          </cell>
          <cell r="H778" t="str">
            <v>R</v>
          </cell>
          <cell r="I778" t="str">
            <v>06/10/2024</v>
          </cell>
          <cell r="J778" t="str">
            <v>06/10/2024</v>
          </cell>
          <cell r="K778" t="str">
            <v>06/17/2024</v>
          </cell>
          <cell r="L778">
            <v>5</v>
          </cell>
          <cell r="M778" t="str">
            <v>6/11/2024 3:02:21 PM</v>
          </cell>
          <cell r="N778" t="str">
            <v>25</v>
          </cell>
          <cell r="O778">
            <v>5</v>
          </cell>
          <cell r="P778">
            <v>1.1000000000000001</v>
          </cell>
        </row>
        <row r="779">
          <cell r="A779" t="str">
            <v>6723252</v>
          </cell>
          <cell r="B779" t="str">
            <v>1102439</v>
          </cell>
          <cell r="C779" t="str">
            <v>87-30-9</v>
          </cell>
          <cell r="D779" t="str">
            <v>87</v>
          </cell>
          <cell r="E779" t="str">
            <v>87 SZ30 HGS BLK</v>
          </cell>
          <cell r="F779" t="str">
            <v>DG-BELT</v>
          </cell>
          <cell r="G779" t="str">
            <v>1420-210-FG</v>
          </cell>
          <cell r="H779" t="str">
            <v>R</v>
          </cell>
          <cell r="I779" t="str">
            <v>06/03/2024</v>
          </cell>
          <cell r="J779" t="str">
            <v>06/03/2024</v>
          </cell>
          <cell r="K779" t="str">
            <v>06/17/2024</v>
          </cell>
          <cell r="L779">
            <v>5</v>
          </cell>
          <cell r="M779" t="str">
            <v>6/5/2024 2:55:33 PM</v>
          </cell>
          <cell r="N779" t="str">
            <v>25</v>
          </cell>
          <cell r="O779">
            <v>5</v>
          </cell>
          <cell r="P779">
            <v>1.95</v>
          </cell>
        </row>
        <row r="780">
          <cell r="A780" t="str">
            <v>6726750</v>
          </cell>
          <cell r="B780" t="str">
            <v>1102510</v>
          </cell>
          <cell r="C780" t="str">
            <v>87-32-8</v>
          </cell>
          <cell r="D780" t="str">
            <v>87</v>
          </cell>
          <cell r="E780" t="str">
            <v>87 SZ32 BSK BLK</v>
          </cell>
          <cell r="F780" t="str">
            <v>DG-BELT</v>
          </cell>
          <cell r="G780" t="str">
            <v>1420-210-FG</v>
          </cell>
          <cell r="H780" t="str">
            <v>R</v>
          </cell>
          <cell r="I780" t="str">
            <v>06/10/2024</v>
          </cell>
          <cell r="J780" t="str">
            <v>06/10/2024</v>
          </cell>
          <cell r="K780" t="str">
            <v>06/17/2024</v>
          </cell>
          <cell r="L780">
            <v>21</v>
          </cell>
          <cell r="M780" t="str">
            <v>6/11/2024 3:02:21 PM</v>
          </cell>
          <cell r="N780" t="str">
            <v>25</v>
          </cell>
          <cell r="O780">
            <v>21</v>
          </cell>
          <cell r="P780">
            <v>8.39</v>
          </cell>
        </row>
        <row r="781">
          <cell r="A781" t="str">
            <v>6726749</v>
          </cell>
          <cell r="B781" t="str">
            <v>1102507</v>
          </cell>
          <cell r="C781" t="str">
            <v>87-32-6</v>
          </cell>
          <cell r="D781" t="str">
            <v>87</v>
          </cell>
          <cell r="E781" t="str">
            <v>87 SZ32 PLN BLK</v>
          </cell>
          <cell r="F781" t="str">
            <v>DG-BELT</v>
          </cell>
          <cell r="G781" t="str">
            <v>1420-210-FG</v>
          </cell>
          <cell r="H781" t="str">
            <v>R</v>
          </cell>
          <cell r="I781" t="str">
            <v>06/10/2024</v>
          </cell>
          <cell r="J781" t="str">
            <v>06/10/2024</v>
          </cell>
          <cell r="K781" t="str">
            <v>06/17/2024</v>
          </cell>
          <cell r="L781">
            <v>15</v>
          </cell>
          <cell r="M781" t="str">
            <v>6/11/2024 3:09:40 PM</v>
          </cell>
          <cell r="N781" t="str">
            <v>25</v>
          </cell>
          <cell r="O781">
            <v>15</v>
          </cell>
          <cell r="P781">
            <v>5.75</v>
          </cell>
        </row>
        <row r="782">
          <cell r="A782" t="str">
            <v>6723209</v>
          </cell>
          <cell r="B782" t="str">
            <v>1102524</v>
          </cell>
          <cell r="C782" t="str">
            <v>87-34-8</v>
          </cell>
          <cell r="D782" t="str">
            <v>87</v>
          </cell>
          <cell r="E782" t="str">
            <v>87 SZ34 BSK BLK</v>
          </cell>
          <cell r="F782" t="str">
            <v>DG-BELT</v>
          </cell>
          <cell r="G782" t="str">
            <v>1420-210-FG</v>
          </cell>
          <cell r="H782" t="str">
            <v>R</v>
          </cell>
          <cell r="I782" t="str">
            <v>06/03/2024</v>
          </cell>
          <cell r="J782" t="str">
            <v>06/03/2024</v>
          </cell>
          <cell r="K782" t="str">
            <v>06/17/2024</v>
          </cell>
          <cell r="L782">
            <v>20</v>
          </cell>
          <cell r="M782" t="str">
            <v>6/5/2024 2:55:33 PM</v>
          </cell>
          <cell r="N782" t="str">
            <v>25</v>
          </cell>
          <cell r="O782">
            <v>20</v>
          </cell>
          <cell r="P782">
            <v>7.99</v>
          </cell>
        </row>
        <row r="783">
          <cell r="A783" t="str">
            <v>6726751</v>
          </cell>
          <cell r="B783" t="str">
            <v>1102585</v>
          </cell>
          <cell r="C783" t="str">
            <v>87-34-8B</v>
          </cell>
          <cell r="D783" t="str">
            <v>87</v>
          </cell>
          <cell r="E783" t="str">
            <v>87 SZ34 BSK BLK</v>
          </cell>
          <cell r="F783" t="str">
            <v>DG-BELT</v>
          </cell>
          <cell r="G783" t="str">
            <v>1420-210-FG</v>
          </cell>
          <cell r="H783" t="str">
            <v>R</v>
          </cell>
          <cell r="I783" t="str">
            <v>06/10/2024</v>
          </cell>
          <cell r="J783" t="str">
            <v>06/10/2024</v>
          </cell>
          <cell r="K783" t="str">
            <v>06/17/2024</v>
          </cell>
          <cell r="L783">
            <v>10</v>
          </cell>
          <cell r="M783" t="str">
            <v>6/11/2024 3:02:21 PM</v>
          </cell>
          <cell r="N783" t="str">
            <v>25</v>
          </cell>
          <cell r="O783">
            <v>10</v>
          </cell>
          <cell r="P783">
            <v>3.98</v>
          </cell>
        </row>
        <row r="784">
          <cell r="A784" t="str">
            <v>6723211</v>
          </cell>
          <cell r="B784" t="str">
            <v>1102586</v>
          </cell>
          <cell r="C784" t="str">
            <v>87-34-9</v>
          </cell>
          <cell r="D784" t="str">
            <v>87</v>
          </cell>
          <cell r="E784" t="str">
            <v>87 SZ34 HGS BLK</v>
          </cell>
          <cell r="F784" t="str">
            <v>DG-BELT</v>
          </cell>
          <cell r="G784" t="str">
            <v>1420-210-FG</v>
          </cell>
          <cell r="H784" t="str">
            <v>R</v>
          </cell>
          <cell r="I784" t="str">
            <v>06/03/2024</v>
          </cell>
          <cell r="J784" t="str">
            <v>06/03/2024</v>
          </cell>
          <cell r="K784" t="str">
            <v>06/17/2024</v>
          </cell>
          <cell r="L784">
            <v>10</v>
          </cell>
          <cell r="M784" t="str">
            <v>6/5/2024 2:55:33 PM</v>
          </cell>
          <cell r="N784" t="str">
            <v>25</v>
          </cell>
          <cell r="O784">
            <v>10</v>
          </cell>
          <cell r="P784">
            <v>3.89</v>
          </cell>
        </row>
        <row r="785">
          <cell r="A785" t="str">
            <v>6726752</v>
          </cell>
          <cell r="B785" t="str">
            <v>1102588</v>
          </cell>
          <cell r="C785" t="str">
            <v>87-34-9B</v>
          </cell>
          <cell r="D785" t="str">
            <v>87</v>
          </cell>
          <cell r="E785" t="str">
            <v>87 SZ34 HGS BLK</v>
          </cell>
          <cell r="F785" t="str">
            <v>DG-BELT</v>
          </cell>
          <cell r="G785" t="str">
            <v>1420-210-FG</v>
          </cell>
          <cell r="H785" t="str">
            <v>R</v>
          </cell>
          <cell r="I785" t="str">
            <v>06/10/2024</v>
          </cell>
          <cell r="J785" t="str">
            <v>06/10/2024</v>
          </cell>
          <cell r="K785" t="str">
            <v>06/17/2024</v>
          </cell>
          <cell r="L785">
            <v>10</v>
          </cell>
          <cell r="M785" t="str">
            <v>6/11/2024 3:02:21 PM</v>
          </cell>
          <cell r="N785" t="str">
            <v>25</v>
          </cell>
          <cell r="O785">
            <v>10</v>
          </cell>
          <cell r="P785">
            <v>3.89</v>
          </cell>
        </row>
        <row r="786">
          <cell r="A786" t="str">
            <v>6726753</v>
          </cell>
          <cell r="B786" t="str">
            <v>1102597</v>
          </cell>
          <cell r="C786" t="str">
            <v>87-36-6B</v>
          </cell>
          <cell r="D786" t="str">
            <v>87</v>
          </cell>
          <cell r="E786" t="str">
            <v>87 SZ36 PLN BLK</v>
          </cell>
          <cell r="F786" t="str">
            <v>DG-BELT</v>
          </cell>
          <cell r="G786" t="str">
            <v>1420-210-FG</v>
          </cell>
          <cell r="H786" t="str">
            <v>R</v>
          </cell>
          <cell r="I786" t="str">
            <v>06/10/2024</v>
          </cell>
          <cell r="J786" t="str">
            <v>06/10/2024</v>
          </cell>
          <cell r="K786" t="str">
            <v>06/17/2024</v>
          </cell>
          <cell r="L786">
            <v>10</v>
          </cell>
          <cell r="M786" t="str">
            <v>6/11/2024 3:02:21 PM</v>
          </cell>
          <cell r="N786" t="str">
            <v>25</v>
          </cell>
          <cell r="O786">
            <v>10</v>
          </cell>
          <cell r="P786">
            <v>3.84</v>
          </cell>
        </row>
        <row r="787">
          <cell r="A787" t="str">
            <v>6726755</v>
          </cell>
          <cell r="B787" t="str">
            <v>1102672</v>
          </cell>
          <cell r="C787" t="str">
            <v>87-38-9</v>
          </cell>
          <cell r="D787" t="str">
            <v>87</v>
          </cell>
          <cell r="E787" t="str">
            <v>87 SZ38 HGS BLK</v>
          </cell>
          <cell r="F787" t="str">
            <v>DG-BELT</v>
          </cell>
          <cell r="G787" t="str">
            <v>1420-210-FG</v>
          </cell>
          <cell r="H787" t="str">
            <v>R</v>
          </cell>
          <cell r="I787" t="str">
            <v>06/10/2024</v>
          </cell>
          <cell r="J787" t="str">
            <v>06/10/2024</v>
          </cell>
          <cell r="K787" t="str">
            <v>06/17/2024</v>
          </cell>
          <cell r="L787">
            <v>20</v>
          </cell>
          <cell r="M787" t="str">
            <v>6/11/2024 3:09:40 PM</v>
          </cell>
          <cell r="N787" t="str">
            <v>25</v>
          </cell>
          <cell r="O787">
            <v>20</v>
          </cell>
          <cell r="P787">
            <v>7.79</v>
          </cell>
        </row>
        <row r="788">
          <cell r="A788" t="str">
            <v>6726756</v>
          </cell>
          <cell r="B788" t="str">
            <v>1102682</v>
          </cell>
          <cell r="C788" t="str">
            <v>87-40-8</v>
          </cell>
          <cell r="D788" t="str">
            <v>87</v>
          </cell>
          <cell r="E788" t="str">
            <v>87 SZ40 BSK BLK</v>
          </cell>
          <cell r="F788" t="str">
            <v>DG-BELT</v>
          </cell>
          <cell r="G788" t="str">
            <v>1420-210-FG</v>
          </cell>
          <cell r="H788" t="str">
            <v>R</v>
          </cell>
          <cell r="I788" t="str">
            <v>06/10/2024</v>
          </cell>
          <cell r="J788" t="str">
            <v>06/10/2024</v>
          </cell>
          <cell r="K788" t="str">
            <v>06/17/2024</v>
          </cell>
          <cell r="L788">
            <v>15</v>
          </cell>
          <cell r="M788" t="str">
            <v>6/11/2024 3:09:40 PM</v>
          </cell>
          <cell r="N788" t="str">
            <v>25</v>
          </cell>
          <cell r="O788">
            <v>15</v>
          </cell>
          <cell r="P788">
            <v>5.98</v>
          </cell>
        </row>
        <row r="789">
          <cell r="A789" t="str">
            <v>6726760</v>
          </cell>
          <cell r="B789" t="str">
            <v>1102747</v>
          </cell>
          <cell r="C789" t="str">
            <v>87-42-8</v>
          </cell>
          <cell r="D789" t="str">
            <v>87</v>
          </cell>
          <cell r="E789" t="str">
            <v>87 SZ42 BSK BLK</v>
          </cell>
          <cell r="F789" t="str">
            <v>DG-BELT</v>
          </cell>
          <cell r="G789" t="str">
            <v>1420-210-FG</v>
          </cell>
          <cell r="H789" t="str">
            <v>R</v>
          </cell>
          <cell r="I789" t="str">
            <v>06/10/2024</v>
          </cell>
          <cell r="J789" t="str">
            <v>06/10/2024</v>
          </cell>
          <cell r="K789" t="str">
            <v>06/17/2024</v>
          </cell>
          <cell r="L789">
            <v>10</v>
          </cell>
          <cell r="M789" t="str">
            <v>6/11/2024 3:09:40 PM</v>
          </cell>
          <cell r="N789" t="str">
            <v>25</v>
          </cell>
          <cell r="O789">
            <v>10</v>
          </cell>
          <cell r="P789">
            <v>3.98</v>
          </cell>
        </row>
        <row r="790">
          <cell r="A790" t="str">
            <v>6726759</v>
          </cell>
          <cell r="B790" t="str">
            <v>1102745</v>
          </cell>
          <cell r="C790" t="str">
            <v>87-42-6</v>
          </cell>
          <cell r="D790" t="str">
            <v>87</v>
          </cell>
          <cell r="E790" t="str">
            <v>87 SZ42 PLN BLK</v>
          </cell>
          <cell r="F790" t="str">
            <v>DG-BELT</v>
          </cell>
          <cell r="G790" t="str">
            <v>1420-210-FG</v>
          </cell>
          <cell r="H790" t="str">
            <v>R</v>
          </cell>
          <cell r="I790" t="str">
            <v>06/10/2024</v>
          </cell>
          <cell r="J790" t="str">
            <v>06/10/2024</v>
          </cell>
          <cell r="K790" t="str">
            <v>06/17/2024</v>
          </cell>
          <cell r="L790">
            <v>15</v>
          </cell>
          <cell r="M790" t="str">
            <v>6/11/2024 3:09:40 PM</v>
          </cell>
          <cell r="N790" t="str">
            <v>25</v>
          </cell>
          <cell r="O790">
            <v>15</v>
          </cell>
          <cell r="P790">
            <v>5.75</v>
          </cell>
        </row>
        <row r="791">
          <cell r="A791" t="str">
            <v>6726762</v>
          </cell>
          <cell r="B791" t="str">
            <v>1102816</v>
          </cell>
          <cell r="C791" t="str">
            <v>87-44-8B</v>
          </cell>
          <cell r="D791" t="str">
            <v>87</v>
          </cell>
          <cell r="E791" t="str">
            <v>87 SZ44 BSK BLK</v>
          </cell>
          <cell r="F791" t="str">
            <v>DG-BELT</v>
          </cell>
          <cell r="G791" t="str">
            <v>1420-210-FG</v>
          </cell>
          <cell r="H791" t="str">
            <v>R</v>
          </cell>
          <cell r="I791" t="str">
            <v>06/10/2024</v>
          </cell>
          <cell r="J791" t="str">
            <v>06/10/2024</v>
          </cell>
          <cell r="K791" t="str">
            <v>06/17/2024</v>
          </cell>
          <cell r="L791">
            <v>5</v>
          </cell>
          <cell r="M791" t="str">
            <v>6/11/2024 3:09:40 PM</v>
          </cell>
          <cell r="N791" t="str">
            <v>25</v>
          </cell>
          <cell r="O791">
            <v>5</v>
          </cell>
          <cell r="P791">
            <v>2</v>
          </cell>
        </row>
        <row r="792">
          <cell r="A792" t="str">
            <v>6726763</v>
          </cell>
          <cell r="B792" t="str">
            <v>1102817</v>
          </cell>
          <cell r="C792" t="str">
            <v>87-44-9</v>
          </cell>
          <cell r="D792" t="str">
            <v>87</v>
          </cell>
          <cell r="E792" t="str">
            <v>87 SZ44 HGS BLK</v>
          </cell>
          <cell r="F792" t="str">
            <v>DG-BELT</v>
          </cell>
          <cell r="G792" t="str">
            <v>1420-210-FG</v>
          </cell>
          <cell r="H792" t="str">
            <v>R</v>
          </cell>
          <cell r="I792" t="str">
            <v>06/10/2024</v>
          </cell>
          <cell r="J792" t="str">
            <v>06/10/2024</v>
          </cell>
          <cell r="K792" t="str">
            <v>06/17/2024</v>
          </cell>
          <cell r="L792">
            <v>5</v>
          </cell>
          <cell r="M792" t="str">
            <v>6/11/2024 3:09:40 PM</v>
          </cell>
          <cell r="N792" t="str">
            <v>25</v>
          </cell>
          <cell r="O792">
            <v>5</v>
          </cell>
          <cell r="P792">
            <v>1.95</v>
          </cell>
        </row>
        <row r="793">
          <cell r="A793" t="str">
            <v>6726761</v>
          </cell>
          <cell r="B793" t="str">
            <v>1102757</v>
          </cell>
          <cell r="C793" t="str">
            <v>87-44-6</v>
          </cell>
          <cell r="D793" t="str">
            <v>87</v>
          </cell>
          <cell r="E793" t="str">
            <v>87 SZ44 PLN BLK</v>
          </cell>
          <cell r="F793" t="str">
            <v>DG-BELT</v>
          </cell>
          <cell r="G793" t="str">
            <v>1420-210-FG</v>
          </cell>
          <cell r="H793" t="str">
            <v>R</v>
          </cell>
          <cell r="I793" t="str">
            <v>06/10/2024</v>
          </cell>
          <cell r="J793" t="str">
            <v>06/10/2024</v>
          </cell>
          <cell r="K793" t="str">
            <v>06/17/2024</v>
          </cell>
          <cell r="L793">
            <v>12</v>
          </cell>
          <cell r="M793" t="str">
            <v>6/11/2024 3:09:40 PM</v>
          </cell>
          <cell r="N793" t="str">
            <v>25</v>
          </cell>
          <cell r="O793">
            <v>12</v>
          </cell>
          <cell r="P793">
            <v>4.62</v>
          </cell>
        </row>
        <row r="794">
          <cell r="A794" t="str">
            <v>6726746</v>
          </cell>
          <cell r="B794" t="str">
            <v>1102298</v>
          </cell>
          <cell r="C794" t="str">
            <v>875-34-8</v>
          </cell>
          <cell r="D794" t="str">
            <v>875</v>
          </cell>
          <cell r="E794" t="str">
            <v>875 SZ34 BSK BLK</v>
          </cell>
          <cell r="F794" t="str">
            <v>DG-BELT</v>
          </cell>
          <cell r="G794" t="str">
            <v>1420-210-FG</v>
          </cell>
          <cell r="H794" t="str">
            <v>R</v>
          </cell>
          <cell r="I794" t="str">
            <v>06/10/2024</v>
          </cell>
          <cell r="J794" t="str">
            <v>06/10/2024</v>
          </cell>
          <cell r="K794" t="str">
            <v>06/17/2024</v>
          </cell>
          <cell r="L794">
            <v>5</v>
          </cell>
          <cell r="M794" t="str">
            <v>6/11/2024 3:09:40 PM</v>
          </cell>
          <cell r="N794" t="str">
            <v>25</v>
          </cell>
          <cell r="O794">
            <v>5</v>
          </cell>
          <cell r="P794">
            <v>2.2799999999999998</v>
          </cell>
        </row>
        <row r="795">
          <cell r="A795" t="str">
            <v>6726764</v>
          </cell>
          <cell r="B795" t="str">
            <v>1102851</v>
          </cell>
          <cell r="C795" t="str">
            <v>87V-30-9B</v>
          </cell>
          <cell r="D795" t="str">
            <v>87V</v>
          </cell>
          <cell r="E795" t="str">
            <v>87V SZ30 HGS BLK</v>
          </cell>
          <cell r="F795" t="str">
            <v>DG-BELT</v>
          </cell>
          <cell r="G795" t="str">
            <v>1420-210-FG</v>
          </cell>
          <cell r="H795" t="str">
            <v>R</v>
          </cell>
          <cell r="I795" t="str">
            <v>06/10/2024</v>
          </cell>
          <cell r="J795" t="str">
            <v>06/10/2024</v>
          </cell>
          <cell r="K795" t="str">
            <v>06/17/2024</v>
          </cell>
          <cell r="L795">
            <v>5</v>
          </cell>
          <cell r="M795" t="str">
            <v>6/11/2024 3:09:40 PM</v>
          </cell>
          <cell r="N795" t="str">
            <v>25</v>
          </cell>
          <cell r="O795">
            <v>5</v>
          </cell>
          <cell r="P795">
            <v>1.89</v>
          </cell>
        </row>
        <row r="796">
          <cell r="A796" t="str">
            <v>6726766</v>
          </cell>
          <cell r="B796" t="str">
            <v>1102856</v>
          </cell>
          <cell r="C796" t="str">
            <v>87V-32-8</v>
          </cell>
          <cell r="D796" t="str">
            <v>87V</v>
          </cell>
          <cell r="E796" t="str">
            <v>87V SZ32 BSK BLK</v>
          </cell>
          <cell r="F796" t="str">
            <v>DG-BELT</v>
          </cell>
          <cell r="G796" t="str">
            <v>1420-210-FG</v>
          </cell>
          <cell r="H796" t="str">
            <v>R</v>
          </cell>
          <cell r="I796" t="str">
            <v>06/10/2024</v>
          </cell>
          <cell r="J796" t="str">
            <v>06/10/2024</v>
          </cell>
          <cell r="K796" t="str">
            <v>06/17/2024</v>
          </cell>
          <cell r="L796">
            <v>5</v>
          </cell>
          <cell r="M796" t="str">
            <v>6/11/2024 3:09:40 PM</v>
          </cell>
          <cell r="N796" t="str">
            <v>25</v>
          </cell>
          <cell r="O796">
            <v>5</v>
          </cell>
          <cell r="P796">
            <v>1.89</v>
          </cell>
        </row>
        <row r="797">
          <cell r="A797" t="str">
            <v>6726765</v>
          </cell>
          <cell r="B797" t="str">
            <v>1102854</v>
          </cell>
          <cell r="C797" t="str">
            <v>87V-32-6</v>
          </cell>
          <cell r="D797" t="str">
            <v>87V</v>
          </cell>
          <cell r="E797" t="str">
            <v>87V SZ32 PLN BLK</v>
          </cell>
          <cell r="F797" t="str">
            <v>DG-BELT</v>
          </cell>
          <cell r="G797" t="str">
            <v>1420-210-FG</v>
          </cell>
          <cell r="H797" t="str">
            <v>R</v>
          </cell>
          <cell r="I797" t="str">
            <v>06/10/2024</v>
          </cell>
          <cell r="J797" t="str">
            <v>06/10/2024</v>
          </cell>
          <cell r="K797" t="str">
            <v>06/17/2024</v>
          </cell>
          <cell r="L797">
            <v>5</v>
          </cell>
          <cell r="M797" t="str">
            <v>6/11/2024 3:09:40 PM</v>
          </cell>
          <cell r="N797" t="str">
            <v>25</v>
          </cell>
          <cell r="O797">
            <v>5</v>
          </cell>
          <cell r="P797">
            <v>1.92</v>
          </cell>
        </row>
        <row r="798">
          <cell r="A798" t="str">
            <v>6726767</v>
          </cell>
          <cell r="B798" t="str">
            <v>1102928</v>
          </cell>
          <cell r="C798" t="str">
            <v>87V-34-9B</v>
          </cell>
          <cell r="D798" t="str">
            <v>87V</v>
          </cell>
          <cell r="E798" t="str">
            <v>87V SZ34 HGS BLK</v>
          </cell>
          <cell r="F798" t="str">
            <v>DG-BELT</v>
          </cell>
          <cell r="G798" t="str">
            <v>1420-210-FG</v>
          </cell>
          <cell r="H798" t="str">
            <v>R</v>
          </cell>
          <cell r="I798" t="str">
            <v>06/10/2024</v>
          </cell>
          <cell r="J798" t="str">
            <v>06/10/2024</v>
          </cell>
          <cell r="K798" t="str">
            <v>06/17/2024</v>
          </cell>
          <cell r="L798">
            <v>7</v>
          </cell>
          <cell r="M798" t="str">
            <v>6/11/2024 3:09:40 PM</v>
          </cell>
          <cell r="N798" t="str">
            <v>25</v>
          </cell>
          <cell r="O798">
            <v>7</v>
          </cell>
          <cell r="P798">
            <v>2.66</v>
          </cell>
        </row>
        <row r="799">
          <cell r="A799" t="str">
            <v>6726769</v>
          </cell>
          <cell r="B799" t="str">
            <v>1102936</v>
          </cell>
          <cell r="C799" t="str">
            <v>87V-36-8B</v>
          </cell>
          <cell r="D799" t="str">
            <v>87V</v>
          </cell>
          <cell r="E799" t="str">
            <v>87V SZ36 BSK BLK</v>
          </cell>
          <cell r="F799" t="str">
            <v>DG-BELT</v>
          </cell>
          <cell r="G799" t="str">
            <v>1420-210-FG</v>
          </cell>
          <cell r="H799" t="str">
            <v>R</v>
          </cell>
          <cell r="I799" t="str">
            <v>06/10/2024</v>
          </cell>
          <cell r="J799" t="str">
            <v>06/10/2024</v>
          </cell>
          <cell r="K799" t="str">
            <v>06/17/2024</v>
          </cell>
          <cell r="L799">
            <v>5</v>
          </cell>
          <cell r="M799" t="str">
            <v>6/11/2024 3:09:40 PM</v>
          </cell>
          <cell r="N799" t="str">
            <v>25</v>
          </cell>
          <cell r="O799">
            <v>5</v>
          </cell>
          <cell r="P799">
            <v>1.89</v>
          </cell>
        </row>
        <row r="800">
          <cell r="A800" t="str">
            <v>6721532</v>
          </cell>
          <cell r="B800" t="str">
            <v>1101898</v>
          </cell>
          <cell r="C800" t="str">
            <v>87V-46-8B</v>
          </cell>
          <cell r="D800" t="str">
            <v>87V</v>
          </cell>
          <cell r="E800" t="str">
            <v>87V SZ46 BSK BLK</v>
          </cell>
          <cell r="F800" t="str">
            <v>DG-BELT</v>
          </cell>
          <cell r="G800" t="str">
            <v>1420-210-FG</v>
          </cell>
          <cell r="H800" t="str">
            <v>R</v>
          </cell>
          <cell r="I800" t="str">
            <v>05/28/2024</v>
          </cell>
          <cell r="J800" t="str">
            <v>06/03/2024</v>
          </cell>
          <cell r="K800" t="str">
            <v>06/17/2024</v>
          </cell>
          <cell r="L800">
            <v>5</v>
          </cell>
          <cell r="M800" t="str">
            <v>5/28/2024 10:51:05 AM</v>
          </cell>
          <cell r="N800" t="str">
            <v>25</v>
          </cell>
          <cell r="O800">
            <v>5</v>
          </cell>
          <cell r="P800">
            <v>1.89</v>
          </cell>
        </row>
        <row r="801">
          <cell r="A801" t="str">
            <v>6726711</v>
          </cell>
          <cell r="B801" t="str">
            <v>1103375</v>
          </cell>
          <cell r="C801" t="str">
            <v>94-34-4</v>
          </cell>
          <cell r="D801" t="str">
            <v>94</v>
          </cell>
          <cell r="E801" t="str">
            <v>94 SZ34 BSK BLK</v>
          </cell>
          <cell r="F801" t="str">
            <v>DG-BELT</v>
          </cell>
          <cell r="G801" t="str">
            <v>1420-210-FG</v>
          </cell>
          <cell r="H801" t="str">
            <v>R</v>
          </cell>
          <cell r="I801" t="str">
            <v>06/10/2024</v>
          </cell>
          <cell r="J801" t="str">
            <v>06/10/2024</v>
          </cell>
          <cell r="K801" t="str">
            <v>06/17/2024</v>
          </cell>
          <cell r="L801">
            <v>20</v>
          </cell>
          <cell r="M801" t="str">
            <v>6/11/2024 3:09:40 PM</v>
          </cell>
          <cell r="N801" t="str">
            <v>25</v>
          </cell>
          <cell r="O801">
            <v>20</v>
          </cell>
          <cell r="P801">
            <v>10.67</v>
          </cell>
        </row>
        <row r="802">
          <cell r="A802" t="str">
            <v>6726712</v>
          </cell>
          <cell r="B802" t="str">
            <v>1103375</v>
          </cell>
          <cell r="C802" t="str">
            <v>94-34-4</v>
          </cell>
          <cell r="D802" t="str">
            <v>94</v>
          </cell>
          <cell r="E802" t="str">
            <v>94 SZ34 BSK BLK</v>
          </cell>
          <cell r="F802" t="str">
            <v>DG-BELT</v>
          </cell>
          <cell r="G802" t="str">
            <v>1420-210-FG</v>
          </cell>
          <cell r="H802" t="str">
            <v>R</v>
          </cell>
          <cell r="I802" t="str">
            <v>06/10/2024</v>
          </cell>
          <cell r="J802" t="str">
            <v>06/10/2024</v>
          </cell>
          <cell r="K802" t="str">
            <v>06/17/2024</v>
          </cell>
          <cell r="L802">
            <v>20</v>
          </cell>
          <cell r="M802" t="str">
            <v>6/11/2024 3:09:40 PM</v>
          </cell>
          <cell r="N802" t="str">
            <v>25</v>
          </cell>
          <cell r="O802">
            <v>20</v>
          </cell>
          <cell r="P802">
            <v>10.67</v>
          </cell>
        </row>
        <row r="803">
          <cell r="A803" t="str">
            <v>6726770</v>
          </cell>
          <cell r="B803" t="str">
            <v>1103376</v>
          </cell>
          <cell r="C803" t="str">
            <v>94-34-9</v>
          </cell>
          <cell r="D803" t="str">
            <v>94</v>
          </cell>
          <cell r="E803" t="str">
            <v>94 SZ34 HGS BLK</v>
          </cell>
          <cell r="F803" t="str">
            <v>DG-BELT</v>
          </cell>
          <cell r="G803" t="str">
            <v>1420-210-FG</v>
          </cell>
          <cell r="H803" t="str">
            <v>R</v>
          </cell>
          <cell r="I803" t="str">
            <v>06/10/2024</v>
          </cell>
          <cell r="J803" t="str">
            <v>06/10/2024</v>
          </cell>
          <cell r="K803" t="str">
            <v>06/17/2024</v>
          </cell>
          <cell r="L803">
            <v>5</v>
          </cell>
          <cell r="M803" t="str">
            <v>6/11/2024 3:09:40 PM</v>
          </cell>
          <cell r="N803" t="str">
            <v>25</v>
          </cell>
          <cell r="O803">
            <v>5</v>
          </cell>
          <cell r="P803">
            <v>2.64</v>
          </cell>
        </row>
        <row r="804">
          <cell r="A804" t="str">
            <v>6723214</v>
          </cell>
          <cell r="B804" t="str">
            <v>1103371</v>
          </cell>
          <cell r="C804" t="str">
            <v>94-34-2</v>
          </cell>
          <cell r="D804" t="str">
            <v>94</v>
          </cell>
          <cell r="E804" t="str">
            <v>94 SZ34 PLN BLK</v>
          </cell>
          <cell r="F804" t="str">
            <v>DG-BELT</v>
          </cell>
          <cell r="G804" t="str">
            <v>1420-210-FG</v>
          </cell>
          <cell r="H804" t="str">
            <v>R</v>
          </cell>
          <cell r="I804" t="str">
            <v>06/03/2024</v>
          </cell>
          <cell r="J804" t="str">
            <v>06/03/2024</v>
          </cell>
          <cell r="K804" t="str">
            <v>06/17/2024</v>
          </cell>
          <cell r="L804">
            <v>20</v>
          </cell>
          <cell r="M804" t="str">
            <v>6/4/2024 2:05:06 PM</v>
          </cell>
          <cell r="N804" t="str">
            <v>25</v>
          </cell>
          <cell r="O804">
            <v>20</v>
          </cell>
          <cell r="P804">
            <v>10.3</v>
          </cell>
        </row>
        <row r="805">
          <cell r="A805" t="str">
            <v>6723215</v>
          </cell>
          <cell r="B805" t="str">
            <v>1103371</v>
          </cell>
          <cell r="C805" t="str">
            <v>94-34-2</v>
          </cell>
          <cell r="D805" t="str">
            <v>94</v>
          </cell>
          <cell r="E805" t="str">
            <v>94 SZ34 PLN BLK</v>
          </cell>
          <cell r="F805" t="str">
            <v>DG-BELT</v>
          </cell>
          <cell r="G805" t="str">
            <v>1420-210-FG</v>
          </cell>
          <cell r="H805" t="str">
            <v>R</v>
          </cell>
          <cell r="I805" t="str">
            <v>06/03/2024</v>
          </cell>
          <cell r="J805" t="str">
            <v>06/03/2024</v>
          </cell>
          <cell r="K805" t="str">
            <v>06/17/2024</v>
          </cell>
          <cell r="L805">
            <v>20</v>
          </cell>
          <cell r="M805" t="str">
            <v>6/4/2024 2:05:06 PM</v>
          </cell>
          <cell r="N805" t="str">
            <v>25</v>
          </cell>
          <cell r="O805">
            <v>20</v>
          </cell>
          <cell r="P805">
            <v>10.3</v>
          </cell>
        </row>
        <row r="806">
          <cell r="A806" t="str">
            <v>6726714</v>
          </cell>
          <cell r="B806" t="str">
            <v>1103382</v>
          </cell>
          <cell r="C806" t="str">
            <v>94-36-4</v>
          </cell>
          <cell r="D806" t="str">
            <v>94</v>
          </cell>
          <cell r="E806" t="str">
            <v>94 SZ36 BSK BLK</v>
          </cell>
          <cell r="F806" t="str">
            <v>DG-BELT</v>
          </cell>
          <cell r="G806" t="str">
            <v>1420-210-FG</v>
          </cell>
          <cell r="H806" t="str">
            <v>F</v>
          </cell>
          <cell r="I806" t="str">
            <v>06/10/2024</v>
          </cell>
          <cell r="J806" t="str">
            <v>06/10/2024</v>
          </cell>
          <cell r="K806" t="str">
            <v>06/17/2024</v>
          </cell>
          <cell r="L806">
            <v>32</v>
          </cell>
          <cell r="M806" t="str">
            <v/>
          </cell>
          <cell r="N806" t="str">
            <v>25</v>
          </cell>
          <cell r="O806">
            <v>32</v>
          </cell>
          <cell r="P806">
            <v>17.09</v>
          </cell>
        </row>
        <row r="807">
          <cell r="A807" t="str">
            <v>6726715</v>
          </cell>
          <cell r="B807" t="str">
            <v>1103382</v>
          </cell>
          <cell r="C807" t="str">
            <v>94-36-4</v>
          </cell>
          <cell r="D807" t="str">
            <v>94</v>
          </cell>
          <cell r="E807" t="str">
            <v>94 SZ36 BSK BLK</v>
          </cell>
          <cell r="F807" t="str">
            <v>DG-BELT</v>
          </cell>
          <cell r="G807" t="str">
            <v>1420-210-FG</v>
          </cell>
          <cell r="H807" t="str">
            <v>F</v>
          </cell>
          <cell r="I807" t="str">
            <v>06/10/2024</v>
          </cell>
          <cell r="J807" t="str">
            <v>06/10/2024</v>
          </cell>
          <cell r="K807" t="str">
            <v>06/17/2024</v>
          </cell>
          <cell r="L807">
            <v>30</v>
          </cell>
          <cell r="M807" t="str">
            <v/>
          </cell>
          <cell r="N807" t="str">
            <v>25</v>
          </cell>
          <cell r="O807">
            <v>30</v>
          </cell>
          <cell r="P807">
            <v>16.010000000000002</v>
          </cell>
        </row>
        <row r="808">
          <cell r="A808" t="str">
            <v>6726716</v>
          </cell>
          <cell r="B808" t="str">
            <v>1103424</v>
          </cell>
          <cell r="C808" t="str">
            <v>94-38-2</v>
          </cell>
          <cell r="D808" t="str">
            <v>94</v>
          </cell>
          <cell r="E808" t="str">
            <v>94 SZ38 PLN BLK</v>
          </cell>
          <cell r="F808" t="str">
            <v>DG-BELT</v>
          </cell>
          <cell r="G808" t="str">
            <v>1420-210-FG</v>
          </cell>
          <cell r="H808" t="str">
            <v>R</v>
          </cell>
          <cell r="I808" t="str">
            <v>06/10/2024</v>
          </cell>
          <cell r="J808" t="str">
            <v>06/10/2024</v>
          </cell>
          <cell r="K808" t="str">
            <v>06/17/2024</v>
          </cell>
          <cell r="L808">
            <v>30</v>
          </cell>
          <cell r="M808" t="str">
            <v>6/11/2024 3:02:21 PM</v>
          </cell>
          <cell r="N808" t="str">
            <v>25</v>
          </cell>
          <cell r="O808">
            <v>30</v>
          </cell>
          <cell r="P808">
            <v>15.45</v>
          </cell>
        </row>
        <row r="809">
          <cell r="A809" t="str">
            <v>6726717</v>
          </cell>
          <cell r="B809" t="str">
            <v>1103424</v>
          </cell>
          <cell r="C809" t="str">
            <v>94-38-2</v>
          </cell>
          <cell r="D809" t="str">
            <v>94</v>
          </cell>
          <cell r="E809" t="str">
            <v>94 SZ38 PLN BLK</v>
          </cell>
          <cell r="F809" t="str">
            <v>DG-BELT</v>
          </cell>
          <cell r="G809" t="str">
            <v>1420-210-FG</v>
          </cell>
          <cell r="H809" t="str">
            <v>R</v>
          </cell>
          <cell r="I809" t="str">
            <v>06/10/2024</v>
          </cell>
          <cell r="J809" t="str">
            <v>06/10/2024</v>
          </cell>
          <cell r="K809" t="str">
            <v>06/17/2024</v>
          </cell>
          <cell r="L809">
            <v>30</v>
          </cell>
          <cell r="M809" t="str">
            <v>6/11/2024 3:02:21 PM</v>
          </cell>
          <cell r="N809" t="str">
            <v>25</v>
          </cell>
          <cell r="O809">
            <v>30</v>
          </cell>
          <cell r="P809">
            <v>15.45</v>
          </cell>
        </row>
        <row r="810">
          <cell r="A810" t="str">
            <v>6726720</v>
          </cell>
          <cell r="B810" t="str">
            <v>1103437</v>
          </cell>
          <cell r="C810" t="str">
            <v>94-40-4</v>
          </cell>
          <cell r="D810" t="str">
            <v>94</v>
          </cell>
          <cell r="E810" t="str">
            <v>94 SZ40 BSK BLK</v>
          </cell>
          <cell r="F810" t="str">
            <v>DG-BELT</v>
          </cell>
          <cell r="G810" t="str">
            <v>1420-210-FG</v>
          </cell>
          <cell r="H810" t="str">
            <v>F</v>
          </cell>
          <cell r="I810" t="str">
            <v>06/10/2024</v>
          </cell>
          <cell r="J810" t="str">
            <v>06/10/2024</v>
          </cell>
          <cell r="K810" t="str">
            <v>06/17/2024</v>
          </cell>
          <cell r="L810">
            <v>25</v>
          </cell>
          <cell r="M810" t="str">
            <v/>
          </cell>
          <cell r="N810" t="str">
            <v>25</v>
          </cell>
          <cell r="O810">
            <v>25</v>
          </cell>
          <cell r="P810">
            <v>13.35</v>
          </cell>
        </row>
        <row r="811">
          <cell r="A811" t="str">
            <v>6726718</v>
          </cell>
          <cell r="B811" t="str">
            <v>1103433</v>
          </cell>
          <cell r="C811" t="str">
            <v>94-40-2</v>
          </cell>
          <cell r="D811" t="str">
            <v>94</v>
          </cell>
          <cell r="E811" t="str">
            <v>94 SZ40 PLN BLK</v>
          </cell>
          <cell r="F811" t="str">
            <v>DG-BELT</v>
          </cell>
          <cell r="G811" t="str">
            <v>1420-210-FG</v>
          </cell>
          <cell r="H811" t="str">
            <v>R</v>
          </cell>
          <cell r="I811" t="str">
            <v>06/10/2024</v>
          </cell>
          <cell r="J811" t="str">
            <v>06/10/2024</v>
          </cell>
          <cell r="K811" t="str">
            <v>06/17/2024</v>
          </cell>
          <cell r="L811">
            <v>30</v>
          </cell>
          <cell r="M811" t="str">
            <v>6/11/2024 3:02:21 PM</v>
          </cell>
          <cell r="N811" t="str">
            <v>25</v>
          </cell>
          <cell r="O811">
            <v>30</v>
          </cell>
          <cell r="P811">
            <v>15.45</v>
          </cell>
        </row>
        <row r="812">
          <cell r="A812" t="str">
            <v>6726719</v>
          </cell>
          <cell r="B812" t="str">
            <v>1103433</v>
          </cell>
          <cell r="C812" t="str">
            <v>94-40-2</v>
          </cell>
          <cell r="D812" t="str">
            <v>94</v>
          </cell>
          <cell r="E812" t="str">
            <v>94 SZ40 PLN BLK</v>
          </cell>
          <cell r="F812" t="str">
            <v>DG-BELT</v>
          </cell>
          <cell r="G812" t="str">
            <v>1420-210-FG</v>
          </cell>
          <cell r="H812" t="str">
            <v>R</v>
          </cell>
          <cell r="I812" t="str">
            <v>06/10/2024</v>
          </cell>
          <cell r="J812" t="str">
            <v>06/10/2024</v>
          </cell>
          <cell r="K812" t="str">
            <v>06/17/2024</v>
          </cell>
          <cell r="L812">
            <v>30</v>
          </cell>
          <cell r="M812" t="str">
            <v>6/11/2024 3:02:21 PM</v>
          </cell>
          <cell r="N812" t="str">
            <v>25</v>
          </cell>
          <cell r="O812">
            <v>30</v>
          </cell>
          <cell r="P812">
            <v>15.45</v>
          </cell>
        </row>
        <row r="813">
          <cell r="A813" t="str">
            <v>6726721</v>
          </cell>
          <cell r="B813" t="str">
            <v>1103442</v>
          </cell>
          <cell r="C813" t="str">
            <v>94-42-2</v>
          </cell>
          <cell r="D813" t="str">
            <v>94</v>
          </cell>
          <cell r="E813" t="str">
            <v>94 SZ42 PLN BLK</v>
          </cell>
          <cell r="F813" t="str">
            <v>DG-BELT</v>
          </cell>
          <cell r="G813" t="str">
            <v>1420-210-FG</v>
          </cell>
          <cell r="H813" t="str">
            <v>F</v>
          </cell>
          <cell r="I813" t="str">
            <v>06/10/2024</v>
          </cell>
          <cell r="J813" t="str">
            <v>06/10/2024</v>
          </cell>
          <cell r="K813" t="str">
            <v>06/17/2024</v>
          </cell>
          <cell r="L813">
            <v>25</v>
          </cell>
          <cell r="M813" t="str">
            <v/>
          </cell>
          <cell r="N813" t="str">
            <v>25</v>
          </cell>
          <cell r="O813">
            <v>25</v>
          </cell>
          <cell r="P813">
            <v>12.89</v>
          </cell>
        </row>
        <row r="814">
          <cell r="A814" t="str">
            <v>6726722</v>
          </cell>
          <cell r="B814" t="str">
            <v>1103442</v>
          </cell>
          <cell r="C814" t="str">
            <v>94-42-2</v>
          </cell>
          <cell r="D814" t="str">
            <v>94</v>
          </cell>
          <cell r="E814" t="str">
            <v>94 SZ42 PLN BLK</v>
          </cell>
          <cell r="F814" t="str">
            <v>DG-BELT</v>
          </cell>
          <cell r="G814" t="str">
            <v>1420-210-FG</v>
          </cell>
          <cell r="H814" t="str">
            <v>R</v>
          </cell>
          <cell r="I814" t="str">
            <v>06/10/2024</v>
          </cell>
          <cell r="J814" t="str">
            <v>06/10/2024</v>
          </cell>
          <cell r="K814" t="str">
            <v>06/17/2024</v>
          </cell>
          <cell r="L814">
            <v>25</v>
          </cell>
          <cell r="M814" t="str">
            <v>6/11/2024 3:09:40 PM</v>
          </cell>
          <cell r="N814" t="str">
            <v>25</v>
          </cell>
          <cell r="O814">
            <v>25</v>
          </cell>
          <cell r="P814">
            <v>12.89</v>
          </cell>
        </row>
        <row r="815">
          <cell r="A815" t="str">
            <v>6726772</v>
          </cell>
          <cell r="B815" t="str">
            <v>1103497</v>
          </cell>
          <cell r="C815" t="str">
            <v>94-44-4</v>
          </cell>
          <cell r="D815" t="str">
            <v>94</v>
          </cell>
          <cell r="E815" t="str">
            <v>94 SZ44 BSK BLK</v>
          </cell>
          <cell r="F815" t="str">
            <v>DG-BELT</v>
          </cell>
          <cell r="G815" t="str">
            <v>1420-210-FG</v>
          </cell>
          <cell r="H815" t="str">
            <v>F</v>
          </cell>
          <cell r="I815" t="str">
            <v>06/10/2024</v>
          </cell>
          <cell r="J815" t="str">
            <v>06/10/2024</v>
          </cell>
          <cell r="K815" t="str">
            <v>06/17/2024</v>
          </cell>
          <cell r="L815">
            <v>10</v>
          </cell>
          <cell r="M815" t="str">
            <v/>
          </cell>
          <cell r="N815" t="str">
            <v>25</v>
          </cell>
          <cell r="O815">
            <v>10</v>
          </cell>
          <cell r="P815">
            <v>5.35</v>
          </cell>
        </row>
        <row r="816">
          <cell r="A816" t="str">
            <v>6726771</v>
          </cell>
          <cell r="B816" t="str">
            <v>1103494</v>
          </cell>
          <cell r="C816" t="str">
            <v>94-44-2</v>
          </cell>
          <cell r="D816" t="str">
            <v>94</v>
          </cell>
          <cell r="E816" t="str">
            <v>94 SZ44 PLN BLK</v>
          </cell>
          <cell r="F816" t="str">
            <v>DG-BELT</v>
          </cell>
          <cell r="G816" t="str">
            <v>1420-210-FG</v>
          </cell>
          <cell r="H816" t="str">
            <v>F</v>
          </cell>
          <cell r="I816" t="str">
            <v>06/10/2024</v>
          </cell>
          <cell r="J816" t="str">
            <v>06/10/2024</v>
          </cell>
          <cell r="K816" t="str">
            <v>06/17/2024</v>
          </cell>
          <cell r="L816">
            <v>30</v>
          </cell>
          <cell r="M816" t="str">
            <v/>
          </cell>
          <cell r="N816" t="str">
            <v>25</v>
          </cell>
          <cell r="O816">
            <v>30</v>
          </cell>
          <cell r="P816">
            <v>15.45</v>
          </cell>
        </row>
        <row r="817">
          <cell r="A817" t="str">
            <v>6726773</v>
          </cell>
          <cell r="B817" t="str">
            <v>1103501</v>
          </cell>
          <cell r="C817" t="str">
            <v>94-46-2</v>
          </cell>
          <cell r="D817" t="str">
            <v>94</v>
          </cell>
          <cell r="E817" t="str">
            <v>94 SZ46 PLN BLK</v>
          </cell>
          <cell r="F817" t="str">
            <v>DG-BELT</v>
          </cell>
          <cell r="G817" t="str">
            <v>1420-210-FG</v>
          </cell>
          <cell r="H817" t="str">
            <v>R</v>
          </cell>
          <cell r="I817" t="str">
            <v>06/10/2024</v>
          </cell>
          <cell r="J817" t="str">
            <v>06/10/2024</v>
          </cell>
          <cell r="K817" t="str">
            <v>06/17/2024</v>
          </cell>
          <cell r="L817">
            <v>10</v>
          </cell>
          <cell r="M817" t="str">
            <v>6/11/2024 3:09:40 PM</v>
          </cell>
          <cell r="N817" t="str">
            <v>25</v>
          </cell>
          <cell r="O817">
            <v>10</v>
          </cell>
          <cell r="P817">
            <v>5.16</v>
          </cell>
        </row>
        <row r="818">
          <cell r="A818" t="str">
            <v>6723265</v>
          </cell>
          <cell r="B818" t="str">
            <v>1103509</v>
          </cell>
          <cell r="C818" t="str">
            <v>94-48-4</v>
          </cell>
          <cell r="D818" t="str">
            <v>94</v>
          </cell>
          <cell r="E818" t="str">
            <v>94 SZ48 BSK BLK</v>
          </cell>
          <cell r="F818" t="str">
            <v>DG-BELT</v>
          </cell>
          <cell r="G818" t="str">
            <v>1420-210-FG</v>
          </cell>
          <cell r="H818" t="str">
            <v>R</v>
          </cell>
          <cell r="I818" t="str">
            <v>06/03/2024</v>
          </cell>
          <cell r="J818" t="str">
            <v>06/03/2024</v>
          </cell>
          <cell r="K818" t="str">
            <v>06/17/2024</v>
          </cell>
          <cell r="L818">
            <v>5</v>
          </cell>
          <cell r="M818" t="str">
            <v>6/4/2024 2:05:06 PM</v>
          </cell>
          <cell r="N818" t="str">
            <v>25</v>
          </cell>
          <cell r="O818">
            <v>5</v>
          </cell>
          <cell r="P818">
            <v>2.67</v>
          </cell>
        </row>
        <row r="819">
          <cell r="A819" t="str">
            <v>6726774</v>
          </cell>
          <cell r="B819" t="str">
            <v>1103560</v>
          </cell>
          <cell r="C819" t="str">
            <v>94-52-2</v>
          </cell>
          <cell r="D819" t="str">
            <v>94</v>
          </cell>
          <cell r="E819" t="str">
            <v>94 SZ52 PLN BLK</v>
          </cell>
          <cell r="F819" t="str">
            <v>DG-BELT</v>
          </cell>
          <cell r="G819" t="str">
            <v>1420-210-FG</v>
          </cell>
          <cell r="H819" t="str">
            <v>R</v>
          </cell>
          <cell r="I819" t="str">
            <v>06/10/2024</v>
          </cell>
          <cell r="J819" t="str">
            <v>06/10/2024</v>
          </cell>
          <cell r="K819" t="str">
            <v>06/17/2024</v>
          </cell>
          <cell r="L819">
            <v>5</v>
          </cell>
          <cell r="M819" t="str">
            <v>6/11/2024 3:09:40 PM</v>
          </cell>
          <cell r="N819" t="str">
            <v>25</v>
          </cell>
          <cell r="O819">
            <v>5</v>
          </cell>
          <cell r="P819">
            <v>2.58</v>
          </cell>
        </row>
        <row r="820">
          <cell r="A820" t="str">
            <v>6726786</v>
          </cell>
          <cell r="B820" t="str">
            <v>1141939</v>
          </cell>
          <cell r="C820" t="str">
            <v>94-54-2</v>
          </cell>
          <cell r="D820" t="str">
            <v>94</v>
          </cell>
          <cell r="E820" t="str">
            <v>94 SZ54 PLN BLK</v>
          </cell>
          <cell r="F820" t="str">
            <v>DG-BELT</v>
          </cell>
          <cell r="G820" t="str">
            <v>1420-210-FG</v>
          </cell>
          <cell r="H820" t="str">
            <v>R</v>
          </cell>
          <cell r="I820" t="str">
            <v>06/10/2024</v>
          </cell>
          <cell r="J820" t="str">
            <v>06/10/2024</v>
          </cell>
          <cell r="K820" t="str">
            <v>06/17/2024</v>
          </cell>
          <cell r="L820">
            <v>5</v>
          </cell>
          <cell r="M820" t="str">
            <v>6/11/2024 3:09:40 PM</v>
          </cell>
          <cell r="N820" t="str">
            <v>25</v>
          </cell>
          <cell r="O820">
            <v>5</v>
          </cell>
          <cell r="P820">
            <v>2.58</v>
          </cell>
        </row>
        <row r="821">
          <cell r="A821" t="str">
            <v>6726788</v>
          </cell>
          <cell r="B821" t="str">
            <v>1169708</v>
          </cell>
          <cell r="C821" t="str">
            <v>94B-3-22</v>
          </cell>
          <cell r="D821" t="str">
            <v>94B</v>
          </cell>
          <cell r="E821" t="str">
            <v>94B SZ LG NYLLK BLK</v>
          </cell>
          <cell r="F821" t="str">
            <v>DG-BELT</v>
          </cell>
          <cell r="G821" t="str">
            <v>1420-210-FG</v>
          </cell>
          <cell r="H821" t="str">
            <v>R</v>
          </cell>
          <cell r="I821" t="str">
            <v>06/10/2024</v>
          </cell>
          <cell r="J821" t="str">
            <v>06/10/2024</v>
          </cell>
          <cell r="K821" t="str">
            <v>06/17/2024</v>
          </cell>
          <cell r="L821">
            <v>10</v>
          </cell>
          <cell r="M821" t="str">
            <v>6/11/2024 3:02:21 PM</v>
          </cell>
          <cell r="N821" t="str">
            <v>25</v>
          </cell>
          <cell r="O821">
            <v>10</v>
          </cell>
          <cell r="P821">
            <v>6.01</v>
          </cell>
        </row>
        <row r="822">
          <cell r="A822" t="str">
            <v>6726789</v>
          </cell>
          <cell r="B822" t="str">
            <v>1192620</v>
          </cell>
          <cell r="C822" t="str">
            <v>94B-2-2-EB</v>
          </cell>
          <cell r="D822" t="str">
            <v>94B</v>
          </cell>
          <cell r="E822" t="str">
            <v>94B SZ MED PLN BLK</v>
          </cell>
          <cell r="F822" t="str">
            <v>DG-BELT</v>
          </cell>
          <cell r="G822" t="str">
            <v>1420-210-FG</v>
          </cell>
          <cell r="H822" t="str">
            <v>R</v>
          </cell>
          <cell r="I822" t="str">
            <v>06/10/2024</v>
          </cell>
          <cell r="J822" t="str">
            <v>06/10/2024</v>
          </cell>
          <cell r="K822" t="str">
            <v>06/17/2024</v>
          </cell>
          <cell r="L822">
            <v>10</v>
          </cell>
          <cell r="M822" t="str">
            <v>6/11/2024 3:09:40 PM</v>
          </cell>
          <cell r="N822" t="str">
            <v>25</v>
          </cell>
          <cell r="O822">
            <v>10</v>
          </cell>
          <cell r="P822">
            <v>3.26</v>
          </cell>
        </row>
        <row r="823">
          <cell r="A823" t="str">
            <v>6723270</v>
          </cell>
          <cell r="B823" t="str">
            <v>1192622</v>
          </cell>
          <cell r="C823" t="str">
            <v>94B-4-2-EB</v>
          </cell>
          <cell r="D823" t="str">
            <v>94B</v>
          </cell>
          <cell r="E823" t="str">
            <v>94B SZ XL PLN BLK</v>
          </cell>
          <cell r="F823" t="str">
            <v>DG-BELT</v>
          </cell>
          <cell r="G823" t="str">
            <v>1420-210-FG</v>
          </cell>
          <cell r="H823" t="str">
            <v>R</v>
          </cell>
          <cell r="I823" t="str">
            <v>06/03/2024</v>
          </cell>
          <cell r="J823" t="str">
            <v>06/03/2024</v>
          </cell>
          <cell r="K823" t="str">
            <v>06/17/2024</v>
          </cell>
          <cell r="L823">
            <v>5</v>
          </cell>
          <cell r="M823" t="str">
            <v>6/5/2024 2:55:33 PM</v>
          </cell>
          <cell r="N823" t="str">
            <v>25</v>
          </cell>
          <cell r="O823">
            <v>5</v>
          </cell>
          <cell r="P823">
            <v>1.64</v>
          </cell>
        </row>
        <row r="824">
          <cell r="A824" t="str">
            <v>6726557</v>
          </cell>
          <cell r="B824" t="str">
            <v>1103186</v>
          </cell>
          <cell r="C824" t="str">
            <v>94P-40-4</v>
          </cell>
          <cell r="D824" t="str">
            <v>94P</v>
          </cell>
          <cell r="E824" t="str">
            <v>94P SZ40 BSK BLK</v>
          </cell>
          <cell r="F824" t="str">
            <v>DG-BELT</v>
          </cell>
          <cell r="G824" t="str">
            <v>1420-210-FG</v>
          </cell>
          <cell r="H824" t="str">
            <v>R</v>
          </cell>
          <cell r="I824" t="str">
            <v>06/10/2024</v>
          </cell>
          <cell r="J824" t="str">
            <v>06/10/2024</v>
          </cell>
          <cell r="K824" t="str">
            <v>06/17/2024</v>
          </cell>
          <cell r="L824">
            <v>13</v>
          </cell>
          <cell r="M824" t="str">
            <v>6/10/2024 9:47:33 AM</v>
          </cell>
          <cell r="N824" t="str">
            <v>25</v>
          </cell>
          <cell r="O824">
            <v>13</v>
          </cell>
          <cell r="P824">
            <v>6.31</v>
          </cell>
        </row>
        <row r="825">
          <cell r="A825" t="str">
            <v>6721566</v>
          </cell>
          <cell r="B825" t="str">
            <v>1113701</v>
          </cell>
          <cell r="C825" t="str">
            <v>4325-3-4</v>
          </cell>
          <cell r="D825" t="str">
            <v>4325</v>
          </cell>
          <cell r="E825" t="str">
            <v xml:space="preserve">BLT INR PNT REVRS VEL LRG NP </v>
          </cell>
          <cell r="F825" t="str">
            <v>DG-BELT</v>
          </cell>
          <cell r="G825" t="str">
            <v>1420-210-FG</v>
          </cell>
          <cell r="H825" t="str">
            <v>R</v>
          </cell>
          <cell r="I825" t="str">
            <v>05/28/2024</v>
          </cell>
          <cell r="J825" t="str">
            <v>06/03/2024</v>
          </cell>
          <cell r="K825" t="str">
            <v>06/17/2024</v>
          </cell>
          <cell r="L825">
            <v>5</v>
          </cell>
          <cell r="M825" t="str">
            <v>5/28/2024 10:51:05 AM</v>
          </cell>
          <cell r="N825" t="str">
            <v>25</v>
          </cell>
          <cell r="O825">
            <v>5</v>
          </cell>
          <cell r="P825">
            <v>1.33</v>
          </cell>
        </row>
        <row r="826">
          <cell r="A826" t="str">
            <v>6727259</v>
          </cell>
          <cell r="B826" t="str">
            <v>1103469</v>
          </cell>
          <cell r="C826" t="str">
            <v>J-S5</v>
          </cell>
          <cell r="D826" t="str">
            <v>J</v>
          </cell>
          <cell r="E826" t="str">
            <v>COMP I SPEEDLOADER</v>
          </cell>
          <cell r="F826" t="str">
            <v>DG-MISC</v>
          </cell>
          <cell r="G826" t="str">
            <v>1420-210-FG</v>
          </cell>
          <cell r="H826" t="str">
            <v>F</v>
          </cell>
          <cell r="I826" t="str">
            <v>06/10/2024</v>
          </cell>
          <cell r="J826" t="str">
            <v>06/10/2024</v>
          </cell>
          <cell r="K826" t="str">
            <v>06/17/2024</v>
          </cell>
          <cell r="L826">
            <v>40</v>
          </cell>
          <cell r="M826" t="str">
            <v/>
          </cell>
          <cell r="N826" t="str">
            <v>25</v>
          </cell>
          <cell r="O826">
            <v>40</v>
          </cell>
          <cell r="P826">
            <v>0.67</v>
          </cell>
        </row>
        <row r="827">
          <cell r="A827" t="str">
            <v>6726701</v>
          </cell>
          <cell r="B827" t="str">
            <v>1018117</v>
          </cell>
          <cell r="C827" t="str">
            <v>24034</v>
          </cell>
          <cell r="D827" t="str">
            <v>7911</v>
          </cell>
          <cell r="E827" t="str">
            <v>COVERED COMPACT LIGHT HOLDER BSK BLK SZ4</v>
          </cell>
          <cell r="F827" t="str">
            <v>BN-POUCH</v>
          </cell>
          <cell r="G827" t="str">
            <v>1420-210-FG</v>
          </cell>
          <cell r="H827" t="str">
            <v>R</v>
          </cell>
          <cell r="I827" t="str">
            <v>06/10/2024</v>
          </cell>
          <cell r="J827" t="str">
            <v>06/10/2024</v>
          </cell>
          <cell r="K827" t="str">
            <v>06/17/2024</v>
          </cell>
          <cell r="L827">
            <v>10</v>
          </cell>
          <cell r="M827" t="str">
            <v>6/11/2024 2:58:28 PM</v>
          </cell>
          <cell r="N827" t="str">
            <v>25</v>
          </cell>
          <cell r="O827">
            <v>10</v>
          </cell>
          <cell r="P827">
            <v>1.41</v>
          </cell>
        </row>
        <row r="828">
          <cell r="A828" t="str">
            <v>6726794</v>
          </cell>
          <cell r="B828" t="str">
            <v>1099326</v>
          </cell>
          <cell r="C828" t="str">
            <v>3004-1</v>
          </cell>
          <cell r="D828" t="str">
            <v>3004</v>
          </cell>
          <cell r="E828" t="str">
            <v>DBL ACCSY LEG STRAP</v>
          </cell>
          <cell r="F828" t="str">
            <v>DG-HARNESS-DTC</v>
          </cell>
          <cell r="G828" t="str">
            <v>1420-210-FG</v>
          </cell>
          <cell r="H828" t="str">
            <v>F</v>
          </cell>
          <cell r="I828" t="str">
            <v>06/10/2024</v>
          </cell>
          <cell r="J828" t="str">
            <v>06/10/2024</v>
          </cell>
          <cell r="K828" t="str">
            <v>06/17/2024</v>
          </cell>
          <cell r="L828">
            <v>100</v>
          </cell>
          <cell r="M828" t="str">
            <v/>
          </cell>
          <cell r="N828" t="str">
            <v>25</v>
          </cell>
          <cell r="O828">
            <v>100</v>
          </cell>
          <cell r="P828">
            <v>4.53</v>
          </cell>
        </row>
        <row r="829">
          <cell r="A829" t="str">
            <v>6726795</v>
          </cell>
          <cell r="B829" t="str">
            <v>1099326</v>
          </cell>
          <cell r="C829" t="str">
            <v>3004-1</v>
          </cell>
          <cell r="D829" t="str">
            <v>3004</v>
          </cell>
          <cell r="E829" t="str">
            <v>DBL ACCSY LEG STRAP</v>
          </cell>
          <cell r="F829" t="str">
            <v>DG-HARNESS-DTC</v>
          </cell>
          <cell r="G829" t="str">
            <v>1420-210-FG</v>
          </cell>
          <cell r="H829" t="str">
            <v>F</v>
          </cell>
          <cell r="I829" t="str">
            <v>06/10/2024</v>
          </cell>
          <cell r="J829" t="str">
            <v>06/10/2024</v>
          </cell>
          <cell r="K829" t="str">
            <v>06/17/2024</v>
          </cell>
          <cell r="L829">
            <v>100</v>
          </cell>
          <cell r="M829" t="str">
            <v/>
          </cell>
          <cell r="N829" t="str">
            <v>25</v>
          </cell>
          <cell r="O829">
            <v>100</v>
          </cell>
          <cell r="P829">
            <v>4.53</v>
          </cell>
        </row>
        <row r="830">
          <cell r="A830" t="str">
            <v>6726796</v>
          </cell>
          <cell r="B830" t="str">
            <v>1099326</v>
          </cell>
          <cell r="C830" t="str">
            <v>3004-1</v>
          </cell>
          <cell r="D830" t="str">
            <v>3004</v>
          </cell>
          <cell r="E830" t="str">
            <v>DBL ACCSY LEG STRAP</v>
          </cell>
          <cell r="F830" t="str">
            <v>DG-HARNESS-DTC</v>
          </cell>
          <cell r="G830" t="str">
            <v>1420-210-FG</v>
          </cell>
          <cell r="H830" t="str">
            <v>F</v>
          </cell>
          <cell r="I830" t="str">
            <v>06/10/2024</v>
          </cell>
          <cell r="J830" t="str">
            <v>06/10/2024</v>
          </cell>
          <cell r="K830" t="str">
            <v>06/17/2024</v>
          </cell>
          <cell r="L830">
            <v>100</v>
          </cell>
          <cell r="M830" t="str">
            <v/>
          </cell>
          <cell r="N830" t="str">
            <v>25</v>
          </cell>
          <cell r="O830">
            <v>100</v>
          </cell>
          <cell r="P830">
            <v>4.53</v>
          </cell>
        </row>
        <row r="831">
          <cell r="A831" t="str">
            <v>6726673</v>
          </cell>
          <cell r="B831" t="str">
            <v>1017190</v>
          </cell>
          <cell r="C831" t="str">
            <v>22051</v>
          </cell>
          <cell r="D831" t="str">
            <v>7920</v>
          </cell>
          <cell r="E831" t="str">
            <v>DEFENDER II BSK BLK LH SZ 13 GLOCK 17</v>
          </cell>
          <cell r="F831" t="str">
            <v>BN-HOLSTER</v>
          </cell>
          <cell r="G831" t="str">
            <v>1420-210-FG</v>
          </cell>
          <cell r="H831" t="str">
            <v>F</v>
          </cell>
          <cell r="I831" t="str">
            <v>06/10/2024</v>
          </cell>
          <cell r="J831" t="str">
            <v>06/10/2024</v>
          </cell>
          <cell r="K831" t="str">
            <v>06/17/2024</v>
          </cell>
          <cell r="L831">
            <v>5</v>
          </cell>
          <cell r="M831" t="str">
            <v/>
          </cell>
          <cell r="N831" t="str">
            <v>25</v>
          </cell>
          <cell r="O831">
            <v>5</v>
          </cell>
          <cell r="P831">
            <v>4.8</v>
          </cell>
        </row>
        <row r="832">
          <cell r="A832" t="str">
            <v>6726582</v>
          </cell>
          <cell r="B832" t="str">
            <v>1166708</v>
          </cell>
          <cell r="C832" t="str">
            <v>MH6005-FDE</v>
          </cell>
          <cell r="D832" t="str">
            <v>MH6005</v>
          </cell>
          <cell r="E832" t="str">
            <v>DETACHABLE HRNSS /DOUBLE ELSTIC 6005 FDE</v>
          </cell>
          <cell r="F832" t="str">
            <v>DG-HARNESS</v>
          </cell>
          <cell r="G832" t="str">
            <v>1420-210-SB</v>
          </cell>
          <cell r="H832" t="str">
            <v>R</v>
          </cell>
          <cell r="I832" t="str">
            <v>06/10/2024</v>
          </cell>
          <cell r="J832" t="str">
            <v>06/10/2024</v>
          </cell>
          <cell r="K832" t="str">
            <v>06/17/2024</v>
          </cell>
          <cell r="L832">
            <v>1</v>
          </cell>
          <cell r="M832" t="str">
            <v>6/13/2024 8:22:47 AM</v>
          </cell>
          <cell r="N832" t="str">
            <v>25</v>
          </cell>
          <cell r="O832">
            <v>1</v>
          </cell>
          <cell r="P832">
            <v>0.28999999999999998</v>
          </cell>
        </row>
        <row r="833">
          <cell r="A833" t="str">
            <v>6726579</v>
          </cell>
          <cell r="B833" t="str">
            <v>1167165</v>
          </cell>
          <cell r="C833" t="str">
            <v>MH6005-10-BLK</v>
          </cell>
          <cell r="D833" t="str">
            <v>MH6005</v>
          </cell>
          <cell r="E833" t="str">
            <v>DTCBL HRNSS /SNGL ELSTC FOR 6005-10 BKA</v>
          </cell>
          <cell r="F833" t="str">
            <v>DG-HARNESS</v>
          </cell>
          <cell r="G833" t="str">
            <v>1420-210-SB</v>
          </cell>
          <cell r="H833" t="str">
            <v>F</v>
          </cell>
          <cell r="I833" t="str">
            <v>06/10/2024</v>
          </cell>
          <cell r="J833" t="str">
            <v>06/10/2024</v>
          </cell>
          <cell r="K833" t="str">
            <v>06/17/2024</v>
          </cell>
          <cell r="L833">
            <v>116</v>
          </cell>
          <cell r="M833" t="str">
            <v/>
          </cell>
          <cell r="N833" t="str">
            <v>25</v>
          </cell>
          <cell r="O833">
            <v>116</v>
          </cell>
          <cell r="P833">
            <v>16.46</v>
          </cell>
        </row>
        <row r="834">
          <cell r="A834" t="str">
            <v>6726583</v>
          </cell>
          <cell r="B834" t="str">
            <v>1192869</v>
          </cell>
          <cell r="C834" t="str">
            <v>MH6005-10-FDE</v>
          </cell>
          <cell r="D834" t="str">
            <v>MH6005</v>
          </cell>
          <cell r="E834" t="str">
            <v>DTCBL HRNSS /SNGL ELSTC FOR 6005-10 FDE</v>
          </cell>
          <cell r="F834" t="str">
            <v>DG-HARNESS</v>
          </cell>
          <cell r="G834" t="str">
            <v>1420-210-SB</v>
          </cell>
          <cell r="H834" t="str">
            <v>F</v>
          </cell>
          <cell r="I834" t="str">
            <v>06/10/2024</v>
          </cell>
          <cell r="J834" t="str">
            <v>06/10/2024</v>
          </cell>
          <cell r="K834" t="str">
            <v>06/17/2024</v>
          </cell>
          <cell r="L834">
            <v>6</v>
          </cell>
          <cell r="M834" t="str">
            <v/>
          </cell>
          <cell r="N834" t="str">
            <v>25</v>
          </cell>
          <cell r="O834">
            <v>6</v>
          </cell>
          <cell r="P834">
            <v>0.85</v>
          </cell>
        </row>
        <row r="835">
          <cell r="A835" t="str">
            <v>6726628</v>
          </cell>
          <cell r="B835" t="str">
            <v>1017369</v>
          </cell>
          <cell r="C835" t="str">
            <v>22125</v>
          </cell>
          <cell r="D835" t="str">
            <v>7950</v>
          </cell>
          <cell r="E835" t="str">
            <v>DUTY BELT BSK BLK MED 34-40</v>
          </cell>
          <cell r="F835" t="str">
            <v>BN-BELT</v>
          </cell>
          <cell r="G835" t="str">
            <v>1420-210-FG</v>
          </cell>
          <cell r="H835" t="str">
            <v>R</v>
          </cell>
          <cell r="I835" t="str">
            <v>06/10/2024</v>
          </cell>
          <cell r="J835" t="str">
            <v>06/10/2024</v>
          </cell>
          <cell r="K835" t="str">
            <v>06/17/2024</v>
          </cell>
          <cell r="L835">
            <v>100</v>
          </cell>
          <cell r="M835" t="str">
            <v>6/11/2024 2:36:12 PM</v>
          </cell>
          <cell r="N835" t="str">
            <v>25</v>
          </cell>
          <cell r="O835">
            <v>100</v>
          </cell>
          <cell r="P835">
            <v>15.13</v>
          </cell>
        </row>
        <row r="836">
          <cell r="A836" t="str">
            <v>6726629</v>
          </cell>
          <cell r="B836" t="str">
            <v>1017369</v>
          </cell>
          <cell r="C836" t="str">
            <v>22125</v>
          </cell>
          <cell r="D836" t="str">
            <v>7950</v>
          </cell>
          <cell r="E836" t="str">
            <v>DUTY BELT BSK BLK MED 34-40</v>
          </cell>
          <cell r="F836" t="str">
            <v>BN-BELT</v>
          </cell>
          <cell r="G836" t="str">
            <v>1420-210-FG</v>
          </cell>
          <cell r="H836" t="str">
            <v>R</v>
          </cell>
          <cell r="I836" t="str">
            <v>06/10/2024</v>
          </cell>
          <cell r="J836" t="str">
            <v>06/10/2024</v>
          </cell>
          <cell r="K836" t="str">
            <v>06/17/2024</v>
          </cell>
          <cell r="L836">
            <v>100</v>
          </cell>
          <cell r="M836" t="str">
            <v>6/11/2024 2:36:12 PM</v>
          </cell>
          <cell r="N836" t="str">
            <v>25</v>
          </cell>
          <cell r="O836">
            <v>100</v>
          </cell>
          <cell r="P836">
            <v>15.13</v>
          </cell>
        </row>
        <row r="837">
          <cell r="A837" t="str">
            <v>6726625</v>
          </cell>
          <cell r="B837" t="str">
            <v>1017367</v>
          </cell>
          <cell r="C837" t="str">
            <v>22123</v>
          </cell>
          <cell r="D837" t="str">
            <v>7950</v>
          </cell>
          <cell r="E837" t="str">
            <v>DUTY BELT BSK BLK SML 28-34</v>
          </cell>
          <cell r="F837" t="str">
            <v>BN-BELT</v>
          </cell>
          <cell r="G837" t="str">
            <v>1420-210-FG</v>
          </cell>
          <cell r="H837" t="str">
            <v>R</v>
          </cell>
          <cell r="I837" t="str">
            <v>06/10/2024</v>
          </cell>
          <cell r="J837" t="str">
            <v>06/10/2024</v>
          </cell>
          <cell r="K837" t="str">
            <v>06/17/2024</v>
          </cell>
          <cell r="L837">
            <v>100</v>
          </cell>
          <cell r="M837" t="str">
            <v>6/11/2024 2:36:12 PM</v>
          </cell>
          <cell r="N837" t="str">
            <v>25</v>
          </cell>
          <cell r="O837">
            <v>100</v>
          </cell>
          <cell r="P837">
            <v>15.13</v>
          </cell>
        </row>
        <row r="838">
          <cell r="A838" t="str">
            <v>6726668</v>
          </cell>
          <cell r="B838" t="str">
            <v>1017703</v>
          </cell>
          <cell r="C838" t="str">
            <v>22833</v>
          </cell>
          <cell r="D838" t="str">
            <v>7950</v>
          </cell>
          <cell r="E838" t="str">
            <v>DUTY BELT BSK BLK XXLG 52-58</v>
          </cell>
          <cell r="F838" t="str">
            <v>BN-BELT</v>
          </cell>
          <cell r="G838" t="str">
            <v>1420-210-FG</v>
          </cell>
          <cell r="H838" t="str">
            <v>R</v>
          </cell>
          <cell r="I838" t="str">
            <v>06/10/2024</v>
          </cell>
          <cell r="J838" t="str">
            <v>06/10/2024</v>
          </cell>
          <cell r="K838" t="str">
            <v>06/17/2024</v>
          </cell>
          <cell r="L838">
            <v>16</v>
          </cell>
          <cell r="M838" t="str">
            <v>6/11/2024 2:36:12 PM</v>
          </cell>
          <cell r="N838" t="str">
            <v>25</v>
          </cell>
          <cell r="O838">
            <v>16</v>
          </cell>
          <cell r="P838">
            <v>2.42</v>
          </cell>
        </row>
        <row r="839">
          <cell r="A839" t="str">
            <v>6721565</v>
          </cell>
          <cell r="B839" t="str">
            <v>1110904</v>
          </cell>
          <cell r="C839" t="str">
            <v>992-2-2</v>
          </cell>
          <cell r="D839" t="str">
            <v>992</v>
          </cell>
          <cell r="E839" t="str">
            <v>DUTY BELT BUCKLELESS RVRSBL</v>
          </cell>
          <cell r="F839" t="str">
            <v>DG-BELT</v>
          </cell>
          <cell r="G839" t="str">
            <v>1420-210-FG</v>
          </cell>
          <cell r="H839" t="str">
            <v>R</v>
          </cell>
          <cell r="I839" t="str">
            <v>05/28/2024</v>
          </cell>
          <cell r="J839" t="str">
            <v>06/03/2024</v>
          </cell>
          <cell r="K839" t="str">
            <v>06/17/2024</v>
          </cell>
          <cell r="L839">
            <v>10</v>
          </cell>
          <cell r="M839" t="str">
            <v>5/28/2024 10:51:05 AM</v>
          </cell>
          <cell r="N839" t="str">
            <v>25</v>
          </cell>
          <cell r="O839">
            <v>10</v>
          </cell>
          <cell r="P839">
            <v>2.92</v>
          </cell>
        </row>
        <row r="840">
          <cell r="A840" t="str">
            <v>6726775</v>
          </cell>
          <cell r="B840" t="str">
            <v>1111007</v>
          </cell>
          <cell r="C840" t="str">
            <v>992-3-2</v>
          </cell>
          <cell r="D840" t="str">
            <v>992</v>
          </cell>
          <cell r="E840" t="str">
            <v>DUTY BELT BUCKLELESS RVRSBL</v>
          </cell>
          <cell r="F840" t="str">
            <v>DG-BELT</v>
          </cell>
          <cell r="G840" t="str">
            <v>1420-210-FG</v>
          </cell>
          <cell r="H840" t="str">
            <v>R</v>
          </cell>
          <cell r="I840" t="str">
            <v>06/10/2024</v>
          </cell>
          <cell r="J840" t="str">
            <v>06/10/2024</v>
          </cell>
          <cell r="K840" t="str">
            <v>06/17/2024</v>
          </cell>
          <cell r="L840">
            <v>5</v>
          </cell>
          <cell r="M840" t="str">
            <v>6/11/2024 3:09:40 PM</v>
          </cell>
          <cell r="N840" t="str">
            <v>25</v>
          </cell>
          <cell r="O840">
            <v>5</v>
          </cell>
          <cell r="P840">
            <v>1.47</v>
          </cell>
        </row>
        <row r="841">
          <cell r="A841" t="str">
            <v>6726631</v>
          </cell>
          <cell r="B841" t="str">
            <v>1017370</v>
          </cell>
          <cell r="C841" t="str">
            <v>22126</v>
          </cell>
          <cell r="D841" t="str">
            <v>7950</v>
          </cell>
          <cell r="E841" t="str">
            <v>DUTY BELT PLN BLK LRG 40-46</v>
          </cell>
          <cell r="F841" t="str">
            <v>BN-BELT</v>
          </cell>
          <cell r="G841" t="str">
            <v>1420-210-FG</v>
          </cell>
          <cell r="H841" t="str">
            <v>R</v>
          </cell>
          <cell r="I841" t="str">
            <v>06/10/2024</v>
          </cell>
          <cell r="J841" t="str">
            <v>06/10/2024</v>
          </cell>
          <cell r="K841" t="str">
            <v>06/17/2024</v>
          </cell>
          <cell r="L841">
            <v>100</v>
          </cell>
          <cell r="M841" t="str">
            <v>6/11/2024 2:36:12 PM</v>
          </cell>
          <cell r="N841" t="str">
            <v>25</v>
          </cell>
          <cell r="O841">
            <v>100</v>
          </cell>
          <cell r="P841">
            <v>15.13</v>
          </cell>
        </row>
        <row r="842">
          <cell r="A842" t="str">
            <v>6726666</v>
          </cell>
          <cell r="B842" t="str">
            <v>1017608</v>
          </cell>
          <cell r="C842" t="str">
            <v>23387</v>
          </cell>
          <cell r="D842" t="str">
            <v>7980</v>
          </cell>
          <cell r="E842" t="str">
            <v>DUTY BELT PLN BLK LRG 40-46</v>
          </cell>
          <cell r="F842" t="str">
            <v>BN-BELT</v>
          </cell>
          <cell r="G842" t="str">
            <v>1420-210-FG</v>
          </cell>
          <cell r="H842" t="str">
            <v>F</v>
          </cell>
          <cell r="I842" t="str">
            <v>06/10/2024</v>
          </cell>
          <cell r="J842" t="str">
            <v>06/10/2024</v>
          </cell>
          <cell r="K842" t="str">
            <v>06/17/2024</v>
          </cell>
          <cell r="L842">
            <v>5</v>
          </cell>
          <cell r="M842" t="str">
            <v/>
          </cell>
          <cell r="N842" t="str">
            <v>25</v>
          </cell>
          <cell r="O842">
            <v>5</v>
          </cell>
          <cell r="P842">
            <v>0.76</v>
          </cell>
        </row>
        <row r="843">
          <cell r="A843" t="str">
            <v>6726627</v>
          </cell>
          <cell r="B843" t="str">
            <v>1017368</v>
          </cell>
          <cell r="C843" t="str">
            <v>22124</v>
          </cell>
          <cell r="D843" t="str">
            <v>7950</v>
          </cell>
          <cell r="E843" t="str">
            <v>DUTY BELT PLN BLK MED 34-40</v>
          </cell>
          <cell r="F843" t="str">
            <v>BN-BELT</v>
          </cell>
          <cell r="G843" t="str">
            <v>1420-210-FG</v>
          </cell>
          <cell r="H843" t="str">
            <v>R</v>
          </cell>
          <cell r="I843" t="str">
            <v>06/10/2024</v>
          </cell>
          <cell r="J843" t="str">
            <v>06/10/2024</v>
          </cell>
          <cell r="K843" t="str">
            <v>06/17/2024</v>
          </cell>
          <cell r="L843">
            <v>100</v>
          </cell>
          <cell r="M843" t="str">
            <v>6/11/2024 2:36:12 PM</v>
          </cell>
          <cell r="N843" t="str">
            <v>25</v>
          </cell>
          <cell r="O843">
            <v>100</v>
          </cell>
          <cell r="P843">
            <v>15.13</v>
          </cell>
        </row>
        <row r="844">
          <cell r="A844" t="str">
            <v>6726634</v>
          </cell>
          <cell r="B844" t="str">
            <v>1017606</v>
          </cell>
          <cell r="C844" t="str">
            <v>23385</v>
          </cell>
          <cell r="D844" t="str">
            <v>7980</v>
          </cell>
          <cell r="E844" t="str">
            <v>DUTY BELT PLN BLK SML 28-34</v>
          </cell>
          <cell r="F844" t="str">
            <v>BN-BELT</v>
          </cell>
          <cell r="G844" t="str">
            <v>1420-210-FG</v>
          </cell>
          <cell r="H844" t="str">
            <v>R</v>
          </cell>
          <cell r="I844" t="str">
            <v>06/10/2024</v>
          </cell>
          <cell r="J844" t="str">
            <v>06/10/2024</v>
          </cell>
          <cell r="K844" t="str">
            <v>06/17/2024</v>
          </cell>
          <cell r="L844">
            <v>25</v>
          </cell>
          <cell r="M844" t="str">
            <v>6/11/2024 2:36:12 PM</v>
          </cell>
          <cell r="N844" t="str">
            <v>25</v>
          </cell>
          <cell r="O844">
            <v>25</v>
          </cell>
          <cell r="P844">
            <v>3.78</v>
          </cell>
        </row>
        <row r="845">
          <cell r="A845" t="str">
            <v>6721511</v>
          </cell>
          <cell r="B845" t="str">
            <v>1103310</v>
          </cell>
          <cell r="C845" t="str">
            <v>99-1-4</v>
          </cell>
          <cell r="D845" t="str">
            <v>99</v>
          </cell>
          <cell r="E845" t="str">
            <v>DUTY BELTBUCKLELESS</v>
          </cell>
          <cell r="F845" t="str">
            <v>DG-BELT</v>
          </cell>
          <cell r="G845" t="str">
            <v>1420-210-FG</v>
          </cell>
          <cell r="H845" t="str">
            <v>R</v>
          </cell>
          <cell r="I845" t="str">
            <v>05/28/2024</v>
          </cell>
          <cell r="J845" t="str">
            <v>06/03/2024</v>
          </cell>
          <cell r="K845" t="str">
            <v>06/17/2024</v>
          </cell>
          <cell r="L845">
            <v>40</v>
          </cell>
          <cell r="M845" t="str">
            <v>5/28/2024 10:51:05 AM</v>
          </cell>
          <cell r="N845" t="str">
            <v>25</v>
          </cell>
          <cell r="O845">
            <v>40</v>
          </cell>
          <cell r="P845">
            <v>13.06</v>
          </cell>
        </row>
        <row r="846">
          <cell r="A846" t="str">
            <v>6726709</v>
          </cell>
          <cell r="B846" t="str">
            <v>1103314</v>
          </cell>
          <cell r="C846" t="str">
            <v>99-2-2</v>
          </cell>
          <cell r="D846" t="str">
            <v>99</v>
          </cell>
          <cell r="E846" t="str">
            <v>DUTY BELTBUCKLELESS</v>
          </cell>
          <cell r="F846" t="str">
            <v>DG-BELT</v>
          </cell>
          <cell r="G846" t="str">
            <v>1420-210-FG</v>
          </cell>
          <cell r="H846" t="str">
            <v>R</v>
          </cell>
          <cell r="I846" t="str">
            <v>06/10/2024</v>
          </cell>
          <cell r="J846" t="str">
            <v>06/10/2024</v>
          </cell>
          <cell r="K846" t="str">
            <v>06/17/2024</v>
          </cell>
          <cell r="L846">
            <v>100</v>
          </cell>
          <cell r="M846" t="str">
            <v>6/11/2024 3:09:40 PM</v>
          </cell>
          <cell r="N846" t="str">
            <v>25</v>
          </cell>
          <cell r="O846">
            <v>100</v>
          </cell>
          <cell r="P846">
            <v>29.13</v>
          </cell>
        </row>
        <row r="847">
          <cell r="A847" t="str">
            <v>6721516</v>
          </cell>
          <cell r="B847" t="str">
            <v>1103362</v>
          </cell>
          <cell r="C847" t="str">
            <v>99-4-4</v>
          </cell>
          <cell r="D847" t="str">
            <v>99</v>
          </cell>
          <cell r="E847" t="str">
            <v>DUTY BELTBUCKLELESS</v>
          </cell>
          <cell r="F847" t="str">
            <v>DG-BELT</v>
          </cell>
          <cell r="G847" t="str">
            <v>1420-210-FG</v>
          </cell>
          <cell r="H847" t="str">
            <v>R</v>
          </cell>
          <cell r="I847" t="str">
            <v>05/28/2024</v>
          </cell>
          <cell r="J847" t="str">
            <v>06/03/2024</v>
          </cell>
          <cell r="K847" t="str">
            <v>06/17/2024</v>
          </cell>
          <cell r="L847">
            <v>40</v>
          </cell>
          <cell r="M847" t="str">
            <v>5/28/2024 10:51:05 AM</v>
          </cell>
          <cell r="N847" t="str">
            <v>25</v>
          </cell>
          <cell r="O847">
            <v>40</v>
          </cell>
          <cell r="P847">
            <v>13.06</v>
          </cell>
        </row>
        <row r="848">
          <cell r="A848" t="str">
            <v>6726135</v>
          </cell>
          <cell r="B848" t="str">
            <v>1100877</v>
          </cell>
          <cell r="C848" t="str">
            <v>730-4</v>
          </cell>
          <cell r="D848" t="str">
            <v>730</v>
          </cell>
          <cell r="E848" t="str">
            <v>FLSHLIGHT CARRIERHVY DTY</v>
          </cell>
          <cell r="F848" t="str">
            <v>DG-KEEPER</v>
          </cell>
          <cell r="G848" t="str">
            <v>1420-210-FG</v>
          </cell>
          <cell r="H848" t="str">
            <v>R</v>
          </cell>
          <cell r="I848" t="str">
            <v>06/07/2024</v>
          </cell>
          <cell r="J848" t="str">
            <v>06/07/2024</v>
          </cell>
          <cell r="K848" t="str">
            <v>06/17/2024</v>
          </cell>
          <cell r="L848">
            <v>15</v>
          </cell>
          <cell r="M848" t="str">
            <v>6/7/2024 11:32:48 AM</v>
          </cell>
          <cell r="N848" t="str">
            <v>25</v>
          </cell>
          <cell r="O848">
            <v>15</v>
          </cell>
          <cell r="P848">
            <v>1.36</v>
          </cell>
        </row>
        <row r="849">
          <cell r="A849" t="str">
            <v>6721564</v>
          </cell>
          <cell r="B849" t="str">
            <v>1103528</v>
          </cell>
          <cell r="C849" t="str">
            <v>999-4-2</v>
          </cell>
          <cell r="D849" t="str">
            <v>999</v>
          </cell>
          <cell r="E849" t="str">
            <v>GARRISON BELT VELCRO</v>
          </cell>
          <cell r="F849" t="str">
            <v>DG-BELT</v>
          </cell>
          <cell r="G849" t="str">
            <v>1420-210-FG</v>
          </cell>
          <cell r="H849" t="str">
            <v>R</v>
          </cell>
          <cell r="I849" t="str">
            <v>05/28/2024</v>
          </cell>
          <cell r="J849" t="str">
            <v>06/03/2024</v>
          </cell>
          <cell r="K849" t="str">
            <v>06/17/2024</v>
          </cell>
          <cell r="L849">
            <v>5</v>
          </cell>
          <cell r="M849" t="str">
            <v>5/28/2024 10:51:05 AM</v>
          </cell>
          <cell r="N849" t="str">
            <v>25</v>
          </cell>
          <cell r="O849">
            <v>5</v>
          </cell>
          <cell r="P849">
            <v>3.29</v>
          </cell>
        </row>
        <row r="850">
          <cell r="A850" t="str">
            <v>6726741</v>
          </cell>
          <cell r="B850" t="str">
            <v>1100599</v>
          </cell>
          <cell r="C850" t="str">
            <v>51-36-2</v>
          </cell>
          <cell r="D850" t="str">
            <v>51</v>
          </cell>
          <cell r="E850" t="str">
            <v>GARRISON W/SQUARE BUCKLE</v>
          </cell>
          <cell r="F850" t="str">
            <v>DG-BELT</v>
          </cell>
          <cell r="G850" t="str">
            <v>1420-210-FG</v>
          </cell>
          <cell r="H850" t="str">
            <v>R</v>
          </cell>
          <cell r="I850" t="str">
            <v>06/10/2024</v>
          </cell>
          <cell r="J850" t="str">
            <v>06/10/2024</v>
          </cell>
          <cell r="K850" t="str">
            <v>06/17/2024</v>
          </cell>
          <cell r="L850">
            <v>15</v>
          </cell>
          <cell r="M850" t="str">
            <v>6/11/2024 3:09:40 PM</v>
          </cell>
          <cell r="N850" t="str">
            <v>25</v>
          </cell>
          <cell r="O850">
            <v>15</v>
          </cell>
          <cell r="P850">
            <v>4.91</v>
          </cell>
        </row>
        <row r="851">
          <cell r="A851" t="str">
            <v>6726737</v>
          </cell>
          <cell r="B851" t="str">
            <v>1100506</v>
          </cell>
          <cell r="C851" t="str">
            <v>51-38-2B</v>
          </cell>
          <cell r="D851" t="str">
            <v>51</v>
          </cell>
          <cell r="E851" t="str">
            <v>GARRISON W/SQUARE BUCKLE</v>
          </cell>
          <cell r="F851" t="str">
            <v>DG-BELT</v>
          </cell>
          <cell r="G851" t="str">
            <v>1420-210-FG</v>
          </cell>
          <cell r="H851" t="str">
            <v>R</v>
          </cell>
          <cell r="I851" t="str">
            <v>06/10/2024</v>
          </cell>
          <cell r="J851" t="str">
            <v>06/10/2024</v>
          </cell>
          <cell r="K851" t="str">
            <v>06/17/2024</v>
          </cell>
          <cell r="L851">
            <v>5</v>
          </cell>
          <cell r="M851" t="str">
            <v>6/11/2024 3:09:40 PM</v>
          </cell>
          <cell r="N851" t="str">
            <v>25</v>
          </cell>
          <cell r="O851">
            <v>5</v>
          </cell>
          <cell r="P851">
            <v>1.65</v>
          </cell>
        </row>
        <row r="852">
          <cell r="A852" t="str">
            <v>6726739</v>
          </cell>
          <cell r="B852" t="str">
            <v>1100517</v>
          </cell>
          <cell r="C852" t="str">
            <v>51-40-4</v>
          </cell>
          <cell r="D852" t="str">
            <v>51</v>
          </cell>
          <cell r="E852" t="str">
            <v>GARRISON W/SQUARE BUCKLE</v>
          </cell>
          <cell r="F852" t="str">
            <v>DG-BELT</v>
          </cell>
          <cell r="G852" t="str">
            <v>1420-210-FG</v>
          </cell>
          <cell r="H852" t="str">
            <v>R</v>
          </cell>
          <cell r="I852" t="str">
            <v>06/10/2024</v>
          </cell>
          <cell r="J852" t="str">
            <v>06/10/2024</v>
          </cell>
          <cell r="K852" t="str">
            <v>06/17/2024</v>
          </cell>
          <cell r="L852">
            <v>5</v>
          </cell>
          <cell r="M852" t="str">
            <v>6/11/2024 3:09:40 PM</v>
          </cell>
          <cell r="N852" t="str">
            <v>25</v>
          </cell>
          <cell r="O852">
            <v>5</v>
          </cell>
          <cell r="P852">
            <v>1.83</v>
          </cell>
        </row>
        <row r="853">
          <cell r="A853" t="str">
            <v>6726587</v>
          </cell>
          <cell r="B853" t="str">
            <v>1183295</v>
          </cell>
          <cell r="C853" t="str">
            <v>MH6004-8-BLK</v>
          </cell>
          <cell r="D853" t="str">
            <v>MH6004</v>
          </cell>
          <cell r="E853" t="str">
            <v>H6004-8 HARNESS BLK</v>
          </cell>
          <cell r="F853" t="str">
            <v>DG-POUCH-F2-F3</v>
          </cell>
          <cell r="G853" t="str">
            <v>1420-210-SB</v>
          </cell>
          <cell r="H853" t="str">
            <v>R</v>
          </cell>
          <cell r="I853" t="str">
            <v>06/10/2024</v>
          </cell>
          <cell r="J853" t="str">
            <v>06/10/2024</v>
          </cell>
          <cell r="K853" t="str">
            <v>06/17/2024</v>
          </cell>
          <cell r="L853">
            <v>50</v>
          </cell>
          <cell r="M853" t="str">
            <v>6/11/2024 10:03:20 AM</v>
          </cell>
          <cell r="N853" t="str">
            <v>25</v>
          </cell>
          <cell r="O853">
            <v>50</v>
          </cell>
          <cell r="P853">
            <v>1.97</v>
          </cell>
        </row>
        <row r="854">
          <cell r="A854" t="str">
            <v>6726588</v>
          </cell>
          <cell r="B854" t="str">
            <v>1183295</v>
          </cell>
          <cell r="C854" t="str">
            <v>MH6004-8-BLK</v>
          </cell>
          <cell r="D854" t="str">
            <v>MH6004</v>
          </cell>
          <cell r="E854" t="str">
            <v>H6004-8 HARNESS BLK</v>
          </cell>
          <cell r="F854" t="str">
            <v>DG-POUCH-F2-F3</v>
          </cell>
          <cell r="G854" t="str">
            <v>1420-210-SB</v>
          </cell>
          <cell r="H854" t="str">
            <v>R</v>
          </cell>
          <cell r="I854" t="str">
            <v>06/10/2024</v>
          </cell>
          <cell r="J854" t="str">
            <v>06/10/2024</v>
          </cell>
          <cell r="K854" t="str">
            <v>06/17/2024</v>
          </cell>
          <cell r="L854">
            <v>50</v>
          </cell>
          <cell r="M854" t="str">
            <v>6/11/2024 10:03:20 AM</v>
          </cell>
          <cell r="N854" t="str">
            <v>25</v>
          </cell>
          <cell r="O854">
            <v>50</v>
          </cell>
          <cell r="P854">
            <v>1.97</v>
          </cell>
        </row>
        <row r="855">
          <cell r="A855" t="str">
            <v>6726159</v>
          </cell>
          <cell r="B855" t="str">
            <v>1122359</v>
          </cell>
          <cell r="C855" t="str">
            <v>308-4-2</v>
          </cell>
          <cell r="D855" t="str">
            <v>308</v>
          </cell>
          <cell r="E855" t="str">
            <v>HAND-HELD LIGHT HOLDER W/FLAP</v>
          </cell>
          <cell r="F855" t="str">
            <v>DG-POUCH-F1</v>
          </cell>
          <cell r="G855" t="str">
            <v>1420-210-FG</v>
          </cell>
          <cell r="H855" t="str">
            <v>R</v>
          </cell>
          <cell r="I855" t="str">
            <v>06/07/2024</v>
          </cell>
          <cell r="J855" t="str">
            <v>06/07/2024</v>
          </cell>
          <cell r="K855" t="str">
            <v>06/17/2024</v>
          </cell>
          <cell r="L855">
            <v>10</v>
          </cell>
          <cell r="M855" t="str">
            <v>6/7/2024 11:44:04 AM</v>
          </cell>
          <cell r="N855" t="str">
            <v>25</v>
          </cell>
          <cell r="O855">
            <v>10</v>
          </cell>
          <cell r="P855">
            <v>2.86</v>
          </cell>
        </row>
        <row r="856">
          <cell r="A856" t="str">
            <v>6726164</v>
          </cell>
          <cell r="B856" t="str">
            <v>1127173</v>
          </cell>
          <cell r="C856" t="str">
            <v>308-4-2B</v>
          </cell>
          <cell r="D856" t="str">
            <v>308</v>
          </cell>
          <cell r="E856" t="str">
            <v>HAND-HELD LIGHT HOLDER W/FLAP</v>
          </cell>
          <cell r="F856" t="str">
            <v>DG-POUCH-F1</v>
          </cell>
          <cell r="G856" t="str">
            <v>1420-210-FG</v>
          </cell>
          <cell r="H856" t="str">
            <v>R</v>
          </cell>
          <cell r="I856" t="str">
            <v>06/07/2024</v>
          </cell>
          <cell r="J856" t="str">
            <v>06/07/2024</v>
          </cell>
          <cell r="K856" t="str">
            <v>06/17/2024</v>
          </cell>
          <cell r="L856">
            <v>8</v>
          </cell>
          <cell r="M856" t="str">
            <v>6/7/2024 11:44:04 AM</v>
          </cell>
          <cell r="N856" t="str">
            <v>25</v>
          </cell>
          <cell r="O856">
            <v>8</v>
          </cell>
          <cell r="P856">
            <v>2.2999999999999998</v>
          </cell>
        </row>
        <row r="857">
          <cell r="A857" t="str">
            <v>6726136</v>
          </cell>
          <cell r="B857" t="str">
            <v>1124212</v>
          </cell>
          <cell r="C857" t="str">
            <v>190-2-2B</v>
          </cell>
          <cell r="D857" t="str">
            <v>190</v>
          </cell>
          <cell r="E857" t="str">
            <v>HANDCUFF POUCH TOP FLAP</v>
          </cell>
          <cell r="F857" t="str">
            <v>DG-POUCH-F1</v>
          </cell>
          <cell r="G857" t="str">
            <v>1420-210-FG</v>
          </cell>
          <cell r="H857" t="str">
            <v>R</v>
          </cell>
          <cell r="I857" t="str">
            <v>06/07/2024</v>
          </cell>
          <cell r="J857" t="str">
            <v>06/07/2024</v>
          </cell>
          <cell r="K857" t="str">
            <v>06/17/2024</v>
          </cell>
          <cell r="L857">
            <v>1</v>
          </cell>
          <cell r="M857" t="str">
            <v>6/7/2024 11:44:04 AM</v>
          </cell>
          <cell r="N857" t="str">
            <v>25</v>
          </cell>
          <cell r="O857">
            <v>1</v>
          </cell>
          <cell r="P857">
            <v>0.37</v>
          </cell>
        </row>
        <row r="858">
          <cell r="A858" t="str">
            <v>6726146</v>
          </cell>
          <cell r="B858" t="str">
            <v>1097038</v>
          </cell>
          <cell r="C858" t="str">
            <v>190H-2HS</v>
          </cell>
          <cell r="D858" t="str">
            <v>190H</v>
          </cell>
          <cell r="E858" t="str">
            <v>HANDCUFF POUCH TOP FLAP</v>
          </cell>
          <cell r="F858" t="str">
            <v>DG-POUCH-F1</v>
          </cell>
          <cell r="G858" t="str">
            <v>1420-210-FG</v>
          </cell>
          <cell r="H858" t="str">
            <v>R</v>
          </cell>
          <cell r="I858" t="str">
            <v>06/07/2024</v>
          </cell>
          <cell r="J858" t="str">
            <v>06/07/2024</v>
          </cell>
          <cell r="K858" t="str">
            <v>06/17/2024</v>
          </cell>
          <cell r="L858">
            <v>3</v>
          </cell>
          <cell r="M858" t="str">
            <v>6/7/2024 11:44:04 AM</v>
          </cell>
          <cell r="N858" t="str">
            <v>25</v>
          </cell>
          <cell r="O858">
            <v>3</v>
          </cell>
          <cell r="P858">
            <v>1.1599999999999999</v>
          </cell>
        </row>
        <row r="859">
          <cell r="A859" t="str">
            <v>6726155</v>
          </cell>
          <cell r="B859" t="str">
            <v>1103203</v>
          </cell>
          <cell r="C859" t="str">
            <v>90-9HS</v>
          </cell>
          <cell r="D859" t="str">
            <v>90</v>
          </cell>
          <cell r="E859" t="str">
            <v>HANDCUFF POUCHTOP FLAP</v>
          </cell>
          <cell r="F859" t="str">
            <v>DG-POUCH-F1</v>
          </cell>
          <cell r="G859" t="str">
            <v>1420-210-FG</v>
          </cell>
          <cell r="H859" t="str">
            <v>R</v>
          </cell>
          <cell r="I859" t="str">
            <v>06/07/2024</v>
          </cell>
          <cell r="J859" t="str">
            <v>06/07/2024</v>
          </cell>
          <cell r="K859" t="str">
            <v>06/17/2024</v>
          </cell>
          <cell r="L859">
            <v>30</v>
          </cell>
          <cell r="M859" t="str">
            <v>6/7/2024 11:44:04 AM</v>
          </cell>
          <cell r="N859" t="str">
            <v>25</v>
          </cell>
          <cell r="O859">
            <v>30</v>
          </cell>
          <cell r="P859">
            <v>10.61</v>
          </cell>
        </row>
        <row r="860">
          <cell r="A860" t="str">
            <v>6723939</v>
          </cell>
          <cell r="B860" t="str">
            <v>1103209</v>
          </cell>
          <cell r="C860" t="str">
            <v>90H-2</v>
          </cell>
          <cell r="D860" t="str">
            <v>90H</v>
          </cell>
          <cell r="E860" t="str">
            <v>HANDCUFF POUCHTOP FLAP</v>
          </cell>
          <cell r="F860" t="str">
            <v>DG-POUCH-F1</v>
          </cell>
          <cell r="G860" t="str">
            <v>1420-210-FG</v>
          </cell>
          <cell r="H860" t="str">
            <v>R</v>
          </cell>
          <cell r="I860" t="str">
            <v>06/03/2024</v>
          </cell>
          <cell r="J860" t="str">
            <v>06/03/2024</v>
          </cell>
          <cell r="K860" t="str">
            <v>06/17/2024</v>
          </cell>
          <cell r="L860">
            <v>20</v>
          </cell>
          <cell r="M860" t="str">
            <v>6/3/2024 3:41:13 PM</v>
          </cell>
          <cell r="N860" t="str">
            <v>25</v>
          </cell>
          <cell r="O860">
            <v>20</v>
          </cell>
          <cell r="P860">
            <v>6.43</v>
          </cell>
        </row>
        <row r="861">
          <cell r="A861" t="str">
            <v>6724420</v>
          </cell>
          <cell r="B861" t="str">
            <v>1103279</v>
          </cell>
          <cell r="C861" t="str">
            <v>90H-4HS</v>
          </cell>
          <cell r="D861" t="str">
            <v>90H</v>
          </cell>
          <cell r="E861" t="str">
            <v>HANDCUFF POUCHTOP FLAP</v>
          </cell>
          <cell r="F861" t="str">
            <v>DG-POUCH-F1</v>
          </cell>
          <cell r="G861" t="str">
            <v>1420-210-FG</v>
          </cell>
          <cell r="H861" t="str">
            <v>R</v>
          </cell>
          <cell r="I861" t="str">
            <v>06/04/2024</v>
          </cell>
          <cell r="J861" t="str">
            <v>06/04/2024</v>
          </cell>
          <cell r="K861" t="str">
            <v>06/17/2024</v>
          </cell>
          <cell r="L861">
            <v>50</v>
          </cell>
          <cell r="M861" t="str">
            <v>6/4/2024 2:10:53 PM</v>
          </cell>
          <cell r="N861" t="str">
            <v>25</v>
          </cell>
          <cell r="O861">
            <v>50</v>
          </cell>
          <cell r="P861">
            <v>18.010000000000002</v>
          </cell>
        </row>
        <row r="862">
          <cell r="A862" t="str">
            <v>6726585</v>
          </cell>
          <cell r="B862" t="str">
            <v>1167164</v>
          </cell>
          <cell r="C862" t="str">
            <v>MH6004-10-BLK</v>
          </cell>
          <cell r="D862" t="str">
            <v>MH6004</v>
          </cell>
          <cell r="E862" t="str">
            <v>HARNESS W/SINGLE ELASTIC FOR 6004-10 BKA</v>
          </cell>
          <cell r="F862" t="str">
            <v>DG-HARNESS-DTC</v>
          </cell>
          <cell r="G862" t="str">
            <v>1420-210-SB</v>
          </cell>
          <cell r="H862" t="str">
            <v>R</v>
          </cell>
          <cell r="I862" t="str">
            <v>06/10/2024</v>
          </cell>
          <cell r="J862" t="str">
            <v>06/10/2024</v>
          </cell>
          <cell r="K862" t="str">
            <v>06/17/2024</v>
          </cell>
          <cell r="L862">
            <v>2</v>
          </cell>
          <cell r="M862" t="str">
            <v>6/13/2024 8:22:47 AM</v>
          </cell>
          <cell r="N862" t="str">
            <v>25</v>
          </cell>
          <cell r="O862">
            <v>2</v>
          </cell>
          <cell r="P862">
            <v>0.5</v>
          </cell>
        </row>
        <row r="863">
          <cell r="A863" t="str">
            <v>6726961</v>
          </cell>
          <cell r="B863" t="str">
            <v>1336310</v>
          </cell>
          <cell r="C863" t="str">
            <v>INCOG-0-179-A-0-CX2-61</v>
          </cell>
          <cell r="D863" t="str">
            <v>INCOG</v>
          </cell>
          <cell r="E863" t="str">
            <v>INCOG S&amp;W SHIELD/PLUS RDS CLIP BLK RT</v>
          </cell>
          <cell r="F863" t="str">
            <v>DG-HOLSTER-INC</v>
          </cell>
          <cell r="G863" t="str">
            <v>1420-210-FG</v>
          </cell>
          <cell r="H863" t="str">
            <v>R</v>
          </cell>
          <cell r="I863" t="str">
            <v>06/10/2024</v>
          </cell>
          <cell r="J863" t="str">
            <v>06/10/2024</v>
          </cell>
          <cell r="K863" t="str">
            <v>06/17/2024</v>
          </cell>
          <cell r="L863">
            <v>25</v>
          </cell>
          <cell r="M863" t="str">
            <v>6/10/2024 4:24:36 PM</v>
          </cell>
          <cell r="N863" t="str">
            <v>25</v>
          </cell>
          <cell r="O863">
            <v>25</v>
          </cell>
          <cell r="P863">
            <v>5.5</v>
          </cell>
        </row>
        <row r="864">
          <cell r="A864" t="str">
            <v>6723503</v>
          </cell>
          <cell r="B864" t="str">
            <v>1334629</v>
          </cell>
          <cell r="C864" t="str">
            <v>INCOG-0-750-A-7-CX1-61-MC</v>
          </cell>
          <cell r="D864" t="str">
            <v>INCOG</v>
          </cell>
          <cell r="E864" t="str">
            <v>INCOG SIG P320 RDS LGT CLIP MCDY BLK RT</v>
          </cell>
          <cell r="F864" t="str">
            <v>DG-HOLSTER-INC</v>
          </cell>
          <cell r="G864" t="str">
            <v>1420-210-FG</v>
          </cell>
          <cell r="H864" t="str">
            <v>R</v>
          </cell>
          <cell r="I864" t="str">
            <v>06/03/2024</v>
          </cell>
          <cell r="J864" t="str">
            <v>06/03/2024</v>
          </cell>
          <cell r="K864" t="str">
            <v>06/17/2024</v>
          </cell>
          <cell r="L864">
            <v>75</v>
          </cell>
          <cell r="M864" t="str">
            <v>6/10/2024 4:24:36 PM</v>
          </cell>
          <cell r="N864" t="str">
            <v>25</v>
          </cell>
          <cell r="O864">
            <v>75</v>
          </cell>
          <cell r="P864">
            <v>46.21</v>
          </cell>
        </row>
        <row r="865">
          <cell r="A865" t="str">
            <v>6726959</v>
          </cell>
          <cell r="B865" t="str">
            <v>1335538</v>
          </cell>
          <cell r="C865" t="str">
            <v>INCOG-0-565-A-0-CX2-61</v>
          </cell>
          <cell r="D865" t="str">
            <v>INCOG</v>
          </cell>
          <cell r="E865" t="str">
            <v>INCOG SIG P365XMACRO RDS CLIP BLK RT</v>
          </cell>
          <cell r="F865" t="str">
            <v>DG-HOLSTER-INC</v>
          </cell>
          <cell r="G865" t="str">
            <v>1420-210-FG</v>
          </cell>
          <cell r="H865" t="str">
            <v>R</v>
          </cell>
          <cell r="I865" t="str">
            <v>06/10/2024</v>
          </cell>
          <cell r="J865" t="str">
            <v>06/10/2024</v>
          </cell>
          <cell r="K865" t="str">
            <v>06/17/2024</v>
          </cell>
          <cell r="L865">
            <v>75</v>
          </cell>
          <cell r="M865" t="str">
            <v>6/10/2024 4:24:36 PM</v>
          </cell>
          <cell r="N865" t="str">
            <v>25</v>
          </cell>
          <cell r="O865">
            <v>75</v>
          </cell>
          <cell r="P865">
            <v>16.5</v>
          </cell>
        </row>
        <row r="866">
          <cell r="A866" t="str">
            <v>6725674</v>
          </cell>
          <cell r="B866" t="str">
            <v>1335535</v>
          </cell>
          <cell r="C866" t="str">
            <v>INCOG-0-565-A-7-CX1-61-MC</v>
          </cell>
          <cell r="D866" t="str">
            <v>INCOG</v>
          </cell>
          <cell r="E866" t="str">
            <v>INCOG SIG P365XMACRO RDS LGT CLP MCDY RT</v>
          </cell>
          <cell r="F866" t="str">
            <v>DG-HOLSTER-INC</v>
          </cell>
          <cell r="G866" t="str">
            <v>1420-210-FG</v>
          </cell>
          <cell r="H866" t="str">
            <v>R</v>
          </cell>
          <cell r="I866" t="str">
            <v>06/06/2024</v>
          </cell>
          <cell r="J866" t="str">
            <v>06/06/2024</v>
          </cell>
          <cell r="K866" t="str">
            <v>06/17/2024</v>
          </cell>
          <cell r="L866">
            <v>75</v>
          </cell>
          <cell r="M866" t="str">
            <v>6/10/2024 4:24:36 PM</v>
          </cell>
          <cell r="N866" t="str">
            <v>25</v>
          </cell>
          <cell r="O866">
            <v>75</v>
          </cell>
          <cell r="P866">
            <v>43.73</v>
          </cell>
        </row>
        <row r="867">
          <cell r="A867" t="str">
            <v>6726960</v>
          </cell>
          <cell r="B867" t="str">
            <v>1336045</v>
          </cell>
          <cell r="C867" t="str">
            <v>INCOG-0-58-A-0-CX2-61</v>
          </cell>
          <cell r="D867" t="str">
            <v>INCOG</v>
          </cell>
          <cell r="E867" t="str">
            <v>INCOG STACCATO RDS CLIP BLK SDE RT</v>
          </cell>
          <cell r="F867" t="str">
            <v>DG-HOLSTER-INC</v>
          </cell>
          <cell r="G867" t="str">
            <v>1420-210-FG</v>
          </cell>
          <cell r="H867" t="str">
            <v>R</v>
          </cell>
          <cell r="I867" t="str">
            <v>06/10/2024</v>
          </cell>
          <cell r="J867" t="str">
            <v>06/10/2024</v>
          </cell>
          <cell r="K867" t="str">
            <v>06/17/2024</v>
          </cell>
          <cell r="L867">
            <v>27</v>
          </cell>
          <cell r="M867" t="str">
            <v>6/10/2024 4:24:36 PM</v>
          </cell>
          <cell r="N867" t="str">
            <v>25</v>
          </cell>
          <cell r="O867">
            <v>27</v>
          </cell>
          <cell r="P867">
            <v>5.94</v>
          </cell>
        </row>
        <row r="868">
          <cell r="A868" t="str">
            <v>6726957</v>
          </cell>
          <cell r="B868" t="str">
            <v>1336043</v>
          </cell>
          <cell r="C868" t="str">
            <v>INCOG-0-58-A-7-CX1-61</v>
          </cell>
          <cell r="D868" t="str">
            <v>INCOG</v>
          </cell>
          <cell r="E868" t="str">
            <v>INCOG STACCATO RDS LGT CLIP BLK SDE RT</v>
          </cell>
          <cell r="F868" t="str">
            <v>DG-HOLSTER-INC</v>
          </cell>
          <cell r="G868" t="str">
            <v>1420-210-FG</v>
          </cell>
          <cell r="H868" t="str">
            <v>R</v>
          </cell>
          <cell r="I868" t="str">
            <v>06/10/2024</v>
          </cell>
          <cell r="J868" t="str">
            <v>06/10/2024</v>
          </cell>
          <cell r="K868" t="str">
            <v>06/17/2024</v>
          </cell>
          <cell r="L868">
            <v>15</v>
          </cell>
          <cell r="M868" t="str">
            <v>6/10/2024 4:24:36 PM</v>
          </cell>
          <cell r="N868" t="str">
            <v>25</v>
          </cell>
          <cell r="O868">
            <v>15</v>
          </cell>
          <cell r="P868">
            <v>5.75</v>
          </cell>
        </row>
        <row r="869">
          <cell r="A869" t="str">
            <v>6724893</v>
          </cell>
          <cell r="B869" t="str">
            <v>1169342</v>
          </cell>
          <cell r="C869" t="str">
            <v>27-183-61</v>
          </cell>
          <cell r="D869" t="str">
            <v>27</v>
          </cell>
          <cell r="E869" t="str">
            <v>INSIDE THE PANTS HOLSTER</v>
          </cell>
          <cell r="F869" t="str">
            <v>DG-HOLSTER-SEW-DTC</v>
          </cell>
          <cell r="G869" t="str">
            <v>1420-210-FG</v>
          </cell>
          <cell r="H869" t="str">
            <v>R</v>
          </cell>
          <cell r="I869" t="str">
            <v>06/04/2024</v>
          </cell>
          <cell r="J869" t="str">
            <v>06/10/2024</v>
          </cell>
          <cell r="K869" t="str">
            <v>06/17/2024</v>
          </cell>
          <cell r="L869">
            <v>5</v>
          </cell>
          <cell r="M869" t="str">
            <v>6/6/2024 9:44:09 AM</v>
          </cell>
          <cell r="N869" t="str">
            <v>25</v>
          </cell>
          <cell r="O869">
            <v>5</v>
          </cell>
          <cell r="P869">
            <v>1.05</v>
          </cell>
        </row>
        <row r="870">
          <cell r="A870" t="str">
            <v>6723924</v>
          </cell>
          <cell r="B870" t="str">
            <v>1098578</v>
          </cell>
          <cell r="C870" t="str">
            <v>25-01-21</v>
          </cell>
          <cell r="D870" t="str">
            <v>25</v>
          </cell>
          <cell r="E870" t="str">
            <v>INSIDE-THE-POCKET HOLSTER</v>
          </cell>
          <cell r="F870" t="str">
            <v>DG-HOLSTER-SEW-DTC</v>
          </cell>
          <cell r="G870" t="str">
            <v>1420-210-FG</v>
          </cell>
          <cell r="H870" t="str">
            <v>R</v>
          </cell>
          <cell r="I870" t="str">
            <v>06/03/2024</v>
          </cell>
          <cell r="J870" t="str">
            <v>06/03/2024</v>
          </cell>
          <cell r="K870" t="str">
            <v>06/17/2024</v>
          </cell>
          <cell r="L870">
            <v>25</v>
          </cell>
          <cell r="M870" t="str">
            <v>6/6/2024 8:56:36 AM</v>
          </cell>
          <cell r="N870" t="str">
            <v>25</v>
          </cell>
          <cell r="O870">
            <v>25</v>
          </cell>
          <cell r="P870">
            <v>8.85</v>
          </cell>
        </row>
        <row r="871">
          <cell r="A871" t="str">
            <v>6726675</v>
          </cell>
          <cell r="B871" t="str">
            <v>1015850</v>
          </cell>
          <cell r="C871" t="str">
            <v>14425</v>
          </cell>
          <cell r="D871" t="str">
            <v>7405</v>
          </cell>
          <cell r="E871" t="str">
            <v xml:space="preserve">KEY HOLDER BLK </v>
          </cell>
          <cell r="F871" t="str">
            <v>BN-KEEPER</v>
          </cell>
          <cell r="G871" t="str">
            <v>1420-210-FG</v>
          </cell>
          <cell r="H871" t="str">
            <v>R</v>
          </cell>
          <cell r="I871" t="str">
            <v>06/10/2024</v>
          </cell>
          <cell r="J871" t="str">
            <v>06/10/2024</v>
          </cell>
          <cell r="K871" t="str">
            <v>06/17/2024</v>
          </cell>
          <cell r="L871">
            <v>50</v>
          </cell>
          <cell r="M871" t="str">
            <v>6/11/2024 2:48:28 PM</v>
          </cell>
          <cell r="N871" t="str">
            <v>25</v>
          </cell>
          <cell r="O871">
            <v>50</v>
          </cell>
          <cell r="P871">
            <v>1.7</v>
          </cell>
        </row>
        <row r="872">
          <cell r="A872" t="str">
            <v>6726138</v>
          </cell>
          <cell r="B872" t="str">
            <v>1122965</v>
          </cell>
          <cell r="C872" t="str">
            <v>168-2PBL</v>
          </cell>
          <cell r="D872" t="str">
            <v>168</v>
          </cell>
          <cell r="E872" t="str">
            <v>KEY RING 2 SNAP</v>
          </cell>
          <cell r="F872" t="str">
            <v>DG-KEEPER</v>
          </cell>
          <cell r="G872" t="str">
            <v>1420-210-FG</v>
          </cell>
          <cell r="H872" t="str">
            <v>R</v>
          </cell>
          <cell r="I872" t="str">
            <v>06/07/2024</v>
          </cell>
          <cell r="J872" t="str">
            <v>06/07/2024</v>
          </cell>
          <cell r="K872" t="str">
            <v>06/17/2024</v>
          </cell>
          <cell r="L872">
            <v>25</v>
          </cell>
          <cell r="M872" t="str">
            <v>6/7/2024 11:32:48 AM</v>
          </cell>
          <cell r="N872" t="str">
            <v>25</v>
          </cell>
          <cell r="O872">
            <v>25</v>
          </cell>
          <cell r="P872">
            <v>2.7</v>
          </cell>
        </row>
        <row r="873">
          <cell r="A873" t="str">
            <v>6726797</v>
          </cell>
          <cell r="B873" t="str">
            <v>1128130</v>
          </cell>
          <cell r="C873" t="str">
            <v>6005-10-2</v>
          </cell>
          <cell r="D873" t="str">
            <v>6005</v>
          </cell>
          <cell r="E873" t="str">
            <v>LEG SHROUD SML ONE ELASTIC STRAP W/REM</v>
          </cell>
          <cell r="F873" t="str">
            <v>DG-HARNESS-DTC</v>
          </cell>
          <cell r="G873" t="str">
            <v>1420-210-FG</v>
          </cell>
          <cell r="H873" t="str">
            <v>F</v>
          </cell>
          <cell r="I873" t="str">
            <v>06/10/2024</v>
          </cell>
          <cell r="J873" t="str">
            <v>06/10/2024</v>
          </cell>
          <cell r="K873" t="str">
            <v>06/17/2024</v>
          </cell>
          <cell r="L873">
            <v>40</v>
          </cell>
          <cell r="M873" t="str">
            <v/>
          </cell>
          <cell r="N873" t="str">
            <v>25</v>
          </cell>
          <cell r="O873">
            <v>40</v>
          </cell>
          <cell r="P873">
            <v>2.36</v>
          </cell>
        </row>
        <row r="874">
          <cell r="A874" t="str">
            <v>6727262</v>
          </cell>
          <cell r="B874" t="str">
            <v>1122629</v>
          </cell>
          <cell r="C874" t="str">
            <v>6075UBL-PAD</v>
          </cell>
          <cell r="D874" t="str">
            <v>6075UBL</v>
          </cell>
          <cell r="E874" t="str">
            <v>LOW RIDE UNIVERSAL BELT LOOP</v>
          </cell>
          <cell r="F874" t="str">
            <v>DG-POUCH-F2-F3</v>
          </cell>
          <cell r="G874" t="str">
            <v>1420-210-FG</v>
          </cell>
          <cell r="H874" t="str">
            <v>R</v>
          </cell>
          <cell r="I874" t="str">
            <v>06/10/2024</v>
          </cell>
          <cell r="J874" t="str">
            <v>06/10/2024</v>
          </cell>
          <cell r="K874" t="str">
            <v>06/17/2024</v>
          </cell>
          <cell r="L874">
            <v>30</v>
          </cell>
          <cell r="M874" t="str">
            <v>6/11/2024 3:34:41 PM</v>
          </cell>
          <cell r="N874" t="str">
            <v>25</v>
          </cell>
          <cell r="O874">
            <v>30</v>
          </cell>
          <cell r="P874">
            <v>2.5499999999999998</v>
          </cell>
        </row>
        <row r="875">
          <cell r="A875" t="str">
            <v>6724406</v>
          </cell>
          <cell r="B875" t="str">
            <v>1099253</v>
          </cell>
          <cell r="C875" t="str">
            <v>37-13</v>
          </cell>
          <cell r="D875" t="str">
            <v>37</v>
          </cell>
          <cell r="E875" t="str">
            <v>MACE HOLDER OPEN TOP</v>
          </cell>
          <cell r="F875" t="str">
            <v>DG-POUCH-F1</v>
          </cell>
          <cell r="G875" t="str">
            <v>1420-210-FG</v>
          </cell>
          <cell r="H875" t="str">
            <v>R</v>
          </cell>
          <cell r="I875" t="str">
            <v>06/04/2024</v>
          </cell>
          <cell r="J875" t="str">
            <v>06/04/2024</v>
          </cell>
          <cell r="K875" t="str">
            <v>06/17/2024</v>
          </cell>
          <cell r="L875">
            <v>15</v>
          </cell>
          <cell r="M875" t="str">
            <v>6/5/2024 2:59:33 PM</v>
          </cell>
          <cell r="N875" t="str">
            <v>25</v>
          </cell>
          <cell r="O875">
            <v>15</v>
          </cell>
          <cell r="P875">
            <v>4.29</v>
          </cell>
        </row>
        <row r="876">
          <cell r="A876" t="str">
            <v>6724408</v>
          </cell>
          <cell r="B876" t="str">
            <v>1099262</v>
          </cell>
          <cell r="C876" t="str">
            <v>37-4-13</v>
          </cell>
          <cell r="D876" t="str">
            <v>37</v>
          </cell>
          <cell r="E876" t="str">
            <v>MACE HOLDER OPEN TOP</v>
          </cell>
          <cell r="F876" t="str">
            <v>DG-POUCH-F1</v>
          </cell>
          <cell r="G876" t="str">
            <v>1420-210-FG</v>
          </cell>
          <cell r="H876" t="str">
            <v>R</v>
          </cell>
          <cell r="I876" t="str">
            <v>06/04/2024</v>
          </cell>
          <cell r="J876" t="str">
            <v>06/04/2024</v>
          </cell>
          <cell r="K876" t="str">
            <v>06/17/2024</v>
          </cell>
          <cell r="L876">
            <v>5</v>
          </cell>
          <cell r="M876" t="str">
            <v>6/6/2024 11:35:04 AM</v>
          </cell>
          <cell r="N876" t="str">
            <v>25</v>
          </cell>
          <cell r="O876">
            <v>5</v>
          </cell>
          <cell r="P876">
            <v>1.43</v>
          </cell>
        </row>
        <row r="877">
          <cell r="A877" t="str">
            <v>6726148</v>
          </cell>
          <cell r="B877" t="str">
            <v>1098850</v>
          </cell>
          <cell r="C877" t="str">
            <v>38-3-2B</v>
          </cell>
          <cell r="D877" t="str">
            <v>38</v>
          </cell>
          <cell r="E877" t="str">
            <v>MACE HOLDERTOP FLAP</v>
          </cell>
          <cell r="F877" t="str">
            <v>DG-POUCH-F1</v>
          </cell>
          <cell r="G877" t="str">
            <v>1420-210-FG</v>
          </cell>
          <cell r="H877" t="str">
            <v>R</v>
          </cell>
          <cell r="I877" t="str">
            <v>06/07/2024</v>
          </cell>
          <cell r="J877" t="str">
            <v>06/07/2024</v>
          </cell>
          <cell r="K877" t="str">
            <v>06/17/2024</v>
          </cell>
          <cell r="L877">
            <v>10</v>
          </cell>
          <cell r="M877" t="str">
            <v>6/7/2024 11:44:04 AM</v>
          </cell>
          <cell r="N877" t="str">
            <v>25</v>
          </cell>
          <cell r="O877">
            <v>10</v>
          </cell>
          <cell r="P877">
            <v>2.86</v>
          </cell>
        </row>
        <row r="878">
          <cell r="A878" t="str">
            <v>6721948</v>
          </cell>
          <cell r="B878" t="str">
            <v>1098928</v>
          </cell>
          <cell r="C878" t="str">
            <v>38-4-13PBL</v>
          </cell>
          <cell r="D878" t="str">
            <v>38</v>
          </cell>
          <cell r="E878" t="str">
            <v>MACE HOLDERTOP FLAP</v>
          </cell>
          <cell r="F878" t="str">
            <v>DG-POUCH-F1</v>
          </cell>
          <cell r="G878" t="str">
            <v>1420-210-FG</v>
          </cell>
          <cell r="H878" t="str">
            <v>R</v>
          </cell>
          <cell r="I878" t="str">
            <v>05/28/2024</v>
          </cell>
          <cell r="J878" t="str">
            <v>06/03/2024</v>
          </cell>
          <cell r="K878" t="str">
            <v>06/17/2024</v>
          </cell>
          <cell r="L878">
            <v>100</v>
          </cell>
          <cell r="M878" t="str">
            <v>5/29/2024 3:41:58 PM</v>
          </cell>
          <cell r="N878" t="str">
            <v>25</v>
          </cell>
          <cell r="O878">
            <v>100</v>
          </cell>
          <cell r="P878">
            <v>28.62</v>
          </cell>
        </row>
        <row r="879">
          <cell r="A879" t="str">
            <v>6726158</v>
          </cell>
          <cell r="B879" t="str">
            <v>1120789</v>
          </cell>
          <cell r="C879" t="str">
            <v>38-41HS</v>
          </cell>
          <cell r="D879" t="str">
            <v>38</v>
          </cell>
          <cell r="E879" t="str">
            <v>MACE HOLDERTOP FLAP</v>
          </cell>
          <cell r="F879" t="str">
            <v>DG-POUCH-F1</v>
          </cell>
          <cell r="G879" t="str">
            <v>1420-210-FG</v>
          </cell>
          <cell r="H879" t="str">
            <v>R</v>
          </cell>
          <cell r="I879" t="str">
            <v>06/07/2024</v>
          </cell>
          <cell r="J879" t="str">
            <v>06/07/2024</v>
          </cell>
          <cell r="K879" t="str">
            <v>06/17/2024</v>
          </cell>
          <cell r="L879">
            <v>10</v>
          </cell>
          <cell r="M879" t="str">
            <v>6/7/2024 11:44:04 AM</v>
          </cell>
          <cell r="N879" t="str">
            <v>25</v>
          </cell>
          <cell r="O879">
            <v>10</v>
          </cell>
          <cell r="P879">
            <v>2.86</v>
          </cell>
        </row>
        <row r="880">
          <cell r="A880" t="str">
            <v>6726174</v>
          </cell>
          <cell r="B880" t="str">
            <v>1099075</v>
          </cell>
          <cell r="C880" t="str">
            <v>38-9HS</v>
          </cell>
          <cell r="D880" t="str">
            <v>38</v>
          </cell>
          <cell r="E880" t="str">
            <v>MACE HOLDERTOP FLAP</v>
          </cell>
          <cell r="F880" t="str">
            <v>DG-POUCH-F1</v>
          </cell>
          <cell r="G880" t="str">
            <v>1420-210-FG</v>
          </cell>
          <cell r="H880" t="str">
            <v>R</v>
          </cell>
          <cell r="I880" t="str">
            <v>06/07/2024</v>
          </cell>
          <cell r="J880" t="str">
            <v>06/07/2024</v>
          </cell>
          <cell r="K880" t="str">
            <v>06/17/2024</v>
          </cell>
          <cell r="L880">
            <v>26</v>
          </cell>
          <cell r="M880" t="str">
            <v>6/7/2024 11:44:04 AM</v>
          </cell>
          <cell r="N880" t="str">
            <v>25</v>
          </cell>
          <cell r="O880">
            <v>26</v>
          </cell>
          <cell r="P880">
            <v>7.88</v>
          </cell>
        </row>
        <row r="881">
          <cell r="A881" t="str">
            <v>6726150</v>
          </cell>
          <cell r="B881" t="str">
            <v>1102067</v>
          </cell>
          <cell r="C881" t="str">
            <v>77-76-4B</v>
          </cell>
          <cell r="D881" t="str">
            <v>77</v>
          </cell>
          <cell r="E881" t="str">
            <v>MAGAZINE HOLDER DOUBLE</v>
          </cell>
          <cell r="F881" t="str">
            <v>DG-POUCH-F1</v>
          </cell>
          <cell r="G881" t="str">
            <v>1420-210-FG</v>
          </cell>
          <cell r="H881" t="str">
            <v>R</v>
          </cell>
          <cell r="I881" t="str">
            <v>06/07/2024</v>
          </cell>
          <cell r="J881" t="str">
            <v>06/07/2024</v>
          </cell>
          <cell r="K881" t="str">
            <v>06/17/2024</v>
          </cell>
          <cell r="L881">
            <v>10</v>
          </cell>
          <cell r="M881" t="str">
            <v>6/7/2024 11:51:05 AM</v>
          </cell>
          <cell r="N881" t="str">
            <v>25</v>
          </cell>
          <cell r="O881">
            <v>10</v>
          </cell>
          <cell r="P881">
            <v>4</v>
          </cell>
        </row>
        <row r="882">
          <cell r="A882" t="str">
            <v>6726152</v>
          </cell>
          <cell r="B882" t="str">
            <v>1102068</v>
          </cell>
          <cell r="C882" t="str">
            <v>77-76-4HS</v>
          </cell>
          <cell r="D882" t="str">
            <v>77</v>
          </cell>
          <cell r="E882" t="str">
            <v>MAGAZINE HOLDER DOUBLE</v>
          </cell>
          <cell r="F882" t="str">
            <v>DG-POUCH-F1</v>
          </cell>
          <cell r="G882" t="str">
            <v>1420-210-FG</v>
          </cell>
          <cell r="H882" t="str">
            <v>R</v>
          </cell>
          <cell r="I882" t="str">
            <v>06/07/2024</v>
          </cell>
          <cell r="J882" t="str">
            <v>06/07/2024</v>
          </cell>
          <cell r="K882" t="str">
            <v>06/17/2024</v>
          </cell>
          <cell r="L882">
            <v>10</v>
          </cell>
          <cell r="M882" t="str">
            <v>6/7/2024 11:51:05 AM</v>
          </cell>
          <cell r="N882" t="str">
            <v>25</v>
          </cell>
          <cell r="O882">
            <v>10</v>
          </cell>
          <cell r="P882">
            <v>4.8499999999999996</v>
          </cell>
        </row>
        <row r="883">
          <cell r="A883" t="str">
            <v>6726599</v>
          </cell>
          <cell r="B883" t="str">
            <v>1016107</v>
          </cell>
          <cell r="C883" t="str">
            <v>17382</v>
          </cell>
          <cell r="D883" t="str">
            <v>7200</v>
          </cell>
          <cell r="E883" t="str">
            <v>NYLON DUTY BELT BLK SZ LRG 40-46</v>
          </cell>
          <cell r="F883" t="str">
            <v>BN-BELT</v>
          </cell>
          <cell r="G883" t="str">
            <v>1420-210-FG</v>
          </cell>
          <cell r="H883" t="str">
            <v>R</v>
          </cell>
          <cell r="I883" t="str">
            <v>06/10/2024</v>
          </cell>
          <cell r="J883" t="str">
            <v>06/10/2024</v>
          </cell>
          <cell r="K883" t="str">
            <v>06/17/2024</v>
          </cell>
          <cell r="L883">
            <v>100</v>
          </cell>
          <cell r="M883" t="str">
            <v>6/11/2024 2:36:12 PM</v>
          </cell>
          <cell r="N883" t="str">
            <v>25</v>
          </cell>
          <cell r="O883">
            <v>100</v>
          </cell>
          <cell r="P883">
            <v>17.010000000000002</v>
          </cell>
        </row>
        <row r="884">
          <cell r="A884" t="str">
            <v>6726600</v>
          </cell>
          <cell r="B884" t="str">
            <v>1016107</v>
          </cell>
          <cell r="C884" t="str">
            <v>17382</v>
          </cell>
          <cell r="D884" t="str">
            <v>7200</v>
          </cell>
          <cell r="E884" t="str">
            <v>NYLON DUTY BELT BLK SZ LRG 40-46</v>
          </cell>
          <cell r="F884" t="str">
            <v>BN-BELT</v>
          </cell>
          <cell r="G884" t="str">
            <v>1420-210-FG</v>
          </cell>
          <cell r="H884" t="str">
            <v>R</v>
          </cell>
          <cell r="I884" t="str">
            <v>06/10/2024</v>
          </cell>
          <cell r="J884" t="str">
            <v>06/10/2024</v>
          </cell>
          <cell r="K884" t="str">
            <v>06/17/2024</v>
          </cell>
          <cell r="L884">
            <v>100</v>
          </cell>
          <cell r="M884" t="str">
            <v>6/11/2024 2:36:12 PM</v>
          </cell>
          <cell r="N884" t="str">
            <v>25</v>
          </cell>
          <cell r="O884">
            <v>100</v>
          </cell>
          <cell r="P884">
            <v>17.010000000000002</v>
          </cell>
        </row>
        <row r="885">
          <cell r="A885" t="str">
            <v>6726670</v>
          </cell>
          <cell r="B885" t="str">
            <v>1323276</v>
          </cell>
          <cell r="C885" t="str">
            <v>25105-NP</v>
          </cell>
          <cell r="D885" t="str">
            <v>7220</v>
          </cell>
          <cell r="E885" t="str">
            <v>NYLON DUTY BELT BLK SZ SML 26-32</v>
          </cell>
          <cell r="F885" t="str">
            <v>BN-BELT</v>
          </cell>
          <cell r="G885" t="str">
            <v>1420-210-FG</v>
          </cell>
          <cell r="H885" t="str">
            <v>R</v>
          </cell>
          <cell r="I885" t="str">
            <v>06/10/2024</v>
          </cell>
          <cell r="J885" t="str">
            <v>06/10/2024</v>
          </cell>
          <cell r="K885" t="str">
            <v>06/17/2024</v>
          </cell>
          <cell r="L885">
            <v>12</v>
          </cell>
          <cell r="M885" t="str">
            <v>6/10/2024 12:44:59 PM</v>
          </cell>
          <cell r="N885" t="str">
            <v>25</v>
          </cell>
          <cell r="O885">
            <v>12</v>
          </cell>
          <cell r="P885">
            <v>2.76</v>
          </cell>
        </row>
        <row r="886">
          <cell r="A886" t="str">
            <v>6726602</v>
          </cell>
          <cell r="B886" t="str">
            <v>1016140</v>
          </cell>
          <cell r="C886" t="str">
            <v>17383</v>
          </cell>
          <cell r="D886" t="str">
            <v>7200</v>
          </cell>
          <cell r="E886" t="str">
            <v>NYLON DUTY BELT BLK SZ XLG 46-52</v>
          </cell>
          <cell r="F886" t="str">
            <v>BN-BELT</v>
          </cell>
          <cell r="G886" t="str">
            <v>1420-210-FG</v>
          </cell>
          <cell r="H886" t="str">
            <v>R</v>
          </cell>
          <cell r="I886" t="str">
            <v>06/10/2024</v>
          </cell>
          <cell r="J886" t="str">
            <v>06/10/2024</v>
          </cell>
          <cell r="K886" t="str">
            <v>06/17/2024</v>
          </cell>
          <cell r="L886">
            <v>100</v>
          </cell>
          <cell r="M886" t="str">
            <v>6/11/2024 2:36:12 PM</v>
          </cell>
          <cell r="N886" t="str">
            <v>25</v>
          </cell>
          <cell r="O886">
            <v>100</v>
          </cell>
          <cell r="P886">
            <v>17.25</v>
          </cell>
        </row>
        <row r="887">
          <cell r="A887" t="str">
            <v>6726603</v>
          </cell>
          <cell r="B887" t="str">
            <v>1016140</v>
          </cell>
          <cell r="C887" t="str">
            <v>17383</v>
          </cell>
          <cell r="D887" t="str">
            <v>7200</v>
          </cell>
          <cell r="E887" t="str">
            <v>NYLON DUTY BELT BLK SZ XLG 46-52</v>
          </cell>
          <cell r="F887" t="str">
            <v>BN-BELT</v>
          </cell>
          <cell r="G887" t="str">
            <v>1420-210-FG</v>
          </cell>
          <cell r="H887" t="str">
            <v>R</v>
          </cell>
          <cell r="I887" t="str">
            <v>06/10/2024</v>
          </cell>
          <cell r="J887" t="str">
            <v>06/10/2024</v>
          </cell>
          <cell r="K887" t="str">
            <v>06/17/2024</v>
          </cell>
          <cell r="L887">
            <v>100</v>
          </cell>
          <cell r="M887" t="str">
            <v>6/11/2024 2:36:12 PM</v>
          </cell>
          <cell r="N887" t="str">
            <v>25</v>
          </cell>
          <cell r="O887">
            <v>100</v>
          </cell>
          <cell r="P887">
            <v>17.25</v>
          </cell>
        </row>
        <row r="888">
          <cell r="A888" t="str">
            <v>6726645</v>
          </cell>
          <cell r="B888" t="str">
            <v>1016101</v>
          </cell>
          <cell r="C888" t="str">
            <v>17379</v>
          </cell>
          <cell r="D888" t="str">
            <v>7200</v>
          </cell>
          <cell r="E888" t="str">
            <v>NYLON DUTY BELT BLK SZ XSM 24-28</v>
          </cell>
          <cell r="F888" t="str">
            <v>BN-BELT</v>
          </cell>
          <cell r="G888" t="str">
            <v>1420-210-FG</v>
          </cell>
          <cell r="H888" t="str">
            <v>R</v>
          </cell>
          <cell r="I888" t="str">
            <v>06/10/2024</v>
          </cell>
          <cell r="J888" t="str">
            <v>06/10/2024</v>
          </cell>
          <cell r="K888" t="str">
            <v>06/17/2024</v>
          </cell>
          <cell r="L888">
            <v>30</v>
          </cell>
          <cell r="M888" t="str">
            <v>6/11/2024 2:36:12 PM</v>
          </cell>
          <cell r="N888" t="str">
            <v>25</v>
          </cell>
          <cell r="O888">
            <v>30</v>
          </cell>
          <cell r="P888">
            <v>2.34</v>
          </cell>
        </row>
        <row r="889">
          <cell r="A889" t="str">
            <v>6726591</v>
          </cell>
          <cell r="B889" t="str">
            <v>1016103</v>
          </cell>
          <cell r="C889" t="str">
            <v>17380</v>
          </cell>
          <cell r="D889" t="str">
            <v>7200</v>
          </cell>
          <cell r="E889" t="str">
            <v>NYLON DUTY BELT BLK SZ-SML 28-34</v>
          </cell>
          <cell r="F889" t="str">
            <v>BN-BELT</v>
          </cell>
          <cell r="G889" t="str">
            <v>1420-210-FG</v>
          </cell>
          <cell r="H889" t="str">
            <v>R</v>
          </cell>
          <cell r="I889" t="str">
            <v>06/10/2024</v>
          </cell>
          <cell r="J889" t="str">
            <v>06/10/2024</v>
          </cell>
          <cell r="K889" t="str">
            <v>06/17/2024</v>
          </cell>
          <cell r="L889">
            <v>100</v>
          </cell>
          <cell r="M889" t="str">
            <v>6/11/2024 2:36:12 PM</v>
          </cell>
          <cell r="N889" t="str">
            <v>25</v>
          </cell>
          <cell r="O889">
            <v>100</v>
          </cell>
          <cell r="P889">
            <v>16.600000000000001</v>
          </cell>
        </row>
        <row r="890">
          <cell r="A890" t="str">
            <v>6726592</v>
          </cell>
          <cell r="B890" t="str">
            <v>1016103</v>
          </cell>
          <cell r="C890" t="str">
            <v>17380</v>
          </cell>
          <cell r="D890" t="str">
            <v>7200</v>
          </cell>
          <cell r="E890" t="str">
            <v>NYLON DUTY BELT BLK SZ-SML 28-34</v>
          </cell>
          <cell r="F890" t="str">
            <v>BN-BELT</v>
          </cell>
          <cell r="G890" t="str">
            <v>1420-210-FG</v>
          </cell>
          <cell r="H890" t="str">
            <v>R</v>
          </cell>
          <cell r="I890" t="str">
            <v>06/10/2024</v>
          </cell>
          <cell r="J890" t="str">
            <v>06/10/2024</v>
          </cell>
          <cell r="K890" t="str">
            <v>06/17/2024</v>
          </cell>
          <cell r="L890">
            <v>100</v>
          </cell>
          <cell r="M890" t="str">
            <v>6/11/2024 2:36:12 PM</v>
          </cell>
          <cell r="N890" t="str">
            <v>25</v>
          </cell>
          <cell r="O890">
            <v>100</v>
          </cell>
          <cell r="P890">
            <v>16.600000000000001</v>
          </cell>
        </row>
        <row r="891">
          <cell r="A891" t="str">
            <v>6726637</v>
          </cell>
          <cell r="B891" t="str">
            <v>1166960</v>
          </cell>
          <cell r="C891" t="str">
            <v>26043</v>
          </cell>
          <cell r="D891" t="str">
            <v>7203</v>
          </cell>
          <cell r="E891" t="str">
            <v>NYLON DUTY BELT SZ LRG 40-46 HOOK</v>
          </cell>
          <cell r="F891" t="str">
            <v>BN-BELT</v>
          </cell>
          <cell r="G891" t="str">
            <v>1420-210-FG</v>
          </cell>
          <cell r="H891" t="str">
            <v>R</v>
          </cell>
          <cell r="I891" t="str">
            <v>06/10/2024</v>
          </cell>
          <cell r="J891" t="str">
            <v>06/10/2024</v>
          </cell>
          <cell r="K891" t="str">
            <v>06/17/2024</v>
          </cell>
          <cell r="L891">
            <v>36</v>
          </cell>
          <cell r="M891" t="str">
            <v>6/10/2024 12:44:59 PM</v>
          </cell>
          <cell r="N891" t="str">
            <v>25</v>
          </cell>
          <cell r="O891">
            <v>36</v>
          </cell>
          <cell r="P891">
            <v>5.76</v>
          </cell>
        </row>
        <row r="892">
          <cell r="A892" t="str">
            <v>6726636</v>
          </cell>
          <cell r="B892" t="str">
            <v>1166959</v>
          </cell>
          <cell r="C892" t="str">
            <v>26042</v>
          </cell>
          <cell r="D892" t="str">
            <v>7203</v>
          </cell>
          <cell r="E892" t="str">
            <v>NYLON DUTY BELT SZ MED 34-40 HOOK</v>
          </cell>
          <cell r="F892" t="str">
            <v>BN-BELT</v>
          </cell>
          <cell r="G892" t="str">
            <v>1420-210-FG</v>
          </cell>
          <cell r="H892" t="str">
            <v>F</v>
          </cell>
          <cell r="I892" t="str">
            <v>06/10/2024</v>
          </cell>
          <cell r="J892" t="str">
            <v>06/10/2024</v>
          </cell>
          <cell r="K892" t="str">
            <v>06/17/2024</v>
          </cell>
          <cell r="L892">
            <v>20</v>
          </cell>
          <cell r="M892" t="str">
            <v/>
          </cell>
          <cell r="N892" t="str">
            <v>25</v>
          </cell>
          <cell r="O892">
            <v>20</v>
          </cell>
          <cell r="P892">
            <v>3.24</v>
          </cell>
        </row>
        <row r="893">
          <cell r="A893" t="str">
            <v>6726638</v>
          </cell>
          <cell r="B893" t="str">
            <v>1166961</v>
          </cell>
          <cell r="C893" t="str">
            <v>26044</v>
          </cell>
          <cell r="D893" t="str">
            <v>7203</v>
          </cell>
          <cell r="E893" t="str">
            <v>NYLON DUTY BELT SZ XLG 46-52 HOOK</v>
          </cell>
          <cell r="F893" t="str">
            <v>BN-BELT</v>
          </cell>
          <cell r="G893" t="str">
            <v>1420-210-FG</v>
          </cell>
          <cell r="H893" t="str">
            <v>R</v>
          </cell>
          <cell r="I893" t="str">
            <v>06/10/2024</v>
          </cell>
          <cell r="J893" t="str">
            <v>06/10/2024</v>
          </cell>
          <cell r="K893" t="str">
            <v>06/17/2024</v>
          </cell>
          <cell r="L893">
            <v>38</v>
          </cell>
          <cell r="M893" t="str">
            <v>6/10/2024 12:44:59 PM</v>
          </cell>
          <cell r="N893" t="str">
            <v>25</v>
          </cell>
          <cell r="O893">
            <v>38</v>
          </cell>
          <cell r="P893">
            <v>6.08</v>
          </cell>
        </row>
        <row r="894">
          <cell r="A894" t="str">
            <v>6726639</v>
          </cell>
          <cell r="B894" t="str">
            <v>1166962</v>
          </cell>
          <cell r="C894" t="str">
            <v>26045</v>
          </cell>
          <cell r="D894" t="str">
            <v>7203</v>
          </cell>
          <cell r="E894" t="str">
            <v>NYLON DUTY BELT SZ XXL 52-56 HOOK</v>
          </cell>
          <cell r="F894" t="str">
            <v>BN-BELT</v>
          </cell>
          <cell r="G894" t="str">
            <v>1420-210-FG</v>
          </cell>
          <cell r="H894" t="str">
            <v>R</v>
          </cell>
          <cell r="I894" t="str">
            <v>06/10/2024</v>
          </cell>
          <cell r="J894" t="str">
            <v>06/10/2024</v>
          </cell>
          <cell r="K894" t="str">
            <v>06/17/2024</v>
          </cell>
          <cell r="L894">
            <v>26</v>
          </cell>
          <cell r="M894" t="str">
            <v>6/10/2024 12:44:59 PM</v>
          </cell>
          <cell r="N894" t="str">
            <v>25</v>
          </cell>
          <cell r="O894">
            <v>26</v>
          </cell>
          <cell r="P894">
            <v>4.16</v>
          </cell>
        </row>
        <row r="895">
          <cell r="A895" t="str">
            <v>6726647</v>
          </cell>
          <cell r="B895" t="str">
            <v>1016114</v>
          </cell>
          <cell r="C895" t="str">
            <v>17871</v>
          </cell>
          <cell r="D895" t="str">
            <v>7202</v>
          </cell>
          <cell r="E895" t="str">
            <v>NYLON GUN BELT BLK MED 34-40 1 3/4IN</v>
          </cell>
          <cell r="F895" t="str">
            <v>BN-BELT</v>
          </cell>
          <cell r="G895" t="str">
            <v>1420-210-FG</v>
          </cell>
          <cell r="H895" t="str">
            <v>R</v>
          </cell>
          <cell r="I895" t="str">
            <v>06/10/2024</v>
          </cell>
          <cell r="J895" t="str">
            <v>06/10/2024</v>
          </cell>
          <cell r="K895" t="str">
            <v>06/17/2024</v>
          </cell>
          <cell r="L895">
            <v>15</v>
          </cell>
          <cell r="M895" t="str">
            <v>6/11/2024 2:36:12 PM</v>
          </cell>
          <cell r="N895" t="str">
            <v>25</v>
          </cell>
          <cell r="O895">
            <v>15</v>
          </cell>
          <cell r="P895">
            <v>1.21</v>
          </cell>
        </row>
        <row r="896">
          <cell r="A896" t="str">
            <v>6726648</v>
          </cell>
          <cell r="B896" t="str">
            <v>1016310</v>
          </cell>
          <cell r="C896" t="str">
            <v>17661</v>
          </cell>
          <cell r="D896" t="str">
            <v>7201</v>
          </cell>
          <cell r="E896" t="str">
            <v>NYLON GUN BELT BLK MED 34-40 1 3/4INHOOK</v>
          </cell>
          <cell r="F896" t="str">
            <v>BN-BELT</v>
          </cell>
          <cell r="G896" t="str">
            <v>1420-210-FG</v>
          </cell>
          <cell r="H896" t="str">
            <v>F</v>
          </cell>
          <cell r="I896" t="str">
            <v>06/10/2024</v>
          </cell>
          <cell r="J896" t="str">
            <v>06/10/2024</v>
          </cell>
          <cell r="K896" t="str">
            <v>06/17/2024</v>
          </cell>
          <cell r="L896">
            <v>5</v>
          </cell>
          <cell r="M896" t="str">
            <v/>
          </cell>
          <cell r="N896" t="str">
            <v>25</v>
          </cell>
          <cell r="O896">
            <v>5</v>
          </cell>
          <cell r="P896">
            <v>0.35</v>
          </cell>
        </row>
        <row r="897">
          <cell r="A897" t="str">
            <v>6726646</v>
          </cell>
          <cell r="B897" t="str">
            <v>1016113</v>
          </cell>
          <cell r="C897" t="str">
            <v>17870</v>
          </cell>
          <cell r="D897" t="str">
            <v>7202</v>
          </cell>
          <cell r="E897" t="str">
            <v>NYLON GUN BELT BLK SML 28-34 1 3/4IN</v>
          </cell>
          <cell r="F897" t="str">
            <v>BN-BELT</v>
          </cell>
          <cell r="G897" t="str">
            <v>1420-210-FG</v>
          </cell>
          <cell r="H897" t="str">
            <v>F</v>
          </cell>
          <cell r="I897" t="str">
            <v>06/10/2024</v>
          </cell>
          <cell r="J897" t="str">
            <v>06/10/2024</v>
          </cell>
          <cell r="K897" t="str">
            <v>06/17/2024</v>
          </cell>
          <cell r="L897">
            <v>5</v>
          </cell>
          <cell r="M897" t="str">
            <v/>
          </cell>
          <cell r="N897" t="str">
            <v>25</v>
          </cell>
          <cell r="O897">
            <v>5</v>
          </cell>
          <cell r="P897">
            <v>0.41</v>
          </cell>
        </row>
        <row r="898">
          <cell r="A898" t="str">
            <v>6726609</v>
          </cell>
          <cell r="B898" t="str">
            <v>1016364</v>
          </cell>
          <cell r="C898" t="str">
            <v>17707</v>
          </cell>
          <cell r="D898" t="str">
            <v>7205</v>
          </cell>
          <cell r="E898" t="str">
            <v>NYLON LINER BELT BLK 1.5IN  SZ MED 34-40</v>
          </cell>
          <cell r="F898" t="str">
            <v>BN-BELT</v>
          </cell>
          <cell r="G898" t="str">
            <v>1420-210-FG</v>
          </cell>
          <cell r="H898" t="str">
            <v>F</v>
          </cell>
          <cell r="I898" t="str">
            <v>06/10/2024</v>
          </cell>
          <cell r="J898" t="str">
            <v>06/10/2024</v>
          </cell>
          <cell r="K898" t="str">
            <v>06/17/2024</v>
          </cell>
          <cell r="L898">
            <v>100</v>
          </cell>
          <cell r="M898" t="str">
            <v/>
          </cell>
          <cell r="N898" t="str">
            <v>25</v>
          </cell>
          <cell r="O898">
            <v>100</v>
          </cell>
          <cell r="P898">
            <v>11.32</v>
          </cell>
        </row>
        <row r="899">
          <cell r="A899" t="str">
            <v>6726610</v>
          </cell>
          <cell r="B899" t="str">
            <v>1016364</v>
          </cell>
          <cell r="C899" t="str">
            <v>17707</v>
          </cell>
          <cell r="D899" t="str">
            <v>7205</v>
          </cell>
          <cell r="E899" t="str">
            <v>NYLON LINER BELT BLK 1.5IN  SZ MED 34-40</v>
          </cell>
          <cell r="F899" t="str">
            <v>BN-BELT</v>
          </cell>
          <cell r="G899" t="str">
            <v>1420-210-FG</v>
          </cell>
          <cell r="H899" t="str">
            <v>R</v>
          </cell>
          <cell r="I899" t="str">
            <v>06/10/2024</v>
          </cell>
          <cell r="J899" t="str">
            <v>06/10/2024</v>
          </cell>
          <cell r="K899" t="str">
            <v>06/17/2024</v>
          </cell>
          <cell r="L899">
            <v>100</v>
          </cell>
          <cell r="M899" t="str">
            <v>6/11/2024 2:36:12 PM</v>
          </cell>
          <cell r="N899" t="str">
            <v>25</v>
          </cell>
          <cell r="O899">
            <v>100</v>
          </cell>
          <cell r="P899">
            <v>11.32</v>
          </cell>
        </row>
        <row r="900">
          <cell r="A900" t="str">
            <v>6726611</v>
          </cell>
          <cell r="B900" t="str">
            <v>1016364</v>
          </cell>
          <cell r="C900" t="str">
            <v>17707</v>
          </cell>
          <cell r="D900" t="str">
            <v>7205</v>
          </cell>
          <cell r="E900" t="str">
            <v>NYLON LINER BELT BLK 1.5IN  SZ MED 34-40</v>
          </cell>
          <cell r="F900" t="str">
            <v>BN-BELT</v>
          </cell>
          <cell r="G900" t="str">
            <v>1420-210-FG</v>
          </cell>
          <cell r="H900" t="str">
            <v>R</v>
          </cell>
          <cell r="I900" t="str">
            <v>06/10/2024</v>
          </cell>
          <cell r="J900" t="str">
            <v>06/10/2024</v>
          </cell>
          <cell r="K900" t="str">
            <v>06/17/2024</v>
          </cell>
          <cell r="L900">
            <v>100</v>
          </cell>
          <cell r="M900" t="str">
            <v>6/11/2024 2:36:12 PM</v>
          </cell>
          <cell r="N900" t="str">
            <v>25</v>
          </cell>
          <cell r="O900">
            <v>100</v>
          </cell>
          <cell r="P900">
            <v>11.32</v>
          </cell>
        </row>
        <row r="901">
          <cell r="A901" t="str">
            <v>6726612</v>
          </cell>
          <cell r="B901" t="str">
            <v>1016364</v>
          </cell>
          <cell r="C901" t="str">
            <v>17707</v>
          </cell>
          <cell r="D901" t="str">
            <v>7205</v>
          </cell>
          <cell r="E901" t="str">
            <v>NYLON LINER BELT BLK 1.5IN  SZ MED 34-40</v>
          </cell>
          <cell r="F901" t="str">
            <v>BN-BELT</v>
          </cell>
          <cell r="G901" t="str">
            <v>1420-210-FG</v>
          </cell>
          <cell r="H901" t="str">
            <v>R</v>
          </cell>
          <cell r="I901" t="str">
            <v>06/10/2024</v>
          </cell>
          <cell r="J901" t="str">
            <v>06/10/2024</v>
          </cell>
          <cell r="K901" t="str">
            <v>06/17/2024</v>
          </cell>
          <cell r="L901">
            <v>100</v>
          </cell>
          <cell r="M901" t="str">
            <v>6/11/2024 2:36:12 PM</v>
          </cell>
          <cell r="N901" t="str">
            <v>25</v>
          </cell>
          <cell r="O901">
            <v>100</v>
          </cell>
          <cell r="P901">
            <v>11.32</v>
          </cell>
        </row>
        <row r="902">
          <cell r="A902" t="str">
            <v>6726613</v>
          </cell>
          <cell r="B902" t="str">
            <v>1016364</v>
          </cell>
          <cell r="C902" t="str">
            <v>17707</v>
          </cell>
          <cell r="D902" t="str">
            <v>7205</v>
          </cell>
          <cell r="E902" t="str">
            <v>NYLON LINER BELT BLK 1.5IN  SZ MED 34-40</v>
          </cell>
          <cell r="F902" t="str">
            <v>BN-BELT</v>
          </cell>
          <cell r="G902" t="str">
            <v>1420-210-FG</v>
          </cell>
          <cell r="H902" t="str">
            <v>R</v>
          </cell>
          <cell r="I902" t="str">
            <v>06/10/2024</v>
          </cell>
          <cell r="J902" t="str">
            <v>06/10/2024</v>
          </cell>
          <cell r="K902" t="str">
            <v>06/17/2024</v>
          </cell>
          <cell r="L902">
            <v>100</v>
          </cell>
          <cell r="M902" t="str">
            <v>6/11/2024 2:36:12 PM</v>
          </cell>
          <cell r="N902" t="str">
            <v>25</v>
          </cell>
          <cell r="O902">
            <v>100</v>
          </cell>
          <cell r="P902">
            <v>11.32</v>
          </cell>
        </row>
        <row r="903">
          <cell r="A903" t="str">
            <v>6726614</v>
          </cell>
          <cell r="B903" t="str">
            <v>1016364</v>
          </cell>
          <cell r="C903" t="str">
            <v>17707</v>
          </cell>
          <cell r="D903" t="str">
            <v>7205</v>
          </cell>
          <cell r="E903" t="str">
            <v>NYLON LINER BELT BLK 1.5IN  SZ MED 34-40</v>
          </cell>
          <cell r="F903" t="str">
            <v>BN-BELT</v>
          </cell>
          <cell r="G903" t="str">
            <v>1420-210-FG</v>
          </cell>
          <cell r="H903" t="str">
            <v>F</v>
          </cell>
          <cell r="I903" t="str">
            <v>06/10/2024</v>
          </cell>
          <cell r="J903" t="str">
            <v>06/10/2024</v>
          </cell>
          <cell r="K903" t="str">
            <v>06/17/2024</v>
          </cell>
          <cell r="L903">
            <v>100</v>
          </cell>
          <cell r="M903" t="str">
            <v/>
          </cell>
          <cell r="N903" t="str">
            <v>25</v>
          </cell>
          <cell r="O903">
            <v>100</v>
          </cell>
          <cell r="P903">
            <v>11.32</v>
          </cell>
        </row>
        <row r="904">
          <cell r="A904" t="str">
            <v>6726615</v>
          </cell>
          <cell r="B904" t="str">
            <v>1016364</v>
          </cell>
          <cell r="C904" t="str">
            <v>17707</v>
          </cell>
          <cell r="D904" t="str">
            <v>7205</v>
          </cell>
          <cell r="E904" t="str">
            <v>NYLON LINER BELT BLK 1.5IN  SZ MED 34-40</v>
          </cell>
          <cell r="F904" t="str">
            <v>BN-BELT</v>
          </cell>
          <cell r="G904" t="str">
            <v>1420-210-FG</v>
          </cell>
          <cell r="H904" t="str">
            <v>F</v>
          </cell>
          <cell r="I904" t="str">
            <v>06/10/2024</v>
          </cell>
          <cell r="J904" t="str">
            <v>06/10/2024</v>
          </cell>
          <cell r="K904" t="str">
            <v>06/17/2024</v>
          </cell>
          <cell r="L904">
            <v>100</v>
          </cell>
          <cell r="M904" t="str">
            <v/>
          </cell>
          <cell r="N904" t="str">
            <v>25</v>
          </cell>
          <cell r="O904">
            <v>100</v>
          </cell>
          <cell r="P904">
            <v>11.32</v>
          </cell>
        </row>
        <row r="905">
          <cell r="A905" t="str">
            <v>6726616</v>
          </cell>
          <cell r="B905" t="str">
            <v>1016364</v>
          </cell>
          <cell r="C905" t="str">
            <v>17707</v>
          </cell>
          <cell r="D905" t="str">
            <v>7205</v>
          </cell>
          <cell r="E905" t="str">
            <v>NYLON LINER BELT BLK 1.5IN  SZ MED 34-40</v>
          </cell>
          <cell r="F905" t="str">
            <v>BN-BELT</v>
          </cell>
          <cell r="G905" t="str">
            <v>1420-210-FG</v>
          </cell>
          <cell r="H905" t="str">
            <v>F</v>
          </cell>
          <cell r="I905" t="str">
            <v>06/10/2024</v>
          </cell>
          <cell r="J905" t="str">
            <v>06/10/2024</v>
          </cell>
          <cell r="K905" t="str">
            <v>06/17/2024</v>
          </cell>
          <cell r="L905">
            <v>100</v>
          </cell>
          <cell r="M905" t="str">
            <v/>
          </cell>
          <cell r="N905" t="str">
            <v>25</v>
          </cell>
          <cell r="O905">
            <v>100</v>
          </cell>
          <cell r="P905">
            <v>11.32</v>
          </cell>
        </row>
        <row r="906">
          <cell r="A906" t="str">
            <v>6726617</v>
          </cell>
          <cell r="B906" t="str">
            <v>1016364</v>
          </cell>
          <cell r="C906" t="str">
            <v>17707</v>
          </cell>
          <cell r="D906" t="str">
            <v>7205</v>
          </cell>
          <cell r="E906" t="str">
            <v>NYLON LINER BELT BLK 1.5IN  SZ MED 34-40</v>
          </cell>
          <cell r="F906" t="str">
            <v>BN-BELT</v>
          </cell>
          <cell r="G906" t="str">
            <v>1420-210-FG</v>
          </cell>
          <cell r="H906" t="str">
            <v>F</v>
          </cell>
          <cell r="I906" t="str">
            <v>06/10/2024</v>
          </cell>
          <cell r="J906" t="str">
            <v>06/10/2024</v>
          </cell>
          <cell r="K906" t="str">
            <v>06/17/2024</v>
          </cell>
          <cell r="L906">
            <v>100</v>
          </cell>
          <cell r="M906" t="str">
            <v/>
          </cell>
          <cell r="N906" t="str">
            <v>25</v>
          </cell>
          <cell r="O906">
            <v>100</v>
          </cell>
          <cell r="P906">
            <v>11.32</v>
          </cell>
        </row>
        <row r="907">
          <cell r="A907" t="str">
            <v>6723927</v>
          </cell>
          <cell r="B907" t="str">
            <v>1152484</v>
          </cell>
          <cell r="C907" t="str">
            <v>5198-49-411</v>
          </cell>
          <cell r="D907" t="str">
            <v>5198</v>
          </cell>
          <cell r="E907" t="str">
            <v>OPEN TOP PADDLE BELT LOOP W/DETENT</v>
          </cell>
          <cell r="F907" t="str">
            <v>DG-HOLSTER-SEW-DTC</v>
          </cell>
          <cell r="G907" t="str">
            <v>1420-210-FG</v>
          </cell>
          <cell r="H907" t="str">
            <v>R</v>
          </cell>
          <cell r="I907" t="str">
            <v>06/03/2024</v>
          </cell>
          <cell r="J907" t="str">
            <v>06/03/2024</v>
          </cell>
          <cell r="K907" t="str">
            <v>06/17/2024</v>
          </cell>
          <cell r="L907">
            <v>5</v>
          </cell>
          <cell r="M907" t="str">
            <v>6/6/2024 9:47:12 AM</v>
          </cell>
          <cell r="N907" t="str">
            <v>25</v>
          </cell>
          <cell r="O907">
            <v>5</v>
          </cell>
          <cell r="P907">
            <v>1.4</v>
          </cell>
        </row>
        <row r="908">
          <cell r="A908" t="str">
            <v>6723928</v>
          </cell>
          <cell r="B908" t="str">
            <v>1162202</v>
          </cell>
          <cell r="C908" t="str">
            <v>5198-01-411</v>
          </cell>
          <cell r="D908" t="str">
            <v>5198</v>
          </cell>
          <cell r="E908" t="str">
            <v>PADDLE HOLSTER</v>
          </cell>
          <cell r="F908" t="str">
            <v>DG-HOLSTER-SEW-DTC</v>
          </cell>
          <cell r="G908" t="str">
            <v>1420-210-FG</v>
          </cell>
          <cell r="H908" t="str">
            <v>R</v>
          </cell>
          <cell r="I908" t="str">
            <v>06/03/2024</v>
          </cell>
          <cell r="J908" t="str">
            <v>06/03/2024</v>
          </cell>
          <cell r="K908" t="str">
            <v>06/17/2024</v>
          </cell>
          <cell r="L908">
            <v>5</v>
          </cell>
          <cell r="M908" t="str">
            <v>6/6/2024 9:47:12 AM</v>
          </cell>
          <cell r="N908" t="str">
            <v>25</v>
          </cell>
          <cell r="O908">
            <v>5</v>
          </cell>
          <cell r="P908">
            <v>1.4</v>
          </cell>
        </row>
        <row r="909">
          <cell r="A909" t="str">
            <v>6726153</v>
          </cell>
          <cell r="B909" t="str">
            <v>1102397</v>
          </cell>
          <cell r="C909" t="str">
            <v>761-1-2</v>
          </cell>
          <cell r="D909" t="str">
            <v>761</v>
          </cell>
          <cell r="E909" t="str">
            <v>RADIO CARRIER FORMED PCH ADJ</v>
          </cell>
          <cell r="F909" t="str">
            <v>DG-POUCH-F1</v>
          </cell>
          <cell r="G909" t="str">
            <v>1420-210-FG</v>
          </cell>
          <cell r="H909" t="str">
            <v>R</v>
          </cell>
          <cell r="I909" t="str">
            <v>06/07/2024</v>
          </cell>
          <cell r="J909" t="str">
            <v>06/07/2024</v>
          </cell>
          <cell r="K909" t="str">
            <v>06/17/2024</v>
          </cell>
          <cell r="L909">
            <v>1</v>
          </cell>
          <cell r="M909" t="str">
            <v>6/7/2024 11:44:04 AM</v>
          </cell>
          <cell r="N909" t="str">
            <v>25</v>
          </cell>
          <cell r="O909">
            <v>1</v>
          </cell>
          <cell r="P909">
            <v>0.36</v>
          </cell>
        </row>
        <row r="910">
          <cell r="A910" t="str">
            <v>6726144</v>
          </cell>
          <cell r="B910" t="str">
            <v>1102403</v>
          </cell>
          <cell r="C910" t="str">
            <v>761-2-2</v>
          </cell>
          <cell r="D910" t="str">
            <v>761</v>
          </cell>
          <cell r="E910" t="str">
            <v>RADIO CARRIER FORMED PCH ADJ</v>
          </cell>
          <cell r="F910" t="str">
            <v>DG-POUCH-F1</v>
          </cell>
          <cell r="G910" t="str">
            <v>1420-210-FG</v>
          </cell>
          <cell r="H910" t="str">
            <v>R</v>
          </cell>
          <cell r="I910" t="str">
            <v>06/07/2024</v>
          </cell>
          <cell r="J910" t="str">
            <v>06/07/2024</v>
          </cell>
          <cell r="K910" t="str">
            <v>06/17/2024</v>
          </cell>
          <cell r="L910">
            <v>1</v>
          </cell>
          <cell r="M910" t="str">
            <v>6/7/2024 11:44:04 AM</v>
          </cell>
          <cell r="N910" t="str">
            <v>25</v>
          </cell>
          <cell r="O910">
            <v>1</v>
          </cell>
          <cell r="P910">
            <v>0.36</v>
          </cell>
        </row>
        <row r="911">
          <cell r="A911" t="str">
            <v>6726154</v>
          </cell>
          <cell r="B911" t="str">
            <v>1102403</v>
          </cell>
          <cell r="C911" t="str">
            <v>761-2-2</v>
          </cell>
          <cell r="D911" t="str">
            <v>761</v>
          </cell>
          <cell r="E911" t="str">
            <v>RADIO CARRIER FORMED PCH ADJ</v>
          </cell>
          <cell r="F911" t="str">
            <v>DG-POUCH-F1</v>
          </cell>
          <cell r="G911" t="str">
            <v>1420-210-FG</v>
          </cell>
          <cell r="H911" t="str">
            <v>R</v>
          </cell>
          <cell r="I911" t="str">
            <v>06/07/2024</v>
          </cell>
          <cell r="J911" t="str">
            <v>06/07/2024</v>
          </cell>
          <cell r="K911" t="str">
            <v>06/17/2024</v>
          </cell>
          <cell r="L911">
            <v>1</v>
          </cell>
          <cell r="M911" t="str">
            <v>6/7/2024 11:44:04 AM</v>
          </cell>
          <cell r="N911" t="str">
            <v>25</v>
          </cell>
          <cell r="O911">
            <v>1</v>
          </cell>
          <cell r="P911">
            <v>0.36</v>
          </cell>
        </row>
        <row r="912">
          <cell r="A912" t="str">
            <v>6722012</v>
          </cell>
          <cell r="B912" t="str">
            <v>1111833</v>
          </cell>
          <cell r="C912" t="str">
            <v>762-3-2</v>
          </cell>
          <cell r="D912" t="str">
            <v>762</v>
          </cell>
          <cell r="E912" t="str">
            <v>RADIO CARRIER W/SWIVEL</v>
          </cell>
          <cell r="F912" t="str">
            <v>DG-POUCH-F1</v>
          </cell>
          <cell r="G912" t="str">
            <v>1420-210-FG</v>
          </cell>
          <cell r="H912" t="str">
            <v>R</v>
          </cell>
          <cell r="I912" t="str">
            <v>05/28/2024</v>
          </cell>
          <cell r="J912" t="str">
            <v>06/03/2024</v>
          </cell>
          <cell r="K912" t="str">
            <v>06/17/2024</v>
          </cell>
          <cell r="L912">
            <v>5</v>
          </cell>
          <cell r="M912" t="str">
            <v>5/29/2024 3:29:07 PM</v>
          </cell>
          <cell r="N912" t="str">
            <v>25</v>
          </cell>
          <cell r="O912">
            <v>5</v>
          </cell>
          <cell r="P912">
            <v>2.06</v>
          </cell>
        </row>
        <row r="913">
          <cell r="A913" t="str">
            <v>6721972</v>
          </cell>
          <cell r="B913" t="str">
            <v>1102635</v>
          </cell>
          <cell r="C913" t="str">
            <v>762-5-4</v>
          </cell>
          <cell r="D913" t="str">
            <v>762</v>
          </cell>
          <cell r="E913" t="str">
            <v>RADIO CARRIER W/SWIVEL</v>
          </cell>
          <cell r="F913" t="str">
            <v>DG-POUCH-F1</v>
          </cell>
          <cell r="G913" t="str">
            <v>1420-210-FG</v>
          </cell>
          <cell r="H913" t="str">
            <v>R</v>
          </cell>
          <cell r="I913" t="str">
            <v>05/28/2024</v>
          </cell>
          <cell r="J913" t="str">
            <v>06/03/2024</v>
          </cell>
          <cell r="K913" t="str">
            <v>06/17/2024</v>
          </cell>
          <cell r="L913">
            <v>25</v>
          </cell>
          <cell r="M913" t="str">
            <v>5/29/2024 3:29:07 PM</v>
          </cell>
          <cell r="N913" t="str">
            <v>25</v>
          </cell>
          <cell r="O913">
            <v>25</v>
          </cell>
          <cell r="P913">
            <v>10.63</v>
          </cell>
        </row>
        <row r="914">
          <cell r="A914" t="str">
            <v>6722021</v>
          </cell>
          <cell r="B914" t="str">
            <v>1129667</v>
          </cell>
          <cell r="C914" t="str">
            <v>762-5-41</v>
          </cell>
          <cell r="D914" t="str">
            <v>762</v>
          </cell>
          <cell r="E914" t="str">
            <v>RADIO CARRIER W/SWIVEL</v>
          </cell>
          <cell r="F914" t="str">
            <v>DG-POUCH-F1</v>
          </cell>
          <cell r="G914" t="str">
            <v>1420-210-FG</v>
          </cell>
          <cell r="H914" t="str">
            <v>R</v>
          </cell>
          <cell r="I914" t="str">
            <v>05/28/2024</v>
          </cell>
          <cell r="J914" t="str">
            <v>06/03/2024</v>
          </cell>
          <cell r="K914" t="str">
            <v>06/17/2024</v>
          </cell>
          <cell r="L914">
            <v>5</v>
          </cell>
          <cell r="M914" t="str">
            <v>5/29/2024 3:39:20 PM</v>
          </cell>
          <cell r="N914" t="str">
            <v>25</v>
          </cell>
          <cell r="O914">
            <v>5</v>
          </cell>
          <cell r="P914">
            <v>1.6</v>
          </cell>
        </row>
        <row r="915">
          <cell r="A915" t="str">
            <v>6726793</v>
          </cell>
          <cell r="B915" t="str">
            <v>1322213</v>
          </cell>
          <cell r="C915" t="str">
            <v>RGR-STRAP-COMPLETE-2</v>
          </cell>
          <cell r="D915" t="str">
            <v>RGR</v>
          </cell>
          <cell r="E915" t="str">
            <v>RANGER COMPLETE STRAP BKA</v>
          </cell>
          <cell r="F915" t="str">
            <v>DG-HARNESS</v>
          </cell>
          <cell r="G915" t="str">
            <v>1420-210-FG</v>
          </cell>
          <cell r="H915" t="str">
            <v>F</v>
          </cell>
          <cell r="I915" t="str">
            <v>06/10/2024</v>
          </cell>
          <cell r="J915" t="str">
            <v>06/10/2024</v>
          </cell>
          <cell r="K915" t="str">
            <v>06/17/2024</v>
          </cell>
          <cell r="L915">
            <v>5</v>
          </cell>
          <cell r="M915" t="str">
            <v/>
          </cell>
          <cell r="N915" t="str">
            <v>25</v>
          </cell>
          <cell r="O915">
            <v>5</v>
          </cell>
          <cell r="P915">
            <v>0.6</v>
          </cell>
        </row>
        <row r="916">
          <cell r="A916" t="str">
            <v>6726586</v>
          </cell>
          <cell r="B916" t="str">
            <v>1318035</v>
          </cell>
          <cell r="C916" t="str">
            <v>MH6005-7-BLK</v>
          </cell>
          <cell r="D916" t="str">
            <v>MH6005</v>
          </cell>
          <cell r="E916" t="str">
            <v>REMOVABLE HARNESS FOR 6005-7</v>
          </cell>
          <cell r="F916" t="str">
            <v>DG-HARNESS-DTC</v>
          </cell>
          <cell r="G916" t="str">
            <v>1420-210-SB</v>
          </cell>
          <cell r="H916" t="str">
            <v>F</v>
          </cell>
          <cell r="I916" t="str">
            <v>06/10/2024</v>
          </cell>
          <cell r="J916" t="str">
            <v>06/10/2024</v>
          </cell>
          <cell r="K916" t="str">
            <v>06/17/2024</v>
          </cell>
          <cell r="L916">
            <v>8</v>
          </cell>
          <cell r="M916" t="str">
            <v/>
          </cell>
          <cell r="N916" t="str">
            <v>25</v>
          </cell>
          <cell r="O916">
            <v>8</v>
          </cell>
          <cell r="P916">
            <v>0.8</v>
          </cell>
        </row>
        <row r="917">
          <cell r="A917" t="str">
            <v>6726791</v>
          </cell>
          <cell r="B917" t="str">
            <v>1155878</v>
          </cell>
          <cell r="C917" t="str">
            <v>RGR-UBL-COMPLETE-55</v>
          </cell>
          <cell r="D917" t="str">
            <v>RGR</v>
          </cell>
          <cell r="E917" t="str">
            <v>RGR UBL COMPLETE FDE</v>
          </cell>
          <cell r="F917" t="str">
            <v>DG-HARNESS</v>
          </cell>
          <cell r="G917" t="str">
            <v>1420-210-FG</v>
          </cell>
          <cell r="H917" t="str">
            <v>F</v>
          </cell>
          <cell r="I917" t="str">
            <v>06/10/2024</v>
          </cell>
          <cell r="J917" t="str">
            <v>06/10/2024</v>
          </cell>
          <cell r="K917" t="str">
            <v>06/17/2024</v>
          </cell>
          <cell r="L917">
            <v>25</v>
          </cell>
          <cell r="M917" t="str">
            <v/>
          </cell>
          <cell r="N917" t="str">
            <v>25</v>
          </cell>
          <cell r="O917">
            <v>25</v>
          </cell>
          <cell r="P917">
            <v>3.34</v>
          </cell>
        </row>
        <row r="918">
          <cell r="A918" t="str">
            <v>6726570</v>
          </cell>
          <cell r="B918" t="str">
            <v>1323924</v>
          </cell>
          <cell r="C918" t="str">
            <v>SA-7235KEEPER</v>
          </cell>
          <cell r="D918" t="str">
            <v>SA</v>
          </cell>
          <cell r="E918" t="str">
            <v>SA KEEPER MODEL 7235</v>
          </cell>
          <cell r="F918" t="str">
            <v>BN-KEEPER</v>
          </cell>
          <cell r="G918" t="str">
            <v>1420-210-SB</v>
          </cell>
          <cell r="H918" t="str">
            <v>R</v>
          </cell>
          <cell r="I918" t="str">
            <v>06/10/2024</v>
          </cell>
          <cell r="J918" t="str">
            <v>06/10/2024</v>
          </cell>
          <cell r="K918" t="str">
            <v>06/17/2024</v>
          </cell>
          <cell r="L918">
            <v>100</v>
          </cell>
          <cell r="M918" t="str">
            <v>6/11/2024 4:46:07 PM</v>
          </cell>
          <cell r="N918" t="str">
            <v>25</v>
          </cell>
          <cell r="O918">
            <v>100</v>
          </cell>
          <cell r="P918">
            <v>1.25</v>
          </cell>
        </row>
        <row r="919">
          <cell r="A919" t="str">
            <v>6726571</v>
          </cell>
          <cell r="B919" t="str">
            <v>1323924</v>
          </cell>
          <cell r="C919" t="str">
            <v>SA-7235KEEPER</v>
          </cell>
          <cell r="D919" t="str">
            <v>SA</v>
          </cell>
          <cell r="E919" t="str">
            <v>SA KEEPER MODEL 7235</v>
          </cell>
          <cell r="F919" t="str">
            <v>BN-KEEPER</v>
          </cell>
          <cell r="G919" t="str">
            <v>1420-210-SB</v>
          </cell>
          <cell r="H919" t="str">
            <v>R</v>
          </cell>
          <cell r="I919" t="str">
            <v>06/10/2024</v>
          </cell>
          <cell r="J919" t="str">
            <v>06/10/2024</v>
          </cell>
          <cell r="K919" t="str">
            <v>06/17/2024</v>
          </cell>
          <cell r="L919">
            <v>100</v>
          </cell>
          <cell r="M919" t="str">
            <v>6/11/2024 4:46:17 PM</v>
          </cell>
          <cell r="N919" t="str">
            <v>25</v>
          </cell>
          <cell r="O919">
            <v>100</v>
          </cell>
          <cell r="P919">
            <v>1.25</v>
          </cell>
        </row>
        <row r="920">
          <cell r="A920" t="str">
            <v>6726572</v>
          </cell>
          <cell r="B920" t="str">
            <v>1323924</v>
          </cell>
          <cell r="C920" t="str">
            <v>SA-7235KEEPER</v>
          </cell>
          <cell r="D920" t="str">
            <v>SA</v>
          </cell>
          <cell r="E920" t="str">
            <v>SA KEEPER MODEL 7235</v>
          </cell>
          <cell r="F920" t="str">
            <v>BN-KEEPER</v>
          </cell>
          <cell r="G920" t="str">
            <v>1420-210-SB</v>
          </cell>
          <cell r="H920" t="str">
            <v>R</v>
          </cell>
          <cell r="I920" t="str">
            <v>06/10/2024</v>
          </cell>
          <cell r="J920" t="str">
            <v>06/10/2024</v>
          </cell>
          <cell r="K920" t="str">
            <v>06/17/2024</v>
          </cell>
          <cell r="L920">
            <v>100</v>
          </cell>
          <cell r="M920" t="str">
            <v>6/11/2024 4:46:26 PM</v>
          </cell>
          <cell r="N920" t="str">
            <v>25</v>
          </cell>
          <cell r="O920">
            <v>100</v>
          </cell>
          <cell r="P920">
            <v>1.25</v>
          </cell>
        </row>
        <row r="921">
          <cell r="A921" t="str">
            <v>6726573</v>
          </cell>
          <cell r="B921" t="str">
            <v>1323924</v>
          </cell>
          <cell r="C921" t="str">
            <v>SA-7235KEEPER</v>
          </cell>
          <cell r="D921" t="str">
            <v>SA</v>
          </cell>
          <cell r="E921" t="str">
            <v>SA KEEPER MODEL 7235</v>
          </cell>
          <cell r="F921" t="str">
            <v>BN-KEEPER</v>
          </cell>
          <cell r="G921" t="str">
            <v>1420-210-SB</v>
          </cell>
          <cell r="H921" t="str">
            <v>R</v>
          </cell>
          <cell r="I921" t="str">
            <v>06/10/2024</v>
          </cell>
          <cell r="J921" t="str">
            <v>06/10/2024</v>
          </cell>
          <cell r="K921" t="str">
            <v>06/17/2024</v>
          </cell>
          <cell r="L921">
            <v>100</v>
          </cell>
          <cell r="M921" t="str">
            <v>6/11/2024 4:46:35 PM</v>
          </cell>
          <cell r="N921" t="str">
            <v>25</v>
          </cell>
          <cell r="O921">
            <v>100</v>
          </cell>
          <cell r="P921">
            <v>1.25</v>
          </cell>
        </row>
        <row r="922">
          <cell r="A922" t="str">
            <v>6726574</v>
          </cell>
          <cell r="B922" t="str">
            <v>1323924</v>
          </cell>
          <cell r="C922" t="str">
            <v>SA-7235KEEPER</v>
          </cell>
          <cell r="D922" t="str">
            <v>SA</v>
          </cell>
          <cell r="E922" t="str">
            <v>SA KEEPER MODEL 7235</v>
          </cell>
          <cell r="F922" t="str">
            <v>BN-KEEPER</v>
          </cell>
          <cell r="G922" t="str">
            <v>1420-210-SB</v>
          </cell>
          <cell r="H922" t="str">
            <v>R</v>
          </cell>
          <cell r="I922" t="str">
            <v>06/10/2024</v>
          </cell>
          <cell r="J922" t="str">
            <v>06/10/2024</v>
          </cell>
          <cell r="K922" t="str">
            <v>06/17/2024</v>
          </cell>
          <cell r="L922">
            <v>100</v>
          </cell>
          <cell r="M922" t="str">
            <v>6/11/2024 4:46:45 PM</v>
          </cell>
          <cell r="N922" t="str">
            <v>25</v>
          </cell>
          <cell r="O922">
            <v>100</v>
          </cell>
          <cell r="P922">
            <v>1.25</v>
          </cell>
        </row>
        <row r="923">
          <cell r="A923" t="str">
            <v>6726575</v>
          </cell>
          <cell r="B923" t="str">
            <v>1323924</v>
          </cell>
          <cell r="C923" t="str">
            <v>SA-7235KEEPER</v>
          </cell>
          <cell r="D923" t="str">
            <v>SA</v>
          </cell>
          <cell r="E923" t="str">
            <v>SA KEEPER MODEL 7235</v>
          </cell>
          <cell r="F923" t="str">
            <v>BN-KEEPER</v>
          </cell>
          <cell r="G923" t="str">
            <v>1420-210-SB</v>
          </cell>
          <cell r="H923" t="str">
            <v>R</v>
          </cell>
          <cell r="I923" t="str">
            <v>06/10/2024</v>
          </cell>
          <cell r="J923" t="str">
            <v>06/10/2024</v>
          </cell>
          <cell r="K923" t="str">
            <v>06/17/2024</v>
          </cell>
          <cell r="L923">
            <v>100</v>
          </cell>
          <cell r="M923" t="str">
            <v>6/11/2024 4:46:57 PM</v>
          </cell>
          <cell r="N923" t="str">
            <v>25</v>
          </cell>
          <cell r="O923">
            <v>100</v>
          </cell>
          <cell r="P923">
            <v>1.25</v>
          </cell>
        </row>
        <row r="924">
          <cell r="A924" t="str">
            <v>6726576</v>
          </cell>
          <cell r="B924" t="str">
            <v>1323924</v>
          </cell>
          <cell r="C924" t="str">
            <v>SA-7235KEEPER</v>
          </cell>
          <cell r="D924" t="str">
            <v>SA</v>
          </cell>
          <cell r="E924" t="str">
            <v>SA KEEPER MODEL 7235</v>
          </cell>
          <cell r="F924" t="str">
            <v>BN-KEEPER</v>
          </cell>
          <cell r="G924" t="str">
            <v>1420-210-SB</v>
          </cell>
          <cell r="H924" t="str">
            <v>R</v>
          </cell>
          <cell r="I924" t="str">
            <v>06/10/2024</v>
          </cell>
          <cell r="J924" t="str">
            <v>06/10/2024</v>
          </cell>
          <cell r="K924" t="str">
            <v>06/17/2024</v>
          </cell>
          <cell r="L924">
            <v>100</v>
          </cell>
          <cell r="M924" t="str">
            <v>6/11/2024 4:47:06 PM</v>
          </cell>
          <cell r="N924" t="str">
            <v>25</v>
          </cell>
          <cell r="O924">
            <v>100</v>
          </cell>
          <cell r="P924">
            <v>1.25</v>
          </cell>
        </row>
        <row r="925">
          <cell r="A925" t="str">
            <v>6726577</v>
          </cell>
          <cell r="B925" t="str">
            <v>1323924</v>
          </cell>
          <cell r="C925" t="str">
            <v>SA-7235KEEPER</v>
          </cell>
          <cell r="D925" t="str">
            <v>SA</v>
          </cell>
          <cell r="E925" t="str">
            <v>SA KEEPER MODEL 7235</v>
          </cell>
          <cell r="F925" t="str">
            <v>BN-KEEPER</v>
          </cell>
          <cell r="G925" t="str">
            <v>1420-210-SB</v>
          </cell>
          <cell r="H925" t="str">
            <v>R</v>
          </cell>
          <cell r="I925" t="str">
            <v>06/10/2024</v>
          </cell>
          <cell r="J925" t="str">
            <v>06/10/2024</v>
          </cell>
          <cell r="K925" t="str">
            <v>06/17/2024</v>
          </cell>
          <cell r="L925">
            <v>100</v>
          </cell>
          <cell r="M925" t="str">
            <v>6/11/2024 4:47:20 PM</v>
          </cell>
          <cell r="N925" t="str">
            <v>25</v>
          </cell>
          <cell r="O925">
            <v>100</v>
          </cell>
          <cell r="P925">
            <v>1.25</v>
          </cell>
        </row>
        <row r="926">
          <cell r="A926" t="str">
            <v>6726578</v>
          </cell>
          <cell r="B926" t="str">
            <v>1323925</v>
          </cell>
          <cell r="C926" t="str">
            <v>SA-8300KEEPER</v>
          </cell>
          <cell r="D926" t="str">
            <v>SA</v>
          </cell>
          <cell r="E926" t="str">
            <v>SA KEEPER MODEL 8300</v>
          </cell>
          <cell r="F926" t="str">
            <v>BN-KEEPER</v>
          </cell>
          <cell r="G926" t="str">
            <v>1420-210-SB</v>
          </cell>
          <cell r="H926" t="str">
            <v>R</v>
          </cell>
          <cell r="I926" t="str">
            <v>06/10/2024</v>
          </cell>
          <cell r="J926" t="str">
            <v>06/10/2024</v>
          </cell>
          <cell r="K926" t="str">
            <v>06/17/2024</v>
          </cell>
          <cell r="L926">
            <v>277</v>
          </cell>
          <cell r="M926" t="str">
            <v>6/11/2024 4:47:31 PM</v>
          </cell>
          <cell r="N926" t="str">
            <v>25</v>
          </cell>
          <cell r="O926">
            <v>277</v>
          </cell>
          <cell r="P926">
            <v>5.35</v>
          </cell>
        </row>
        <row r="927">
          <cell r="A927" t="str">
            <v>6726649</v>
          </cell>
          <cell r="B927" t="str">
            <v>1016968</v>
          </cell>
          <cell r="C927" t="str">
            <v>22215</v>
          </cell>
          <cell r="D927" t="str">
            <v>7960</v>
          </cell>
          <cell r="E927" t="str">
            <v>SAM BROWNE BELT BSK BLK SZ 30 CHROME</v>
          </cell>
          <cell r="F927" t="str">
            <v>BN-BELT</v>
          </cell>
          <cell r="G927" t="str">
            <v>1420-210-FG</v>
          </cell>
          <cell r="H927" t="str">
            <v>R</v>
          </cell>
          <cell r="I927" t="str">
            <v>06/10/2024</v>
          </cell>
          <cell r="J927" t="str">
            <v>06/10/2024</v>
          </cell>
          <cell r="K927" t="str">
            <v>06/17/2024</v>
          </cell>
          <cell r="L927">
            <v>6</v>
          </cell>
          <cell r="M927" t="str">
            <v>6/11/2024 2:36:12 PM</v>
          </cell>
          <cell r="N927" t="str">
            <v>25</v>
          </cell>
          <cell r="O927">
            <v>6</v>
          </cell>
          <cell r="P927">
            <v>1.1399999999999999</v>
          </cell>
        </row>
        <row r="928">
          <cell r="A928" t="str">
            <v>6726653</v>
          </cell>
          <cell r="B928" t="str">
            <v>1017006</v>
          </cell>
          <cell r="C928" t="str">
            <v>22247</v>
          </cell>
          <cell r="D928" t="str">
            <v>7960</v>
          </cell>
          <cell r="E928" t="str">
            <v>SAM BROWNE BELT BSK BLK SZ 34 BRASS</v>
          </cell>
          <cell r="F928" t="str">
            <v>BN-BELT</v>
          </cell>
          <cell r="G928" t="str">
            <v>1420-210-FG</v>
          </cell>
          <cell r="H928" t="str">
            <v>R</v>
          </cell>
          <cell r="I928" t="str">
            <v>06/10/2024</v>
          </cell>
          <cell r="J928" t="str">
            <v>06/10/2024</v>
          </cell>
          <cell r="K928" t="str">
            <v>06/17/2024</v>
          </cell>
          <cell r="L928">
            <v>10</v>
          </cell>
          <cell r="M928" t="str">
            <v>6/11/2024 2:36:12 PM</v>
          </cell>
          <cell r="N928" t="str">
            <v>25</v>
          </cell>
          <cell r="O928">
            <v>10</v>
          </cell>
          <cell r="P928">
            <v>1.91</v>
          </cell>
        </row>
        <row r="929">
          <cell r="A929" t="str">
            <v>6726654</v>
          </cell>
          <cell r="B929" t="str">
            <v>1017007</v>
          </cell>
          <cell r="C929" t="str">
            <v>22248</v>
          </cell>
          <cell r="D929" t="str">
            <v>7960</v>
          </cell>
          <cell r="E929" t="str">
            <v>SAM BROWNE BELT BSK BLK SZ 36 BRASS</v>
          </cell>
          <cell r="F929" t="str">
            <v>BN-BELT</v>
          </cell>
          <cell r="G929" t="str">
            <v>1420-210-FG</v>
          </cell>
          <cell r="H929" t="str">
            <v>R</v>
          </cell>
          <cell r="I929" t="str">
            <v>06/10/2024</v>
          </cell>
          <cell r="J929" t="str">
            <v>06/10/2024</v>
          </cell>
          <cell r="K929" t="str">
            <v>06/17/2024</v>
          </cell>
          <cell r="L929">
            <v>10</v>
          </cell>
          <cell r="M929" t="str">
            <v>6/11/2024 2:36:12 PM</v>
          </cell>
          <cell r="N929" t="str">
            <v>25</v>
          </cell>
          <cell r="O929">
            <v>10</v>
          </cell>
          <cell r="P929">
            <v>1.91</v>
          </cell>
        </row>
        <row r="930">
          <cell r="A930" t="str">
            <v>6726635</v>
          </cell>
          <cell r="B930" t="str">
            <v>1029091</v>
          </cell>
          <cell r="C930" t="str">
            <v>22221</v>
          </cell>
          <cell r="D930" t="str">
            <v>7960</v>
          </cell>
          <cell r="E930" t="str">
            <v>SAM BROWNE BELT BSK BLK SZ 36 CHROME</v>
          </cell>
          <cell r="F930" t="str">
            <v>BN-BELT</v>
          </cell>
          <cell r="G930" t="str">
            <v>1420-210-FG</v>
          </cell>
          <cell r="H930" t="str">
            <v>R</v>
          </cell>
          <cell r="I930" t="str">
            <v>06/10/2024</v>
          </cell>
          <cell r="J930" t="str">
            <v>06/10/2024</v>
          </cell>
          <cell r="K930" t="str">
            <v>06/17/2024</v>
          </cell>
          <cell r="L930">
            <v>30</v>
          </cell>
          <cell r="M930" t="str">
            <v>6/11/2024 2:36:12 PM</v>
          </cell>
          <cell r="N930" t="str">
            <v>25</v>
          </cell>
          <cell r="O930">
            <v>30</v>
          </cell>
          <cell r="P930">
            <v>5.72</v>
          </cell>
        </row>
        <row r="931">
          <cell r="A931" t="str">
            <v>6726655</v>
          </cell>
          <cell r="B931" t="str">
            <v>1017008</v>
          </cell>
          <cell r="C931" t="str">
            <v>22249</v>
          </cell>
          <cell r="D931" t="str">
            <v>7960</v>
          </cell>
          <cell r="E931" t="str">
            <v>SAM BROWNE BELT BSK BLK SZ 38 BRASS</v>
          </cell>
          <cell r="F931" t="str">
            <v>BN-BELT</v>
          </cell>
          <cell r="G931" t="str">
            <v>1420-210-FG</v>
          </cell>
          <cell r="H931" t="str">
            <v>R</v>
          </cell>
          <cell r="I931" t="str">
            <v>06/10/2024</v>
          </cell>
          <cell r="J931" t="str">
            <v>06/10/2024</v>
          </cell>
          <cell r="K931" t="str">
            <v>06/17/2024</v>
          </cell>
          <cell r="L931">
            <v>10</v>
          </cell>
          <cell r="M931" t="str">
            <v>6/11/2024 2:36:12 PM</v>
          </cell>
          <cell r="N931" t="str">
            <v>25</v>
          </cell>
          <cell r="O931">
            <v>10</v>
          </cell>
          <cell r="P931">
            <v>1.91</v>
          </cell>
        </row>
        <row r="932">
          <cell r="A932" t="str">
            <v>6726656</v>
          </cell>
          <cell r="B932" t="str">
            <v>1017021</v>
          </cell>
          <cell r="C932" t="str">
            <v>22252</v>
          </cell>
          <cell r="D932" t="str">
            <v>7960</v>
          </cell>
          <cell r="E932" t="str">
            <v>SAM BROWNE BELT BSK BLK SZ 44 BRASS</v>
          </cell>
          <cell r="F932" t="str">
            <v>BN-BELT</v>
          </cell>
          <cell r="G932" t="str">
            <v>1420-210-FG</v>
          </cell>
          <cell r="H932" t="str">
            <v>R</v>
          </cell>
          <cell r="I932" t="str">
            <v>06/10/2024</v>
          </cell>
          <cell r="J932" t="str">
            <v>06/10/2024</v>
          </cell>
          <cell r="K932" t="str">
            <v>06/17/2024</v>
          </cell>
          <cell r="L932">
            <v>10</v>
          </cell>
          <cell r="M932" t="str">
            <v>6/11/2024 2:36:12 PM</v>
          </cell>
          <cell r="N932" t="str">
            <v>25</v>
          </cell>
          <cell r="O932">
            <v>10</v>
          </cell>
          <cell r="P932">
            <v>1.9</v>
          </cell>
        </row>
        <row r="933">
          <cell r="A933" t="str">
            <v>6726651</v>
          </cell>
          <cell r="B933" t="str">
            <v>1016980</v>
          </cell>
          <cell r="C933" t="str">
            <v>22229</v>
          </cell>
          <cell r="D933" t="str">
            <v>7960</v>
          </cell>
          <cell r="E933" t="str">
            <v>SAM BROWNE BELT BSK BLK SZ 44 CHROME</v>
          </cell>
          <cell r="F933" t="str">
            <v>BN-BELT</v>
          </cell>
          <cell r="G933" t="str">
            <v>1420-210-FG</v>
          </cell>
          <cell r="H933" t="str">
            <v>R</v>
          </cell>
          <cell r="I933" t="str">
            <v>06/10/2024</v>
          </cell>
          <cell r="J933" t="str">
            <v>06/10/2024</v>
          </cell>
          <cell r="K933" t="str">
            <v>06/17/2024</v>
          </cell>
          <cell r="L933">
            <v>10</v>
          </cell>
          <cell r="M933" t="str">
            <v>6/11/2024 2:36:12 PM</v>
          </cell>
          <cell r="N933" t="str">
            <v>25</v>
          </cell>
          <cell r="O933">
            <v>10</v>
          </cell>
          <cell r="P933">
            <v>1.91</v>
          </cell>
        </row>
        <row r="934">
          <cell r="A934" t="str">
            <v>6726652</v>
          </cell>
          <cell r="B934" t="str">
            <v>1016991</v>
          </cell>
          <cell r="C934" t="str">
            <v>22231</v>
          </cell>
          <cell r="D934" t="str">
            <v>7960</v>
          </cell>
          <cell r="E934" t="str">
            <v>SAM BROWNE BELT BSK BLK SZ 46 CHROME</v>
          </cell>
          <cell r="F934" t="str">
            <v>BN-BELT</v>
          </cell>
          <cell r="G934" t="str">
            <v>1420-210-FG</v>
          </cell>
          <cell r="H934" t="str">
            <v>R</v>
          </cell>
          <cell r="I934" t="str">
            <v>06/10/2024</v>
          </cell>
          <cell r="J934" t="str">
            <v>06/10/2024</v>
          </cell>
          <cell r="K934" t="str">
            <v>06/17/2024</v>
          </cell>
          <cell r="L934">
            <v>10</v>
          </cell>
          <cell r="M934" t="str">
            <v>6/11/2024 2:36:12 PM</v>
          </cell>
          <cell r="N934" t="str">
            <v>25</v>
          </cell>
          <cell r="O934">
            <v>10</v>
          </cell>
          <cell r="P934">
            <v>1.91</v>
          </cell>
        </row>
        <row r="935">
          <cell r="A935" t="str">
            <v>6726659</v>
          </cell>
          <cell r="B935" t="str">
            <v>1017283</v>
          </cell>
          <cell r="C935" t="str">
            <v>22383</v>
          </cell>
          <cell r="D935" t="str">
            <v>7960</v>
          </cell>
          <cell r="E935" t="str">
            <v>SAM BROWNE BELT HI-GLOSS-SZ 36 BRASS</v>
          </cell>
          <cell r="F935" t="str">
            <v>BN-BELT</v>
          </cell>
          <cell r="G935" t="str">
            <v>1420-210-FG</v>
          </cell>
          <cell r="H935" t="str">
            <v>R</v>
          </cell>
          <cell r="I935" t="str">
            <v>06/10/2024</v>
          </cell>
          <cell r="J935" t="str">
            <v>06/10/2024</v>
          </cell>
          <cell r="K935" t="str">
            <v>06/17/2024</v>
          </cell>
          <cell r="L935">
            <v>5</v>
          </cell>
          <cell r="M935" t="str">
            <v>6/11/2024 2:36:12 PM</v>
          </cell>
          <cell r="N935" t="str">
            <v>25</v>
          </cell>
          <cell r="O935">
            <v>5</v>
          </cell>
          <cell r="P935">
            <v>0.95</v>
          </cell>
        </row>
        <row r="936">
          <cell r="A936" t="str">
            <v>6726650</v>
          </cell>
          <cell r="B936" t="str">
            <v>1016979</v>
          </cell>
          <cell r="C936" t="str">
            <v>22228</v>
          </cell>
          <cell r="D936" t="str">
            <v>7960</v>
          </cell>
          <cell r="E936" t="str">
            <v>SAM BROWNE BELT PLN BLK SZ 44 CHROME</v>
          </cell>
          <cell r="F936" t="str">
            <v>BN-BELT</v>
          </cell>
          <cell r="G936" t="str">
            <v>1420-210-FG</v>
          </cell>
          <cell r="H936" t="str">
            <v>R</v>
          </cell>
          <cell r="I936" t="str">
            <v>06/10/2024</v>
          </cell>
          <cell r="J936" t="str">
            <v>06/10/2024</v>
          </cell>
          <cell r="K936" t="str">
            <v>06/17/2024</v>
          </cell>
          <cell r="L936">
            <v>5</v>
          </cell>
          <cell r="M936" t="str">
            <v>6/11/2024 2:36:12 PM</v>
          </cell>
          <cell r="N936" t="str">
            <v>25</v>
          </cell>
          <cell r="O936">
            <v>5</v>
          </cell>
          <cell r="P936">
            <v>0.95</v>
          </cell>
        </row>
        <row r="937">
          <cell r="A937" t="str">
            <v>6726700</v>
          </cell>
          <cell r="B937" t="str">
            <v>1017870</v>
          </cell>
          <cell r="C937" t="str">
            <v>22934</v>
          </cell>
          <cell r="D937" t="str">
            <v>7903</v>
          </cell>
          <cell r="E937" t="str">
            <v>SINGLE MAG/KNIFE POUCH BSK BLK SZ 2 HIDD</v>
          </cell>
          <cell r="F937" t="str">
            <v>BN-POUCH</v>
          </cell>
          <cell r="G937" t="str">
            <v>1420-210-FG</v>
          </cell>
          <cell r="H937" t="str">
            <v>R</v>
          </cell>
          <cell r="I937" t="str">
            <v>06/10/2024</v>
          </cell>
          <cell r="J937" t="str">
            <v>06/10/2024</v>
          </cell>
          <cell r="K937" t="str">
            <v>06/17/2024</v>
          </cell>
          <cell r="L937">
            <v>10</v>
          </cell>
          <cell r="M937" t="str">
            <v>6/11/2024 2:58:28 PM</v>
          </cell>
          <cell r="N937" t="str">
            <v>25</v>
          </cell>
          <cell r="O937">
            <v>10</v>
          </cell>
          <cell r="P937">
            <v>1.39</v>
          </cell>
        </row>
        <row r="938">
          <cell r="A938" t="str">
            <v>6726800</v>
          </cell>
          <cell r="B938" t="str">
            <v>1162858</v>
          </cell>
          <cell r="C938" t="str">
            <v>6005-10-76-MS22</v>
          </cell>
          <cell r="D938" t="str">
            <v>6005</v>
          </cell>
          <cell r="E938" t="str">
            <v>SINGLE STRAP LEG SHROUD W QUICK RELEASE</v>
          </cell>
          <cell r="F938" t="str">
            <v>DG-HARNESS-DTC</v>
          </cell>
          <cell r="G938" t="str">
            <v>1420-210-FG</v>
          </cell>
          <cell r="H938" t="str">
            <v>F</v>
          </cell>
          <cell r="I938" t="str">
            <v>06/10/2024</v>
          </cell>
          <cell r="J938" t="str">
            <v>06/10/2024</v>
          </cell>
          <cell r="K938" t="str">
            <v>06/17/2024</v>
          </cell>
          <cell r="L938">
            <v>5</v>
          </cell>
          <cell r="M938" t="str">
            <v/>
          </cell>
          <cell r="N938" t="str">
            <v>25</v>
          </cell>
          <cell r="O938">
            <v>5</v>
          </cell>
          <cell r="P938">
            <v>0.28999999999999998</v>
          </cell>
        </row>
        <row r="939">
          <cell r="A939" t="str">
            <v>6726799</v>
          </cell>
          <cell r="B939" t="str">
            <v>1132974</v>
          </cell>
          <cell r="C939" t="str">
            <v>6005-10-55-MS22</v>
          </cell>
          <cell r="D939" t="str">
            <v>6005</v>
          </cell>
          <cell r="E939" t="str">
            <v>SML TACTICAL LEG PLATE/W BUCKLE</v>
          </cell>
          <cell r="F939" t="str">
            <v>DG-HARNESS-DTC</v>
          </cell>
          <cell r="G939" t="str">
            <v>1420-210-FG</v>
          </cell>
          <cell r="H939" t="str">
            <v>F</v>
          </cell>
          <cell r="I939" t="str">
            <v>06/10/2024</v>
          </cell>
          <cell r="J939" t="str">
            <v>06/10/2024</v>
          </cell>
          <cell r="K939" t="str">
            <v>06/17/2024</v>
          </cell>
          <cell r="L939">
            <v>5</v>
          </cell>
          <cell r="M939" t="str">
            <v/>
          </cell>
          <cell r="N939" t="str">
            <v>25</v>
          </cell>
          <cell r="O939">
            <v>5</v>
          </cell>
          <cell r="P939">
            <v>0.28999999999999998</v>
          </cell>
        </row>
        <row r="940">
          <cell r="A940" t="str">
            <v>6723450</v>
          </cell>
          <cell r="B940" t="str">
            <v>1333832</v>
          </cell>
          <cell r="C940" t="str">
            <v>20-283-131</v>
          </cell>
          <cell r="D940" t="str">
            <v>SPECIES</v>
          </cell>
          <cell r="E940" t="str">
            <v>SPECIES GLOCK 19 STX TAC BLK RT</v>
          </cell>
          <cell r="F940" t="str">
            <v>DG-HOLSTER</v>
          </cell>
          <cell r="G940" t="str">
            <v>1420-210-FG</v>
          </cell>
          <cell r="H940" t="str">
            <v>R</v>
          </cell>
          <cell r="I940" t="str">
            <v>06/03/2024</v>
          </cell>
          <cell r="J940" t="str">
            <v>06/03/2024</v>
          </cell>
          <cell r="K940" t="str">
            <v>06/17/2024</v>
          </cell>
          <cell r="L940">
            <v>6</v>
          </cell>
          <cell r="M940" t="str">
            <v>6/6/2024 9:53:20 AM</v>
          </cell>
          <cell r="N940" t="str">
            <v>25</v>
          </cell>
          <cell r="O940">
            <v>6</v>
          </cell>
          <cell r="P940">
            <v>0.75</v>
          </cell>
        </row>
        <row r="941">
          <cell r="A941" t="str">
            <v>6724306</v>
          </cell>
          <cell r="B941" t="str">
            <v>1333832</v>
          </cell>
          <cell r="C941" t="str">
            <v>20-283-131</v>
          </cell>
          <cell r="D941" t="str">
            <v>SPECIES</v>
          </cell>
          <cell r="E941" t="str">
            <v>SPECIES GLOCK 19 STX TAC BLK RT</v>
          </cell>
          <cell r="F941" t="str">
            <v>DG-HOLSTER</v>
          </cell>
          <cell r="G941" t="str">
            <v>1420-210-FG</v>
          </cell>
          <cell r="H941" t="str">
            <v>R</v>
          </cell>
          <cell r="I941" t="str">
            <v>06/04/2024</v>
          </cell>
          <cell r="J941" t="str">
            <v>06/04/2024</v>
          </cell>
          <cell r="K941" t="str">
            <v>06/17/2024</v>
          </cell>
          <cell r="L941">
            <v>7</v>
          </cell>
          <cell r="M941" t="str">
            <v>6/6/2024 9:53:20 AM</v>
          </cell>
          <cell r="N941" t="str">
            <v>25</v>
          </cell>
          <cell r="O941">
            <v>7</v>
          </cell>
          <cell r="P941">
            <v>0.87</v>
          </cell>
        </row>
        <row r="942">
          <cell r="A942" t="str">
            <v>6724949</v>
          </cell>
          <cell r="B942" t="str">
            <v>1333832</v>
          </cell>
          <cell r="C942" t="str">
            <v>20-283-131</v>
          </cell>
          <cell r="D942" t="str">
            <v>SPECIES</v>
          </cell>
          <cell r="E942" t="str">
            <v>SPECIES GLOCK 19 STX TAC BLK RT</v>
          </cell>
          <cell r="F942" t="str">
            <v>DG-HOLSTER</v>
          </cell>
          <cell r="G942" t="str">
            <v>1420-210-FG</v>
          </cell>
          <cell r="H942" t="str">
            <v>R</v>
          </cell>
          <cell r="I942" t="str">
            <v>06/04/2024</v>
          </cell>
          <cell r="J942" t="str">
            <v>06/07/2024</v>
          </cell>
          <cell r="K942" t="str">
            <v>06/17/2024</v>
          </cell>
          <cell r="L942">
            <v>5</v>
          </cell>
          <cell r="M942" t="str">
            <v>6/6/2024 9:53:20 AM</v>
          </cell>
          <cell r="N942" t="str">
            <v>25</v>
          </cell>
          <cell r="O942">
            <v>5</v>
          </cell>
          <cell r="P942">
            <v>0.61</v>
          </cell>
        </row>
        <row r="943">
          <cell r="A943" t="str">
            <v>6723453</v>
          </cell>
          <cell r="B943" t="str">
            <v>1335763</v>
          </cell>
          <cell r="C943" t="str">
            <v>20-895-711</v>
          </cell>
          <cell r="D943" t="str">
            <v>SPECIES</v>
          </cell>
          <cell r="E943" t="str">
            <v>SPECIES GLOCK 43/43X COR BKMCAM RH</v>
          </cell>
          <cell r="F943" t="str">
            <v>DG-HOLSTER</v>
          </cell>
          <cell r="G943" t="str">
            <v>1420-210-FG</v>
          </cell>
          <cell r="H943" t="str">
            <v>R</v>
          </cell>
          <cell r="I943" t="str">
            <v>06/03/2024</v>
          </cell>
          <cell r="J943" t="str">
            <v>06/03/2024</v>
          </cell>
          <cell r="K943" t="str">
            <v>06/17/2024</v>
          </cell>
          <cell r="L943">
            <v>2</v>
          </cell>
          <cell r="M943" t="str">
            <v>6/6/2024 9:55:11 AM</v>
          </cell>
          <cell r="N943" t="str">
            <v>25</v>
          </cell>
          <cell r="O943">
            <v>2</v>
          </cell>
          <cell r="P943">
            <v>0.39</v>
          </cell>
        </row>
        <row r="944">
          <cell r="A944" t="str">
            <v>6723350</v>
          </cell>
          <cell r="B944" t="str">
            <v>1332762</v>
          </cell>
          <cell r="C944" t="str">
            <v>20-895-131</v>
          </cell>
          <cell r="D944" t="str">
            <v>SPECIES</v>
          </cell>
          <cell r="E944" t="str">
            <v>SPECIES GLOCK 43/43X STX TAC BLK RT</v>
          </cell>
          <cell r="F944" t="str">
            <v>DG-HOLSTER</v>
          </cell>
          <cell r="G944" t="str">
            <v>1420-210-FG</v>
          </cell>
          <cell r="H944" t="str">
            <v>R</v>
          </cell>
          <cell r="I944" t="str">
            <v>06/03/2024</v>
          </cell>
          <cell r="J944" t="str">
            <v>06/03/2024</v>
          </cell>
          <cell r="K944" t="str">
            <v>06/17/2024</v>
          </cell>
          <cell r="L944">
            <v>200</v>
          </cell>
          <cell r="M944" t="str">
            <v>6/6/2024 9:53:20 AM</v>
          </cell>
          <cell r="N944" t="str">
            <v>25</v>
          </cell>
          <cell r="O944">
            <v>200</v>
          </cell>
          <cell r="P944">
            <v>24.72</v>
          </cell>
        </row>
        <row r="945">
          <cell r="A945" t="str">
            <v>6723456</v>
          </cell>
          <cell r="B945" t="str">
            <v>1335811</v>
          </cell>
          <cell r="C945" t="str">
            <v>20-896-711</v>
          </cell>
          <cell r="D945" t="str">
            <v>SPECIES</v>
          </cell>
          <cell r="E945" t="str">
            <v>SPECIES GLOCK 48 COR BKMCAM RH</v>
          </cell>
          <cell r="F945" t="str">
            <v>DG-HOLSTER</v>
          </cell>
          <cell r="G945" t="str">
            <v>1420-210-FG</v>
          </cell>
          <cell r="H945" t="str">
            <v>R</v>
          </cell>
          <cell r="I945" t="str">
            <v>06/03/2024</v>
          </cell>
          <cell r="J945" t="str">
            <v>06/03/2024</v>
          </cell>
          <cell r="K945" t="str">
            <v>06/17/2024</v>
          </cell>
          <cell r="L945">
            <v>1</v>
          </cell>
          <cell r="M945" t="str">
            <v>6/6/2024 9:55:34 AM</v>
          </cell>
          <cell r="N945" t="str">
            <v>25</v>
          </cell>
          <cell r="O945">
            <v>1</v>
          </cell>
          <cell r="P945">
            <v>0.2</v>
          </cell>
        </row>
        <row r="946">
          <cell r="A946" t="str">
            <v>6724960</v>
          </cell>
          <cell r="B946" t="str">
            <v>1333833</v>
          </cell>
          <cell r="C946" t="str">
            <v>20-896-131</v>
          </cell>
          <cell r="D946" t="str">
            <v>SPECIES</v>
          </cell>
          <cell r="E946" t="str">
            <v>SPECIES GLOCK 48 STX TAC BLK RT</v>
          </cell>
          <cell r="F946" t="str">
            <v>DG-HOLSTER</v>
          </cell>
          <cell r="G946" t="str">
            <v>1420-210-FG</v>
          </cell>
          <cell r="H946" t="str">
            <v>R</v>
          </cell>
          <cell r="I946" t="str">
            <v>06/04/2024</v>
          </cell>
          <cell r="J946" t="str">
            <v>06/10/2024</v>
          </cell>
          <cell r="K946" t="str">
            <v>06/17/2024</v>
          </cell>
          <cell r="L946">
            <v>100</v>
          </cell>
          <cell r="M946" t="str">
            <v>6/6/2024 9:53:20 AM</v>
          </cell>
          <cell r="N946" t="str">
            <v>25</v>
          </cell>
          <cell r="O946">
            <v>100</v>
          </cell>
          <cell r="P946">
            <v>12.36</v>
          </cell>
        </row>
        <row r="947">
          <cell r="A947" t="str">
            <v>6723351</v>
          </cell>
          <cell r="B947" t="str">
            <v>1332764</v>
          </cell>
          <cell r="C947" t="str">
            <v>20-144-131</v>
          </cell>
          <cell r="D947" t="str">
            <v>SPECIES</v>
          </cell>
          <cell r="E947" t="str">
            <v>SPECIES HELLCAT STX TAC BLK RT</v>
          </cell>
          <cell r="F947" t="str">
            <v>DG-HOLSTER</v>
          </cell>
          <cell r="G947" t="str">
            <v>1420-210-FG</v>
          </cell>
          <cell r="H947" t="str">
            <v>R</v>
          </cell>
          <cell r="I947" t="str">
            <v>06/03/2024</v>
          </cell>
          <cell r="J947" t="str">
            <v>06/03/2024</v>
          </cell>
          <cell r="K947" t="str">
            <v>06/17/2024</v>
          </cell>
          <cell r="L947">
            <v>100</v>
          </cell>
          <cell r="M947" t="str">
            <v>6/6/2024 9:53:20 AM</v>
          </cell>
          <cell r="N947" t="str">
            <v>25</v>
          </cell>
          <cell r="O947">
            <v>100</v>
          </cell>
          <cell r="P947">
            <v>12.36</v>
          </cell>
        </row>
        <row r="948">
          <cell r="A948" t="str">
            <v>6724959</v>
          </cell>
          <cell r="B948" t="str">
            <v>1332763</v>
          </cell>
          <cell r="C948" t="str">
            <v>20-365-131</v>
          </cell>
          <cell r="D948" t="str">
            <v>SPECIES</v>
          </cell>
          <cell r="E948" t="str">
            <v>SPECIES P365 STX TAC BLK RT</v>
          </cell>
          <cell r="F948" t="str">
            <v>DG-HOLSTER</v>
          </cell>
          <cell r="G948" t="str">
            <v>1420-210-FG</v>
          </cell>
          <cell r="H948" t="str">
            <v>R</v>
          </cell>
          <cell r="I948" t="str">
            <v>06/04/2024</v>
          </cell>
          <cell r="J948" t="str">
            <v>06/07/2024</v>
          </cell>
          <cell r="K948" t="str">
            <v>06/17/2024</v>
          </cell>
          <cell r="L948">
            <v>150</v>
          </cell>
          <cell r="M948" t="str">
            <v>6/6/2024 9:53:20 AM</v>
          </cell>
          <cell r="N948" t="str">
            <v>25</v>
          </cell>
          <cell r="O948">
            <v>150</v>
          </cell>
          <cell r="P948">
            <v>18.559999999999999</v>
          </cell>
        </row>
        <row r="949">
          <cell r="A949" t="str">
            <v>6723454</v>
          </cell>
          <cell r="B949" t="str">
            <v>1335771</v>
          </cell>
          <cell r="C949" t="str">
            <v>20-286-711</v>
          </cell>
          <cell r="D949" t="str">
            <v>SPECIES</v>
          </cell>
          <cell r="E949" t="str">
            <v>SPECIES RUGER MAX 9 COR BKMCAM RH</v>
          </cell>
          <cell r="F949" t="str">
            <v>DG-HOLSTER</v>
          </cell>
          <cell r="G949" t="str">
            <v>1420-210-FG</v>
          </cell>
          <cell r="H949" t="str">
            <v>R</v>
          </cell>
          <cell r="I949" t="str">
            <v>06/03/2024</v>
          </cell>
          <cell r="J949" t="str">
            <v>06/03/2024</v>
          </cell>
          <cell r="K949" t="str">
            <v>06/17/2024</v>
          </cell>
          <cell r="L949">
            <v>5</v>
          </cell>
          <cell r="M949" t="str">
            <v>6/6/2024 9:55:22 AM</v>
          </cell>
          <cell r="N949" t="str">
            <v>25</v>
          </cell>
          <cell r="O949">
            <v>5</v>
          </cell>
          <cell r="P949">
            <v>0.96</v>
          </cell>
        </row>
        <row r="950">
          <cell r="A950" t="str">
            <v>6723452</v>
          </cell>
          <cell r="B950" t="str">
            <v>1333836</v>
          </cell>
          <cell r="C950" t="str">
            <v>20-286-131</v>
          </cell>
          <cell r="D950" t="str">
            <v>SPECIES</v>
          </cell>
          <cell r="E950" t="str">
            <v>SPECIES RUGER MAX 9 STX TAC BLK RT</v>
          </cell>
          <cell r="F950" t="str">
            <v>DG-HOLSTER</v>
          </cell>
          <cell r="G950" t="str">
            <v>1420-210-FG</v>
          </cell>
          <cell r="H950" t="str">
            <v>R</v>
          </cell>
          <cell r="I950" t="str">
            <v>06/03/2024</v>
          </cell>
          <cell r="J950" t="str">
            <v>06/03/2024</v>
          </cell>
          <cell r="K950" t="str">
            <v>06/17/2024</v>
          </cell>
          <cell r="L950">
            <v>4</v>
          </cell>
          <cell r="M950" t="str">
            <v>6/6/2024 9:53:20 AM</v>
          </cell>
          <cell r="N950" t="str">
            <v>25</v>
          </cell>
          <cell r="O950">
            <v>4</v>
          </cell>
          <cell r="P950">
            <v>0.49</v>
          </cell>
        </row>
        <row r="951">
          <cell r="A951" t="str">
            <v>6723451</v>
          </cell>
          <cell r="B951" t="str">
            <v>1333835</v>
          </cell>
          <cell r="C951" t="str">
            <v>20-172-131</v>
          </cell>
          <cell r="D951" t="str">
            <v>SPECIES</v>
          </cell>
          <cell r="E951" t="str">
            <v>SPECIES TAURUS G2C/G3C STX TAC BLK RT</v>
          </cell>
          <cell r="F951" t="str">
            <v>DG-HOLSTER</v>
          </cell>
          <cell r="G951" t="str">
            <v>1420-210-FG</v>
          </cell>
          <cell r="H951" t="str">
            <v>R</v>
          </cell>
          <cell r="I951" t="str">
            <v>06/03/2024</v>
          </cell>
          <cell r="J951" t="str">
            <v>06/03/2024</v>
          </cell>
          <cell r="K951" t="str">
            <v>06/17/2024</v>
          </cell>
          <cell r="L951">
            <v>34</v>
          </cell>
          <cell r="M951" t="str">
            <v>6/6/2024 9:53:20 AM</v>
          </cell>
          <cell r="N951" t="str">
            <v>25</v>
          </cell>
          <cell r="O951">
            <v>34</v>
          </cell>
          <cell r="P951">
            <v>4.2</v>
          </cell>
        </row>
        <row r="952">
          <cell r="A952" t="str">
            <v>6726671</v>
          </cell>
          <cell r="B952" t="str">
            <v>1016340</v>
          </cell>
          <cell r="C952" t="str">
            <v>17701</v>
          </cell>
          <cell r="D952" t="str">
            <v>7000</v>
          </cell>
          <cell r="E952" t="str">
            <v>SPORTING HOL. BLK LH SZ 18 BROWING BUCKM</v>
          </cell>
          <cell r="F952" t="str">
            <v>BN-HOLSTER</v>
          </cell>
          <cell r="G952" t="str">
            <v>1420-210-FG</v>
          </cell>
          <cell r="H952" t="str">
            <v>R</v>
          </cell>
          <cell r="I952" t="str">
            <v>06/10/2024</v>
          </cell>
          <cell r="J952" t="str">
            <v>06/10/2024</v>
          </cell>
          <cell r="K952" t="str">
            <v>06/17/2024</v>
          </cell>
          <cell r="L952">
            <v>5</v>
          </cell>
          <cell r="M952" t="str">
            <v>6/11/2024 2:45:13 PM</v>
          </cell>
          <cell r="N952" t="str">
            <v>25</v>
          </cell>
          <cell r="O952">
            <v>5</v>
          </cell>
          <cell r="P952">
            <v>1.76</v>
          </cell>
        </row>
        <row r="953">
          <cell r="A953" t="str">
            <v>6725048</v>
          </cell>
          <cell r="B953" t="str">
            <v>1118781</v>
          </cell>
          <cell r="C953" t="str">
            <v>6005-94-121</v>
          </cell>
          <cell r="D953" t="str">
            <v>6005</v>
          </cell>
          <cell r="E953" t="str">
            <v>TACTICAL HOLSER</v>
          </cell>
          <cell r="F953" t="str">
            <v>DG-HOLSTER-H</v>
          </cell>
          <cell r="G953" t="str">
            <v>1420-210-FG</v>
          </cell>
          <cell r="H953" t="str">
            <v>R</v>
          </cell>
          <cell r="I953" t="str">
            <v>06/05/2024</v>
          </cell>
          <cell r="J953" t="str">
            <v>06/05/2024</v>
          </cell>
          <cell r="K953" t="str">
            <v>06/17/2024</v>
          </cell>
          <cell r="L953">
            <v>10</v>
          </cell>
          <cell r="M953" t="str">
            <v>6/6/2024 8:59:08 AM</v>
          </cell>
          <cell r="N953" t="str">
            <v>25</v>
          </cell>
          <cell r="O953">
            <v>10</v>
          </cell>
          <cell r="P953">
            <v>4.6900000000000004</v>
          </cell>
        </row>
        <row r="954">
          <cell r="A954" t="str">
            <v>6726672</v>
          </cell>
          <cell r="B954" t="str">
            <v>1016370</v>
          </cell>
          <cell r="C954" t="str">
            <v>17717</v>
          </cell>
          <cell r="D954" t="str">
            <v>7001</v>
          </cell>
          <cell r="E954" t="str">
            <v>THUMBSNAP BLK RH SZ 14 COLT GOVERNMENT 5</v>
          </cell>
          <cell r="F954" t="str">
            <v>BN-HOLSTER</v>
          </cell>
          <cell r="G954" t="str">
            <v>1420-210-FG</v>
          </cell>
          <cell r="H954" t="str">
            <v>R</v>
          </cell>
          <cell r="I954" t="str">
            <v>06/10/2024</v>
          </cell>
          <cell r="J954" t="str">
            <v>06/10/2024</v>
          </cell>
          <cell r="K954" t="str">
            <v>06/17/2024</v>
          </cell>
          <cell r="L954">
            <v>10</v>
          </cell>
          <cell r="M954" t="str">
            <v>6/11/2024 2:45:01 PM</v>
          </cell>
          <cell r="N954" t="str">
            <v>25</v>
          </cell>
          <cell r="O954">
            <v>10</v>
          </cell>
          <cell r="P954">
            <v>3.6</v>
          </cell>
        </row>
        <row r="955">
          <cell r="A955" t="str">
            <v>6726703</v>
          </cell>
          <cell r="B955" t="str">
            <v>1015796</v>
          </cell>
          <cell r="C955" t="str">
            <v>14219</v>
          </cell>
          <cell r="D955" t="str">
            <v>UM841</v>
          </cell>
          <cell r="E955" t="str">
            <v>UNIV. MIL. HOL. BLACK SZ 1 5IN AUTO</v>
          </cell>
          <cell r="F955" t="str">
            <v>BN-RANGER</v>
          </cell>
          <cell r="G955" t="str">
            <v>1420-210-FG</v>
          </cell>
          <cell r="H955" t="str">
            <v>F</v>
          </cell>
          <cell r="I955" t="str">
            <v>06/10/2024</v>
          </cell>
          <cell r="J955" t="str">
            <v>06/10/2024</v>
          </cell>
          <cell r="K955" t="str">
            <v>06/17/2024</v>
          </cell>
          <cell r="L955">
            <v>5</v>
          </cell>
          <cell r="M955" t="str">
            <v/>
          </cell>
          <cell r="N955" t="str">
            <v>25</v>
          </cell>
          <cell r="O955">
            <v>5</v>
          </cell>
          <cell r="P955">
            <v>1.68</v>
          </cell>
        </row>
        <row r="956">
          <cell r="A956" t="str">
            <v>6723191</v>
          </cell>
          <cell r="B956" t="str">
            <v>1015838</v>
          </cell>
          <cell r="C956" t="str">
            <v>14361</v>
          </cell>
          <cell r="D956" t="str">
            <v>UM842</v>
          </cell>
          <cell r="E956" t="str">
            <v>UNIV. MIL. HOL. BLACK SZ 2 4IN AUTO</v>
          </cell>
          <cell r="F956" t="str">
            <v>BN-RANGER</v>
          </cell>
          <cell r="G956" t="str">
            <v>1420-210-FG</v>
          </cell>
          <cell r="H956" t="str">
            <v>R</v>
          </cell>
          <cell r="I956" t="str">
            <v>06/03/2024</v>
          </cell>
          <cell r="J956" t="str">
            <v>06/03/2024</v>
          </cell>
          <cell r="K956" t="str">
            <v>06/17/2024</v>
          </cell>
          <cell r="L956">
            <v>20</v>
          </cell>
          <cell r="M956" t="str">
            <v>6/5/2024 10:06:10 AM</v>
          </cell>
          <cell r="N956" t="str">
            <v>25</v>
          </cell>
          <cell r="O956">
            <v>20</v>
          </cell>
          <cell r="P956">
            <v>5.28</v>
          </cell>
        </row>
        <row r="957">
          <cell r="A957" t="str">
            <v>6726704</v>
          </cell>
          <cell r="B957" t="str">
            <v>1015929</v>
          </cell>
          <cell r="C957" t="str">
            <v>14871</v>
          </cell>
          <cell r="D957" t="str">
            <v>UM84R</v>
          </cell>
          <cell r="E957" t="str">
            <v>UNIV. MIL. HOL. REVOLVER O/D S-W19 4IN</v>
          </cell>
          <cell r="F957" t="str">
            <v>BN-RANGER</v>
          </cell>
          <cell r="G957" t="str">
            <v>1420-210-FG</v>
          </cell>
          <cell r="H957" t="str">
            <v>R</v>
          </cell>
          <cell r="I957" t="str">
            <v>06/10/2024</v>
          </cell>
          <cell r="J957" t="str">
            <v>06/10/2024</v>
          </cell>
          <cell r="K957" t="str">
            <v>06/17/2024</v>
          </cell>
          <cell r="L957">
            <v>10</v>
          </cell>
          <cell r="M957" t="str">
            <v>6/11/2024 3:27:43 PM</v>
          </cell>
          <cell r="N957" t="str">
            <v>25</v>
          </cell>
          <cell r="O957">
            <v>10</v>
          </cell>
          <cell r="P957">
            <v>2.76</v>
          </cell>
        </row>
        <row r="958">
          <cell r="A958" t="str">
            <v>6726705</v>
          </cell>
          <cell r="B958" t="str">
            <v>1016126</v>
          </cell>
          <cell r="C958" t="str">
            <v>17006</v>
          </cell>
          <cell r="D958" t="str">
            <v>UM921</v>
          </cell>
          <cell r="E958" t="str">
            <v>UNIV. MIL. HOL.W/TGUARD BLACK SZ 1 5IN A</v>
          </cell>
          <cell r="F958" t="str">
            <v>BN-RANGER</v>
          </cell>
          <cell r="G958" t="str">
            <v>1420-210-FG</v>
          </cell>
          <cell r="H958" t="str">
            <v>F</v>
          </cell>
          <cell r="I958" t="str">
            <v>06/10/2024</v>
          </cell>
          <cell r="J958" t="str">
            <v>06/10/2024</v>
          </cell>
          <cell r="K958" t="str">
            <v>06/17/2024</v>
          </cell>
          <cell r="L958">
            <v>5</v>
          </cell>
          <cell r="M958" t="str">
            <v/>
          </cell>
          <cell r="N958" t="str">
            <v>25</v>
          </cell>
          <cell r="O958">
            <v>5</v>
          </cell>
          <cell r="P958">
            <v>1.66</v>
          </cell>
        </row>
        <row r="959">
          <cell r="A959" t="str">
            <v>6726707</v>
          </cell>
          <cell r="B959" t="str">
            <v>1016128</v>
          </cell>
          <cell r="C959" t="str">
            <v>17008</v>
          </cell>
          <cell r="D959" t="str">
            <v>UM921</v>
          </cell>
          <cell r="E959" t="str">
            <v>UNIV. MIL. HOL.W/TGUARD O/D SZ 1 5IN AUT</v>
          </cell>
          <cell r="F959" t="str">
            <v>BN-RANGER</v>
          </cell>
          <cell r="G959" t="str">
            <v>1420-210-FG</v>
          </cell>
          <cell r="H959" t="str">
            <v>F</v>
          </cell>
          <cell r="I959" t="str">
            <v>06/10/2024</v>
          </cell>
          <cell r="J959" t="str">
            <v>06/10/2024</v>
          </cell>
          <cell r="K959" t="str">
            <v>06/17/2024</v>
          </cell>
          <cell r="L959">
            <v>20</v>
          </cell>
          <cell r="M959" t="str">
            <v/>
          </cell>
          <cell r="N959" t="str">
            <v>25</v>
          </cell>
          <cell r="O959">
            <v>20</v>
          </cell>
          <cell r="P959">
            <v>6.65</v>
          </cell>
        </row>
        <row r="960">
          <cell r="A960" t="str">
            <v>6726706</v>
          </cell>
          <cell r="B960" t="str">
            <v>1029856</v>
          </cell>
          <cell r="C960" t="str">
            <v>17014</v>
          </cell>
          <cell r="D960" t="str">
            <v>UM922</v>
          </cell>
          <cell r="E960" t="str">
            <v>UNIV. MIL. HOL.W/TGUARD O/D SZ 2 4IN AUT</v>
          </cell>
          <cell r="F960" t="str">
            <v>BN-RANGER</v>
          </cell>
          <cell r="G960" t="str">
            <v>1420-210-FG</v>
          </cell>
          <cell r="H960" t="str">
            <v>R</v>
          </cell>
          <cell r="I960" t="str">
            <v>06/10/2024</v>
          </cell>
          <cell r="J960" t="str">
            <v>06/10/2024</v>
          </cell>
          <cell r="K960" t="str">
            <v>06/17/2024</v>
          </cell>
          <cell r="L960">
            <v>15</v>
          </cell>
          <cell r="M960" t="str">
            <v>6/10/2024 12:44:59 PM</v>
          </cell>
          <cell r="N960" t="str">
            <v>25</v>
          </cell>
          <cell r="O960">
            <v>15</v>
          </cell>
          <cell r="P960">
            <v>4.08</v>
          </cell>
        </row>
        <row r="961">
          <cell r="A961" t="str">
            <v>6726695</v>
          </cell>
          <cell r="B961" t="str">
            <v>1016857</v>
          </cell>
          <cell r="C961" t="str">
            <v>19696</v>
          </cell>
          <cell r="D961" t="str">
            <v>7324</v>
          </cell>
          <cell r="E961" t="str">
            <v xml:space="preserve">UNIV.RADIO CASE BLK MOTOROLA FLASHPOINT </v>
          </cell>
          <cell r="F961" t="str">
            <v>BN-POUCH</v>
          </cell>
          <cell r="G961" t="str">
            <v>1420-210-FG</v>
          </cell>
          <cell r="H961" t="str">
            <v>R</v>
          </cell>
          <cell r="I961" t="str">
            <v>06/10/2024</v>
          </cell>
          <cell r="J961" t="str">
            <v>06/10/2024</v>
          </cell>
          <cell r="K961" t="str">
            <v>06/17/2024</v>
          </cell>
          <cell r="L961">
            <v>30</v>
          </cell>
          <cell r="M961" t="str">
            <v>6/11/2024 2:58:28 PM</v>
          </cell>
          <cell r="N961" t="str">
            <v>25</v>
          </cell>
          <cell r="O961">
            <v>30</v>
          </cell>
          <cell r="P961">
            <v>6</v>
          </cell>
        </row>
        <row r="962">
          <cell r="A962" t="str">
            <v>6726693</v>
          </cell>
          <cell r="B962" t="str">
            <v>1016229</v>
          </cell>
          <cell r="C962" t="str">
            <v>18520</v>
          </cell>
          <cell r="D962" t="str">
            <v>7314</v>
          </cell>
          <cell r="E962" t="str">
            <v>UNIVERSAL RADIO HOLDER BLK NO/SWIVEL</v>
          </cell>
          <cell r="F962" t="str">
            <v>BN-POUCH</v>
          </cell>
          <cell r="G962" t="str">
            <v>1420-210-FG</v>
          </cell>
          <cell r="H962" t="str">
            <v>R</v>
          </cell>
          <cell r="I962" t="str">
            <v>06/10/2024</v>
          </cell>
          <cell r="J962" t="str">
            <v>06/10/2024</v>
          </cell>
          <cell r="K962" t="str">
            <v>06/17/2024</v>
          </cell>
          <cell r="L962">
            <v>100</v>
          </cell>
          <cell r="M962" t="str">
            <v>6/11/2024 2:58:28 PM</v>
          </cell>
          <cell r="N962" t="str">
            <v>25</v>
          </cell>
          <cell r="O962">
            <v>100</v>
          </cell>
          <cell r="P962">
            <v>19.32</v>
          </cell>
        </row>
        <row r="963">
          <cell r="A963" t="str">
            <v>6726694</v>
          </cell>
          <cell r="B963" t="str">
            <v>1016230</v>
          </cell>
          <cell r="C963" t="str">
            <v>18521</v>
          </cell>
          <cell r="D963" t="str">
            <v>7314S</v>
          </cell>
          <cell r="E963" t="str">
            <v>UNIVERSAL RADIO HOLDER WITH SWIVEL BLK</v>
          </cell>
          <cell r="F963" t="str">
            <v>BN-POUCH</v>
          </cell>
          <cell r="G963" t="str">
            <v>1420-210-FG</v>
          </cell>
          <cell r="H963" t="str">
            <v>R</v>
          </cell>
          <cell r="I963" t="str">
            <v>06/10/2024</v>
          </cell>
          <cell r="J963" t="str">
            <v>06/10/2024</v>
          </cell>
          <cell r="K963" t="str">
            <v>06/17/2024</v>
          </cell>
          <cell r="L963">
            <v>100</v>
          </cell>
          <cell r="M963" t="str">
            <v>6/12/2024 9:56:59 AM</v>
          </cell>
          <cell r="N963" t="str">
            <v>25</v>
          </cell>
          <cell r="O963">
            <v>100</v>
          </cell>
          <cell r="P963">
            <v>32</v>
          </cell>
        </row>
        <row r="964">
          <cell r="A964" t="str">
            <v>6726698</v>
          </cell>
          <cell r="B964" t="str">
            <v>1017315</v>
          </cell>
          <cell r="C964" t="str">
            <v>22113</v>
          </cell>
          <cell r="D964" t="str">
            <v>7914S</v>
          </cell>
          <cell r="E964" t="str">
            <v>UNIVERSAL RADIO HOLDER WITH SWIVEL BSK B</v>
          </cell>
          <cell r="F964" t="str">
            <v>BN-POUCH</v>
          </cell>
          <cell r="G964" t="str">
            <v>1420-210-FG</v>
          </cell>
          <cell r="H964" t="str">
            <v>R</v>
          </cell>
          <cell r="I964" t="str">
            <v>06/10/2024</v>
          </cell>
          <cell r="J964" t="str">
            <v>06/10/2024</v>
          </cell>
          <cell r="K964" t="str">
            <v>06/17/2024</v>
          </cell>
          <cell r="L964">
            <v>100</v>
          </cell>
          <cell r="M964" t="str">
            <v>6/12/2024 9:56:25 AM</v>
          </cell>
          <cell r="N964" t="str">
            <v>25</v>
          </cell>
          <cell r="O964">
            <v>100</v>
          </cell>
          <cell r="P964">
            <v>32</v>
          </cell>
        </row>
        <row r="965">
          <cell r="A965" t="str">
            <v>6726697</v>
          </cell>
          <cell r="B965" t="str">
            <v>1017314</v>
          </cell>
          <cell r="C965" t="str">
            <v>22112</v>
          </cell>
          <cell r="D965" t="str">
            <v>7914S</v>
          </cell>
          <cell r="E965" t="str">
            <v>UNIVERSAL RADIO HOLDER WITH SWIVEL PLN B</v>
          </cell>
          <cell r="F965" t="str">
            <v>BN-POUCH</v>
          </cell>
          <cell r="G965" t="str">
            <v>1420-210-FG</v>
          </cell>
          <cell r="H965" t="str">
            <v>R</v>
          </cell>
          <cell r="I965" t="str">
            <v>06/10/2024</v>
          </cell>
          <cell r="J965" t="str">
            <v>06/10/2024</v>
          </cell>
          <cell r="K965" t="str">
            <v>06/17/2024</v>
          </cell>
          <cell r="L965">
            <v>50</v>
          </cell>
          <cell r="M965" t="str">
            <v>6/11/2024 3:27:31 PM</v>
          </cell>
          <cell r="N965" t="str">
            <v>25</v>
          </cell>
          <cell r="O965">
            <v>50</v>
          </cell>
          <cell r="P965">
            <v>16.36</v>
          </cell>
        </row>
        <row r="966">
          <cell r="A966" t="str">
            <v>6724045</v>
          </cell>
          <cell r="B966" t="str">
            <v>1096899</v>
          </cell>
          <cell r="C966" t="str">
            <v>190-23PBL</v>
          </cell>
          <cell r="D966" t="str">
            <v>190</v>
          </cell>
          <cell r="E966" t="str">
            <v>190 HANDCUFF CASE STX TAC BLK</v>
          </cell>
          <cell r="F966" t="str">
            <v>DG-POUCH-F1</v>
          </cell>
          <cell r="G966" t="str">
            <v>1420-210-FG</v>
          </cell>
          <cell r="H966" t="str">
            <v>R</v>
          </cell>
          <cell r="I966" t="str">
            <v>06/03/2024</v>
          </cell>
          <cell r="J966" t="str">
            <v>06/04/2024</v>
          </cell>
          <cell r="K966" t="str">
            <v>06/18/2024</v>
          </cell>
          <cell r="L966">
            <v>10</v>
          </cell>
          <cell r="M966" t="str">
            <v>6/6/2024 11:34:53 AM</v>
          </cell>
          <cell r="N966" t="str">
            <v>25</v>
          </cell>
          <cell r="O966">
            <v>10</v>
          </cell>
          <cell r="P966">
            <v>3.84</v>
          </cell>
        </row>
        <row r="967">
          <cell r="A967" t="str">
            <v>6728432</v>
          </cell>
          <cell r="B967" t="str">
            <v>1116941</v>
          </cell>
          <cell r="C967" t="str">
            <v>6004-56-551</v>
          </cell>
          <cell r="D967" t="str">
            <v>6004</v>
          </cell>
          <cell r="E967" t="str">
            <v>6004 SPRNGFLD OPR STX TAC FDE RH</v>
          </cell>
          <cell r="F967" t="str">
            <v>DG-HOLSTER-H</v>
          </cell>
          <cell r="G967" t="str">
            <v>1420-210-FG</v>
          </cell>
          <cell r="H967" t="str">
            <v>R</v>
          </cell>
          <cell r="I967" t="str">
            <v>06/11/2024</v>
          </cell>
          <cell r="J967" t="str">
            <v>06/11/2024</v>
          </cell>
          <cell r="K967" t="str">
            <v>06/18/2024</v>
          </cell>
          <cell r="L967">
            <v>1</v>
          </cell>
          <cell r="M967" t="str">
            <v>6/11/2024 4:53:12 PM</v>
          </cell>
          <cell r="N967" t="str">
            <v>25</v>
          </cell>
          <cell r="O967">
            <v>1</v>
          </cell>
          <cell r="P967">
            <v>0.34</v>
          </cell>
        </row>
        <row r="968">
          <cell r="A968" t="str">
            <v>6728443</v>
          </cell>
          <cell r="B968" t="str">
            <v>1126861</v>
          </cell>
          <cell r="C968" t="str">
            <v>6304-2192-131</v>
          </cell>
          <cell r="D968" t="str">
            <v>6304</v>
          </cell>
          <cell r="E968" t="str">
            <v>6304 S&amp;W M&amp;P9/40 4IN X300 STX TAC BLK RH</v>
          </cell>
          <cell r="F968" t="str">
            <v>DG-HOLSTER-H</v>
          </cell>
          <cell r="G968" t="str">
            <v>1420-210-FG</v>
          </cell>
          <cell r="H968" t="str">
            <v>F</v>
          </cell>
          <cell r="I968" t="str">
            <v>06/11/2024</v>
          </cell>
          <cell r="J968" t="str">
            <v>06/11/2024</v>
          </cell>
          <cell r="K968" t="str">
            <v>06/18/2024</v>
          </cell>
          <cell r="L968">
            <v>1</v>
          </cell>
          <cell r="M968" t="str">
            <v/>
          </cell>
          <cell r="N968" t="str">
            <v>25</v>
          </cell>
          <cell r="O968">
            <v>1</v>
          </cell>
          <cell r="P968">
            <v>0.39</v>
          </cell>
        </row>
        <row r="969">
          <cell r="A969" t="str">
            <v>6727138</v>
          </cell>
          <cell r="B969" t="str">
            <v>1332498</v>
          </cell>
          <cell r="C969" t="str">
            <v>6304RDS-2832-791-MS19</v>
          </cell>
          <cell r="D969" t="str">
            <v>6304RDS</v>
          </cell>
          <cell r="E969" t="str">
            <v>6304RDS GLOCK 19MOS X300U COR TP MCAM RH</v>
          </cell>
          <cell r="F969" t="str">
            <v>DG-HOLSTER-RDS-DTC</v>
          </cell>
          <cell r="G969" t="str">
            <v>1420-210-FG</v>
          </cell>
          <cell r="H969" t="str">
            <v>F</v>
          </cell>
          <cell r="I969" t="str">
            <v>06/10/2024</v>
          </cell>
          <cell r="J969" t="str">
            <v>06/10/2024</v>
          </cell>
          <cell r="K969" t="str">
            <v>06/18/2024</v>
          </cell>
          <cell r="L969">
            <v>20</v>
          </cell>
          <cell r="M969" t="str">
            <v/>
          </cell>
          <cell r="N969" t="str">
            <v>25</v>
          </cell>
          <cell r="O969">
            <v>20</v>
          </cell>
          <cell r="P969">
            <v>8</v>
          </cell>
        </row>
        <row r="970">
          <cell r="A970" t="str">
            <v>6726813</v>
          </cell>
          <cell r="B970" t="str">
            <v>1120579</v>
          </cell>
          <cell r="C970" t="str">
            <v>6360-74-131</v>
          </cell>
          <cell r="D970" t="str">
            <v>6360</v>
          </cell>
          <cell r="E970" t="str">
            <v>6360 SIG P228/P229 STX TAC BLK RH</v>
          </cell>
          <cell r="F970" t="str">
            <v>DG-HOLSTER</v>
          </cell>
          <cell r="G970" t="str">
            <v>1420-210-FG</v>
          </cell>
          <cell r="H970" t="str">
            <v>F</v>
          </cell>
          <cell r="I970" t="str">
            <v>06/10/2024</v>
          </cell>
          <cell r="J970" t="str">
            <v>06/10/2024</v>
          </cell>
          <cell r="K970" t="str">
            <v>06/18/2024</v>
          </cell>
          <cell r="L970">
            <v>5</v>
          </cell>
          <cell r="M970" t="str">
            <v/>
          </cell>
          <cell r="N970" t="str">
            <v>25</v>
          </cell>
          <cell r="O970">
            <v>5</v>
          </cell>
          <cell r="P970">
            <v>1.1599999999999999</v>
          </cell>
        </row>
        <row r="971">
          <cell r="A971" t="str">
            <v>6727673</v>
          </cell>
          <cell r="B971" t="str">
            <v>1204152</v>
          </cell>
          <cell r="C971" t="str">
            <v>6365RDS-2832-491</v>
          </cell>
          <cell r="D971" t="str">
            <v>6365RDS</v>
          </cell>
          <cell r="E971" t="str">
            <v>6365RDS GLOCK 19MOS X300U STX HGS BLK RH</v>
          </cell>
          <cell r="F971" t="str">
            <v>DG-HOLSTER-RDS-DTC</v>
          </cell>
          <cell r="G971" t="str">
            <v>1420-210-FG</v>
          </cell>
          <cell r="H971" t="str">
            <v>F</v>
          </cell>
          <cell r="I971" t="str">
            <v>06/11/2024</v>
          </cell>
          <cell r="J971" t="str">
            <v>06/11/2024</v>
          </cell>
          <cell r="K971" t="str">
            <v>06/18/2024</v>
          </cell>
          <cell r="L971">
            <v>5</v>
          </cell>
          <cell r="M971" t="str">
            <v/>
          </cell>
          <cell r="N971" t="str">
            <v>25</v>
          </cell>
          <cell r="O971">
            <v>5</v>
          </cell>
          <cell r="P971">
            <v>2</v>
          </cell>
        </row>
        <row r="972">
          <cell r="A972" t="str">
            <v>6726994</v>
          </cell>
          <cell r="B972" t="str">
            <v>1206107</v>
          </cell>
          <cell r="C972" t="str">
            <v>6365RDS-8192-131</v>
          </cell>
          <cell r="D972" t="str">
            <v>6365RDS</v>
          </cell>
          <cell r="E972" t="str">
            <v>6365RDS S&amp;W M&amp;P 5IN X300U STX TAC BLK RH</v>
          </cell>
          <cell r="F972" t="str">
            <v>DG-HOLSTER-RDS</v>
          </cell>
          <cell r="G972" t="str">
            <v>1420-210-FG</v>
          </cell>
          <cell r="H972" t="str">
            <v>F</v>
          </cell>
          <cell r="I972" t="str">
            <v>06/10/2024</v>
          </cell>
          <cell r="J972" t="str">
            <v>06/10/2024</v>
          </cell>
          <cell r="K972" t="str">
            <v>06/18/2024</v>
          </cell>
          <cell r="L972">
            <v>5</v>
          </cell>
          <cell r="M972" t="str">
            <v/>
          </cell>
          <cell r="N972" t="str">
            <v>25</v>
          </cell>
          <cell r="O972">
            <v>5</v>
          </cell>
          <cell r="P972">
            <v>2</v>
          </cell>
        </row>
        <row r="973">
          <cell r="A973" t="str">
            <v>6727658</v>
          </cell>
          <cell r="B973" t="str">
            <v>1325612</v>
          </cell>
          <cell r="C973" t="str">
            <v>6365RDS-1582-481</v>
          </cell>
          <cell r="D973" t="str">
            <v>6365RDS</v>
          </cell>
          <cell r="E973" t="str">
            <v>6365RDS STI STACC P 4.4" X300U STXBSK RH</v>
          </cell>
          <cell r="F973" t="str">
            <v>DG-HOLSTER-RDS</v>
          </cell>
          <cell r="G973" t="str">
            <v>1420-210-FG</v>
          </cell>
          <cell r="H973" t="str">
            <v>F</v>
          </cell>
          <cell r="I973" t="str">
            <v>06/11/2024</v>
          </cell>
          <cell r="J973" t="str">
            <v>06/11/2024</v>
          </cell>
          <cell r="K973" t="str">
            <v>06/18/2024</v>
          </cell>
          <cell r="L973">
            <v>6</v>
          </cell>
          <cell r="M973" t="str">
            <v/>
          </cell>
          <cell r="N973" t="str">
            <v>25</v>
          </cell>
          <cell r="O973">
            <v>6</v>
          </cell>
          <cell r="P973">
            <v>2.4</v>
          </cell>
        </row>
        <row r="974">
          <cell r="A974" t="str">
            <v>6728434</v>
          </cell>
          <cell r="B974" t="str">
            <v>1124457</v>
          </cell>
          <cell r="C974" t="str">
            <v>6378-97-411</v>
          </cell>
          <cell r="D974" t="str">
            <v>6378</v>
          </cell>
          <cell r="E974" t="str">
            <v>6378 H&amp;K P2000 STX PLN BLK RH</v>
          </cell>
          <cell r="F974" t="str">
            <v>DG-HOLSTER-DTC</v>
          </cell>
          <cell r="G974" t="str">
            <v>1420-210-FG</v>
          </cell>
          <cell r="H974" t="str">
            <v>R</v>
          </cell>
          <cell r="I974" t="str">
            <v>06/11/2024</v>
          </cell>
          <cell r="J974" t="str">
            <v>06/11/2024</v>
          </cell>
          <cell r="K974" t="str">
            <v>06/18/2024</v>
          </cell>
          <cell r="L974">
            <v>1</v>
          </cell>
          <cell r="M974" t="str">
            <v>6/11/2024 4:53:23 PM</v>
          </cell>
          <cell r="N974" t="str">
            <v>25</v>
          </cell>
          <cell r="O974">
            <v>1</v>
          </cell>
          <cell r="P974">
            <v>0.41</v>
          </cell>
        </row>
        <row r="975">
          <cell r="A975" t="str">
            <v>6727679</v>
          </cell>
          <cell r="B975" t="str">
            <v>1327603</v>
          </cell>
          <cell r="C975" t="str">
            <v>6378RDS-832-781</v>
          </cell>
          <cell r="D975" t="str">
            <v>6378RDS</v>
          </cell>
          <cell r="E975" t="str">
            <v>6378RDS GLOCK 17MOS X300U CORD BLK RH</v>
          </cell>
          <cell r="F975" t="str">
            <v>DG-HOLSTER-RDS-DTC</v>
          </cell>
          <cell r="G975" t="str">
            <v>1420-210-FG</v>
          </cell>
          <cell r="H975" t="str">
            <v>F</v>
          </cell>
          <cell r="I975" t="str">
            <v>06/11/2024</v>
          </cell>
          <cell r="J975" t="str">
            <v>06/11/2024</v>
          </cell>
          <cell r="K975" t="str">
            <v>06/18/2024</v>
          </cell>
          <cell r="L975">
            <v>5</v>
          </cell>
          <cell r="M975" t="str">
            <v/>
          </cell>
          <cell r="N975" t="str">
            <v>25</v>
          </cell>
          <cell r="O975">
            <v>5</v>
          </cell>
          <cell r="P975">
            <v>2.17</v>
          </cell>
        </row>
        <row r="976">
          <cell r="A976" t="str">
            <v>6727676</v>
          </cell>
          <cell r="B976" t="str">
            <v>1206668</v>
          </cell>
          <cell r="C976" t="str">
            <v>6378RDS-2832-781</v>
          </cell>
          <cell r="D976" t="str">
            <v>6378RDS</v>
          </cell>
          <cell r="E976" t="str">
            <v>6378RDS GLOCK 19MOS X300U CORD BLK RH</v>
          </cell>
          <cell r="F976" t="str">
            <v>DG-HOLSTER-RDS-DTC</v>
          </cell>
          <cell r="G976" t="str">
            <v>1420-210-FG</v>
          </cell>
          <cell r="H976" t="str">
            <v>F</v>
          </cell>
          <cell r="I976" t="str">
            <v>06/11/2024</v>
          </cell>
          <cell r="J976" t="str">
            <v>06/11/2024</v>
          </cell>
          <cell r="K976" t="str">
            <v>06/18/2024</v>
          </cell>
          <cell r="L976">
            <v>5</v>
          </cell>
          <cell r="M976" t="str">
            <v/>
          </cell>
          <cell r="N976" t="str">
            <v>25</v>
          </cell>
          <cell r="O976">
            <v>5</v>
          </cell>
          <cell r="P976">
            <v>2</v>
          </cell>
        </row>
        <row r="977">
          <cell r="A977" t="str">
            <v>6726854</v>
          </cell>
          <cell r="B977" t="str">
            <v>1151956</v>
          </cell>
          <cell r="C977" t="str">
            <v>6390-77-411</v>
          </cell>
          <cell r="D977" t="str">
            <v>6390</v>
          </cell>
          <cell r="E977" t="str">
            <v>6390 SIG P226 STX PLN BLK RH</v>
          </cell>
          <cell r="F977" t="str">
            <v>DG-HOLSTER</v>
          </cell>
          <cell r="G977" t="str">
            <v>1420-210-FG</v>
          </cell>
          <cell r="H977" t="str">
            <v>F</v>
          </cell>
          <cell r="I977" t="str">
            <v>06/10/2024</v>
          </cell>
          <cell r="J977" t="str">
            <v>06/10/2024</v>
          </cell>
          <cell r="K977" t="str">
            <v>06/18/2024</v>
          </cell>
          <cell r="L977">
            <v>5</v>
          </cell>
          <cell r="M977" t="str">
            <v/>
          </cell>
          <cell r="N977" t="str">
            <v>25</v>
          </cell>
          <cell r="O977">
            <v>5</v>
          </cell>
          <cell r="P977">
            <v>0.89</v>
          </cell>
        </row>
        <row r="978">
          <cell r="A978" t="str">
            <v>6727675</v>
          </cell>
          <cell r="B978" t="str">
            <v>1206390</v>
          </cell>
          <cell r="C978" t="str">
            <v>6390RDS-2832-741</v>
          </cell>
          <cell r="D978" t="str">
            <v>6390RDS</v>
          </cell>
          <cell r="E978" t="str">
            <v>6390RDS GLOCK 19MOS X300U CORD CYTB RH</v>
          </cell>
          <cell r="F978" t="str">
            <v>DG-HOLSTER-RDS-DTC</v>
          </cell>
          <cell r="G978" t="str">
            <v>1420-210-FG</v>
          </cell>
          <cell r="H978" t="str">
            <v>F</v>
          </cell>
          <cell r="I978" t="str">
            <v>06/11/2024</v>
          </cell>
          <cell r="J978" t="str">
            <v>06/11/2024</v>
          </cell>
          <cell r="K978" t="str">
            <v>06/18/2024</v>
          </cell>
          <cell r="L978">
            <v>5</v>
          </cell>
          <cell r="M978" t="str">
            <v/>
          </cell>
          <cell r="N978" t="str">
            <v>25</v>
          </cell>
          <cell r="O978">
            <v>5</v>
          </cell>
          <cell r="P978">
            <v>2</v>
          </cell>
        </row>
        <row r="979">
          <cell r="A979" t="str">
            <v>6728448</v>
          </cell>
          <cell r="B979" t="str">
            <v>1324677</v>
          </cell>
          <cell r="C979" t="str">
            <v>6390RDS-1582-701</v>
          </cell>
          <cell r="D979" t="str">
            <v>6390RDS</v>
          </cell>
          <cell r="E979" t="str">
            <v>6390RDS STI STACC P 4.4"X300U MLTCM RH</v>
          </cell>
          <cell r="F979" t="str">
            <v>DG-HOLSTER-RDS</v>
          </cell>
          <cell r="G979" t="str">
            <v>1420-210-FG</v>
          </cell>
          <cell r="H979" t="str">
            <v>F</v>
          </cell>
          <cell r="I979" t="str">
            <v>06/11/2024</v>
          </cell>
          <cell r="J979" t="str">
            <v>06/11/2024</v>
          </cell>
          <cell r="K979" t="str">
            <v>06/18/2024</v>
          </cell>
          <cell r="L979">
            <v>15</v>
          </cell>
          <cell r="M979" t="str">
            <v/>
          </cell>
          <cell r="N979" t="str">
            <v>25</v>
          </cell>
          <cell r="O979">
            <v>15</v>
          </cell>
          <cell r="P979">
            <v>6</v>
          </cell>
        </row>
        <row r="980">
          <cell r="A980" t="str">
            <v>6727677</v>
          </cell>
          <cell r="B980" t="str">
            <v>1319904</v>
          </cell>
          <cell r="C980" t="str">
            <v>6395RDS-2832-701-2</v>
          </cell>
          <cell r="D980" t="str">
            <v>6395RDS</v>
          </cell>
          <cell r="E980" t="str">
            <v>6395RDS GLOCK 19MOS X300U CORD MLTCM RH</v>
          </cell>
          <cell r="F980" t="str">
            <v>DG-HOLSTER-RDS-DTC</v>
          </cell>
          <cell r="G980" t="str">
            <v>1420-210-FG</v>
          </cell>
          <cell r="H980" t="str">
            <v>R</v>
          </cell>
          <cell r="I980" t="str">
            <v>06/11/2024</v>
          </cell>
          <cell r="J980" t="str">
            <v>06/11/2024</v>
          </cell>
          <cell r="K980" t="str">
            <v>06/18/2024</v>
          </cell>
          <cell r="L980">
            <v>15</v>
          </cell>
          <cell r="M980" t="str">
            <v>6/11/2024 4:52:46 PM</v>
          </cell>
          <cell r="N980" t="str">
            <v>25</v>
          </cell>
          <cell r="O980">
            <v>15</v>
          </cell>
          <cell r="P980">
            <v>6</v>
          </cell>
        </row>
        <row r="981">
          <cell r="A981" t="str">
            <v>6727702</v>
          </cell>
          <cell r="B981" t="str">
            <v>1138702</v>
          </cell>
          <cell r="C981" t="str">
            <v>777-83-2</v>
          </cell>
          <cell r="D981" t="str">
            <v>777</v>
          </cell>
          <cell r="E981" t="str">
            <v>777 GLOCK 17/22 PLN BLK</v>
          </cell>
          <cell r="F981" t="str">
            <v>DG-POUCH-F1</v>
          </cell>
          <cell r="G981" t="str">
            <v>1420-210-FG</v>
          </cell>
          <cell r="H981" t="str">
            <v>R</v>
          </cell>
          <cell r="I981" t="str">
            <v>06/11/2024</v>
          </cell>
          <cell r="J981" t="str">
            <v>06/11/2024</v>
          </cell>
          <cell r="K981" t="str">
            <v>06/18/2024</v>
          </cell>
          <cell r="L981">
            <v>10</v>
          </cell>
          <cell r="M981" t="str">
            <v>6/11/2024 3:25:01 PM</v>
          </cell>
          <cell r="N981" t="str">
            <v>25</v>
          </cell>
          <cell r="O981">
            <v>10</v>
          </cell>
          <cell r="P981">
            <v>5.36</v>
          </cell>
        </row>
        <row r="982">
          <cell r="A982" t="str">
            <v>6727703</v>
          </cell>
          <cell r="B982" t="str">
            <v>1166090</v>
          </cell>
          <cell r="C982" t="str">
            <v>MH6005-BLK</v>
          </cell>
          <cell r="D982" t="str">
            <v>MH6005</v>
          </cell>
          <cell r="E982" t="str">
            <v>DETACHABLE HRNSS /DOUBLE ELSTIC 6005 BKA</v>
          </cell>
          <cell r="F982" t="str">
            <v>DG-HARNESS</v>
          </cell>
          <cell r="G982" t="str">
            <v>1420-210-SB</v>
          </cell>
          <cell r="H982" t="str">
            <v>F</v>
          </cell>
          <cell r="I982" t="str">
            <v>06/11/2024</v>
          </cell>
          <cell r="J982" t="str">
            <v>06/11/2024</v>
          </cell>
          <cell r="K982" t="str">
            <v>06/18/2024</v>
          </cell>
          <cell r="L982">
            <v>178</v>
          </cell>
          <cell r="M982" t="str">
            <v/>
          </cell>
          <cell r="N982" t="str">
            <v>25</v>
          </cell>
          <cell r="O982">
            <v>178</v>
          </cell>
          <cell r="P982">
            <v>50.78</v>
          </cell>
        </row>
        <row r="983">
          <cell r="A983" t="str">
            <v>6727579</v>
          </cell>
          <cell r="B983" t="str">
            <v>1160760</v>
          </cell>
          <cell r="C983" t="str">
            <v>31510</v>
          </cell>
          <cell r="D983" t="str">
            <v>8002</v>
          </cell>
          <cell r="E983" t="str">
            <v>DOUBLE MAG POUCH BLK SZ2 HIDDEN HI-RIDE</v>
          </cell>
          <cell r="F983" t="str">
            <v>BN-POUCH</v>
          </cell>
          <cell r="G983" t="str">
            <v>1420-210-FG</v>
          </cell>
          <cell r="H983" t="str">
            <v>R</v>
          </cell>
          <cell r="I983" t="str">
            <v>06/11/2024</v>
          </cell>
          <cell r="J983" t="str">
            <v>06/11/2024</v>
          </cell>
          <cell r="K983" t="str">
            <v>06/18/2024</v>
          </cell>
          <cell r="L983">
            <v>25</v>
          </cell>
          <cell r="M983" t="str">
            <v>6/11/2024 3:15:53 PM</v>
          </cell>
          <cell r="N983" t="str">
            <v>25</v>
          </cell>
          <cell r="O983">
            <v>25</v>
          </cell>
          <cell r="P983">
            <v>5.53</v>
          </cell>
        </row>
        <row r="984">
          <cell r="A984" t="str">
            <v>6727707</v>
          </cell>
          <cell r="B984" t="str">
            <v>1201623</v>
          </cell>
          <cell r="C984" t="str">
            <v>MH6005-10-ODG</v>
          </cell>
          <cell r="D984" t="str">
            <v>MH6005</v>
          </cell>
          <cell r="E984" t="str">
            <v>DTCBL HRNSS /SNGL ELSTC FOR 6005-10 ODG</v>
          </cell>
          <cell r="F984" t="str">
            <v>DG-HARNESS</v>
          </cell>
          <cell r="G984" t="str">
            <v>1420-210-SB</v>
          </cell>
          <cell r="H984" t="str">
            <v>R</v>
          </cell>
          <cell r="I984" t="str">
            <v>06/11/2024</v>
          </cell>
          <cell r="J984" t="str">
            <v>06/11/2024</v>
          </cell>
          <cell r="K984" t="str">
            <v>06/18/2024</v>
          </cell>
          <cell r="L984">
            <v>1</v>
          </cell>
          <cell r="M984" t="str">
            <v>6/13/2024 8:18:31 AM</v>
          </cell>
          <cell r="N984" t="str">
            <v>25</v>
          </cell>
          <cell r="O984">
            <v>1</v>
          </cell>
          <cell r="P984">
            <v>0.13</v>
          </cell>
        </row>
        <row r="985">
          <cell r="A985" t="str">
            <v>6727603</v>
          </cell>
          <cell r="B985" t="str">
            <v>1102976</v>
          </cell>
          <cell r="C985" t="str">
            <v>99F-1-2-NP</v>
          </cell>
          <cell r="D985" t="str">
            <v>99F</v>
          </cell>
          <cell r="E985" t="str">
            <v>DUTY BELT BUCKLELESS</v>
          </cell>
          <cell r="F985" t="str">
            <v>DG-BELT</v>
          </cell>
          <cell r="G985" t="str">
            <v>1420-210-FG</v>
          </cell>
          <cell r="H985" t="str">
            <v>R</v>
          </cell>
          <cell r="I985" t="str">
            <v>06/11/2024</v>
          </cell>
          <cell r="J985" t="str">
            <v>06/11/2024</v>
          </cell>
          <cell r="K985" t="str">
            <v>06/18/2024</v>
          </cell>
          <cell r="L985">
            <v>17</v>
          </cell>
          <cell r="M985" t="str">
            <v>6/11/2024 3:09:40 PM</v>
          </cell>
          <cell r="N985" t="str">
            <v>25</v>
          </cell>
          <cell r="O985">
            <v>17</v>
          </cell>
          <cell r="P985">
            <v>4.9400000000000004</v>
          </cell>
        </row>
        <row r="986">
          <cell r="A986" t="str">
            <v>6727516</v>
          </cell>
          <cell r="B986" t="str">
            <v>1017606</v>
          </cell>
          <cell r="C986" t="str">
            <v>23385</v>
          </cell>
          <cell r="D986" t="str">
            <v>7980</v>
          </cell>
          <cell r="E986" t="str">
            <v>DUTY BELT PLN BLK SML 28-34</v>
          </cell>
          <cell r="F986" t="str">
            <v>BN-BELT</v>
          </cell>
          <cell r="G986" t="str">
            <v>1420-210-FG</v>
          </cell>
          <cell r="H986" t="str">
            <v>R</v>
          </cell>
          <cell r="I986" t="str">
            <v>06/11/2024</v>
          </cell>
          <cell r="J986" t="str">
            <v>06/11/2024</v>
          </cell>
          <cell r="K986" t="str">
            <v>06/18/2024</v>
          </cell>
          <cell r="L986">
            <v>25</v>
          </cell>
          <cell r="M986" t="str">
            <v>6/11/2024 2:36:12 PM</v>
          </cell>
          <cell r="N986" t="str">
            <v>25</v>
          </cell>
          <cell r="O986">
            <v>25</v>
          </cell>
          <cell r="P986">
            <v>3.78</v>
          </cell>
        </row>
        <row r="987">
          <cell r="A987" t="str">
            <v>6727598</v>
          </cell>
          <cell r="B987" t="str">
            <v>1103390</v>
          </cell>
          <cell r="C987" t="str">
            <v>99-5-2</v>
          </cell>
          <cell r="D987" t="str">
            <v>99</v>
          </cell>
          <cell r="E987" t="str">
            <v>DUTY BELTBUCKLELESS</v>
          </cell>
          <cell r="F987" t="str">
            <v>DG-BELT</v>
          </cell>
          <cell r="G987" t="str">
            <v>1420-210-FG</v>
          </cell>
          <cell r="H987" t="str">
            <v>R</v>
          </cell>
          <cell r="I987" t="str">
            <v>06/11/2024</v>
          </cell>
          <cell r="J987" t="str">
            <v>06/11/2024</v>
          </cell>
          <cell r="K987" t="str">
            <v>06/18/2024</v>
          </cell>
          <cell r="L987">
            <v>20</v>
          </cell>
          <cell r="M987" t="str">
            <v>6/11/2024 3:09:40 PM</v>
          </cell>
          <cell r="N987" t="str">
            <v>25</v>
          </cell>
          <cell r="O987">
            <v>20</v>
          </cell>
          <cell r="P987">
            <v>5.82</v>
          </cell>
        </row>
        <row r="988">
          <cell r="A988" t="str">
            <v>6727537</v>
          </cell>
          <cell r="B988" t="str">
            <v>1017260</v>
          </cell>
          <cell r="C988" t="str">
            <v>22088</v>
          </cell>
          <cell r="D988" t="str">
            <v>7909</v>
          </cell>
          <cell r="E988" t="str">
            <v xml:space="preserve">FLASHLIGHT HOLDER PLN BLK </v>
          </cell>
          <cell r="F988" t="str">
            <v>BN-KEEPER</v>
          </cell>
          <cell r="G988" t="str">
            <v>1420-210-FG</v>
          </cell>
          <cell r="H988" t="str">
            <v>R</v>
          </cell>
          <cell r="I988" t="str">
            <v>06/11/2024</v>
          </cell>
          <cell r="J988" t="str">
            <v>06/11/2024</v>
          </cell>
          <cell r="K988" t="str">
            <v>06/18/2024</v>
          </cell>
          <cell r="L988">
            <v>10</v>
          </cell>
          <cell r="M988" t="str">
            <v>6/11/2024 2:48:28 PM</v>
          </cell>
          <cell r="N988" t="str">
            <v>25</v>
          </cell>
          <cell r="O988">
            <v>10</v>
          </cell>
          <cell r="P988">
            <v>0.52</v>
          </cell>
        </row>
        <row r="989">
          <cell r="A989" t="str">
            <v>6727566</v>
          </cell>
          <cell r="B989" t="str">
            <v>1199412</v>
          </cell>
          <cell r="C989" t="str">
            <v>27204</v>
          </cell>
          <cell r="D989" t="str">
            <v>101</v>
          </cell>
          <cell r="E989" t="str">
            <v>FOLDAWAY SET RH SZ10/16 TAN</v>
          </cell>
          <cell r="F989" t="str">
            <v>BN-LEATHER</v>
          </cell>
          <cell r="G989" t="str">
            <v>1420-210-FG</v>
          </cell>
          <cell r="H989" t="str">
            <v>R</v>
          </cell>
          <cell r="I989" t="str">
            <v>06/11/2024</v>
          </cell>
          <cell r="J989" t="str">
            <v>06/11/2024</v>
          </cell>
          <cell r="K989" t="str">
            <v>06/18/2024</v>
          </cell>
          <cell r="L989">
            <v>15</v>
          </cell>
          <cell r="M989" t="str">
            <v>6/11/2024 2:54:07 PM</v>
          </cell>
          <cell r="N989" t="str">
            <v>25</v>
          </cell>
          <cell r="O989">
            <v>15</v>
          </cell>
          <cell r="P989">
            <v>4.6100000000000003</v>
          </cell>
        </row>
        <row r="990">
          <cell r="A990" t="str">
            <v>6727704</v>
          </cell>
          <cell r="B990" t="str">
            <v>1167164</v>
          </cell>
          <cell r="C990" t="str">
            <v>MH6004-10-BLK</v>
          </cell>
          <cell r="D990" t="str">
            <v>MH6004</v>
          </cell>
          <cell r="E990" t="str">
            <v>HARNESS W/SINGLE ELASTIC FOR 6004-10 BKA</v>
          </cell>
          <cell r="F990" t="str">
            <v>DG-HARNESS-DTC</v>
          </cell>
          <cell r="G990" t="str">
            <v>1420-210-SB</v>
          </cell>
          <cell r="H990" t="str">
            <v>R</v>
          </cell>
          <cell r="I990" t="str">
            <v>06/11/2024</v>
          </cell>
          <cell r="J990" t="str">
            <v>06/11/2024</v>
          </cell>
          <cell r="K990" t="str">
            <v>06/18/2024</v>
          </cell>
          <cell r="L990">
            <v>2</v>
          </cell>
          <cell r="M990" t="str">
            <v>6/13/2024 8:22:47 AM</v>
          </cell>
          <cell r="N990" t="str">
            <v>25</v>
          </cell>
          <cell r="O990">
            <v>2</v>
          </cell>
          <cell r="P990">
            <v>0.5</v>
          </cell>
        </row>
        <row r="991">
          <cell r="A991" t="str">
            <v>6727706</v>
          </cell>
          <cell r="B991" t="str">
            <v>1192867</v>
          </cell>
          <cell r="C991" t="str">
            <v>MH6004-10-FDE</v>
          </cell>
          <cell r="D991" t="str">
            <v>MH6004</v>
          </cell>
          <cell r="E991" t="str">
            <v>HARNESS W/SINGLE ELASTIC FOR 6004-10 FDE</v>
          </cell>
          <cell r="F991" t="str">
            <v>DG-HARNESS</v>
          </cell>
          <cell r="G991" t="str">
            <v>1420-210-SB</v>
          </cell>
          <cell r="H991" t="str">
            <v>F</v>
          </cell>
          <cell r="I991" t="str">
            <v>06/11/2024</v>
          </cell>
          <cell r="J991" t="str">
            <v>06/11/2024</v>
          </cell>
          <cell r="K991" t="str">
            <v>06/18/2024</v>
          </cell>
          <cell r="L991">
            <v>20</v>
          </cell>
          <cell r="M991" t="str">
            <v/>
          </cell>
          <cell r="N991" t="str">
            <v>25</v>
          </cell>
          <cell r="O991">
            <v>20</v>
          </cell>
          <cell r="P991">
            <v>2.67</v>
          </cell>
        </row>
        <row r="992">
          <cell r="A992" t="str">
            <v>6727705</v>
          </cell>
          <cell r="B992" t="str">
            <v>1192866</v>
          </cell>
          <cell r="C992" t="str">
            <v>MH6004-10-FGR</v>
          </cell>
          <cell r="D992" t="str">
            <v>MH6004</v>
          </cell>
          <cell r="E992" t="str">
            <v>HARNESS W/SINGLE ELASTIC FOR 6004-10 FGR</v>
          </cell>
          <cell r="F992" t="str">
            <v>DG-HARNESS</v>
          </cell>
          <cell r="G992" t="str">
            <v>1420-210-SB</v>
          </cell>
          <cell r="H992" t="str">
            <v>R</v>
          </cell>
          <cell r="I992" t="str">
            <v>06/11/2024</v>
          </cell>
          <cell r="J992" t="str">
            <v>06/11/2024</v>
          </cell>
          <cell r="K992" t="str">
            <v>06/18/2024</v>
          </cell>
          <cell r="L992">
            <v>1</v>
          </cell>
          <cell r="M992" t="str">
            <v>6/13/2024 8:18:12 AM</v>
          </cell>
          <cell r="N992" t="str">
            <v>25</v>
          </cell>
          <cell r="O992">
            <v>1</v>
          </cell>
          <cell r="P992">
            <v>0.13</v>
          </cell>
        </row>
        <row r="993">
          <cell r="A993" t="str">
            <v>6727555</v>
          </cell>
          <cell r="B993" t="str">
            <v>1015455</v>
          </cell>
          <cell r="C993" t="str">
            <v>10045</v>
          </cell>
          <cell r="D993" t="str">
            <v>1L</v>
          </cell>
          <cell r="E993" t="str">
            <v>LAWMAN TAN RH SM SNGL ACT 6 1/2IN</v>
          </cell>
          <cell r="F993" t="str">
            <v>BN-LEATHER</v>
          </cell>
          <cell r="G993" t="str">
            <v>1420-210-FG</v>
          </cell>
          <cell r="H993" t="str">
            <v>R</v>
          </cell>
          <cell r="I993" t="str">
            <v>06/11/2024</v>
          </cell>
          <cell r="J993" t="str">
            <v>06/11/2024</v>
          </cell>
          <cell r="K993" t="str">
            <v>06/18/2024</v>
          </cell>
          <cell r="L993">
            <v>5</v>
          </cell>
          <cell r="M993" t="str">
            <v>6/11/2024 2:54:07 PM</v>
          </cell>
          <cell r="N993" t="str">
            <v>25</v>
          </cell>
          <cell r="O993">
            <v>5</v>
          </cell>
          <cell r="P993">
            <v>3.03</v>
          </cell>
        </row>
        <row r="994">
          <cell r="A994" t="str">
            <v>6727586</v>
          </cell>
          <cell r="B994" t="str">
            <v>1016283</v>
          </cell>
          <cell r="C994" t="str">
            <v>17646</v>
          </cell>
          <cell r="D994" t="str">
            <v>M1025</v>
          </cell>
          <cell r="E994" t="str">
            <v>MAGAZINE POUCH O/D SZ 3 GLOCK 17</v>
          </cell>
          <cell r="F994" t="str">
            <v>BN-RANGER</v>
          </cell>
          <cell r="G994" t="str">
            <v>1420-210-FG</v>
          </cell>
          <cell r="H994" t="str">
            <v>R</v>
          </cell>
          <cell r="I994" t="str">
            <v>06/11/2024</v>
          </cell>
          <cell r="J994" t="str">
            <v>06/11/2024</v>
          </cell>
          <cell r="K994" t="str">
            <v>06/18/2024</v>
          </cell>
          <cell r="L994">
            <v>25</v>
          </cell>
          <cell r="M994" t="str">
            <v>6/11/2024 3:07:31 PM</v>
          </cell>
          <cell r="N994" t="str">
            <v>25</v>
          </cell>
          <cell r="O994">
            <v>25</v>
          </cell>
          <cell r="P994">
            <v>5.25</v>
          </cell>
        </row>
        <row r="995">
          <cell r="A995" t="str">
            <v>6727512</v>
          </cell>
          <cell r="B995" t="str">
            <v>1016107</v>
          </cell>
          <cell r="C995" t="str">
            <v>17382</v>
          </cell>
          <cell r="D995" t="str">
            <v>7200</v>
          </cell>
          <cell r="E995" t="str">
            <v>NYLON DUTY BELT BLK SZ LRG 40-46</v>
          </cell>
          <cell r="F995" t="str">
            <v>BN-BELT</v>
          </cell>
          <cell r="G995" t="str">
            <v>1420-210-FG</v>
          </cell>
          <cell r="H995" t="str">
            <v>R</v>
          </cell>
          <cell r="I995" t="str">
            <v>06/11/2024</v>
          </cell>
          <cell r="J995" t="str">
            <v>06/11/2024</v>
          </cell>
          <cell r="K995" t="str">
            <v>06/18/2024</v>
          </cell>
          <cell r="L995">
            <v>100</v>
          </cell>
          <cell r="M995" t="str">
            <v>6/11/2024 2:36:12 PM</v>
          </cell>
          <cell r="N995" t="str">
            <v>25</v>
          </cell>
          <cell r="O995">
            <v>100</v>
          </cell>
          <cell r="P995">
            <v>17.010000000000002</v>
          </cell>
        </row>
        <row r="996">
          <cell r="A996" t="str">
            <v>6727513</v>
          </cell>
          <cell r="B996" t="str">
            <v>1016107</v>
          </cell>
          <cell r="C996" t="str">
            <v>17382</v>
          </cell>
          <cell r="D996" t="str">
            <v>7200</v>
          </cell>
          <cell r="E996" t="str">
            <v>NYLON DUTY BELT BLK SZ LRG 40-46</v>
          </cell>
          <cell r="F996" t="str">
            <v>BN-BELT</v>
          </cell>
          <cell r="G996" t="str">
            <v>1420-210-FG</v>
          </cell>
          <cell r="H996" t="str">
            <v>R</v>
          </cell>
          <cell r="I996" t="str">
            <v>06/11/2024</v>
          </cell>
          <cell r="J996" t="str">
            <v>06/11/2024</v>
          </cell>
          <cell r="K996" t="str">
            <v>06/18/2024</v>
          </cell>
          <cell r="L996">
            <v>100</v>
          </cell>
          <cell r="M996" t="str">
            <v>6/11/2024 2:36:12 PM</v>
          </cell>
          <cell r="N996" t="str">
            <v>25</v>
          </cell>
          <cell r="O996">
            <v>100</v>
          </cell>
          <cell r="P996">
            <v>17.010000000000002</v>
          </cell>
        </row>
        <row r="997">
          <cell r="A997" t="str">
            <v>6727515</v>
          </cell>
          <cell r="B997" t="str">
            <v>1016107</v>
          </cell>
          <cell r="C997" t="str">
            <v>17382</v>
          </cell>
          <cell r="D997" t="str">
            <v>7200</v>
          </cell>
          <cell r="E997" t="str">
            <v>NYLON DUTY BELT BLK SZ LRG 40-46</v>
          </cell>
          <cell r="F997" t="str">
            <v>BN-BELT</v>
          </cell>
          <cell r="G997" t="str">
            <v>1420-210-FG</v>
          </cell>
          <cell r="H997" t="str">
            <v>R</v>
          </cell>
          <cell r="I997" t="str">
            <v>06/11/2024</v>
          </cell>
          <cell r="J997" t="str">
            <v>06/11/2024</v>
          </cell>
          <cell r="K997" t="str">
            <v>06/18/2024</v>
          </cell>
          <cell r="L997">
            <v>100</v>
          </cell>
          <cell r="M997" t="str">
            <v>6/11/2024 2:36:12 PM</v>
          </cell>
          <cell r="N997" t="str">
            <v>25</v>
          </cell>
          <cell r="O997">
            <v>100</v>
          </cell>
          <cell r="P997">
            <v>17.010000000000002</v>
          </cell>
        </row>
        <row r="998">
          <cell r="A998" t="str">
            <v>6727563</v>
          </cell>
          <cell r="B998" t="str">
            <v>1185127</v>
          </cell>
          <cell r="C998" t="str">
            <v>26822</v>
          </cell>
          <cell r="D998" t="str">
            <v>100</v>
          </cell>
          <cell r="E998" t="str">
            <v>PROFESSIONAL HOLSTER BLK RH SZ 11</v>
          </cell>
          <cell r="F998" t="str">
            <v>BN-LEATHER</v>
          </cell>
          <cell r="G998" t="str">
            <v>1420-210-FG</v>
          </cell>
          <cell r="H998" t="str">
            <v>R</v>
          </cell>
          <cell r="I998" t="str">
            <v>06/11/2024</v>
          </cell>
          <cell r="J998" t="str">
            <v>06/11/2024</v>
          </cell>
          <cell r="K998" t="str">
            <v>06/18/2024</v>
          </cell>
          <cell r="L998">
            <v>10</v>
          </cell>
          <cell r="M998" t="str">
            <v>6/11/2024 2:54:07 PM</v>
          </cell>
          <cell r="N998" t="str">
            <v>25</v>
          </cell>
          <cell r="O998">
            <v>10</v>
          </cell>
          <cell r="P998">
            <v>3.84</v>
          </cell>
        </row>
        <row r="999">
          <cell r="A999" t="str">
            <v>6727524</v>
          </cell>
          <cell r="B999" t="str">
            <v>1016977</v>
          </cell>
          <cell r="C999" t="str">
            <v>22226</v>
          </cell>
          <cell r="D999" t="str">
            <v>7960</v>
          </cell>
          <cell r="E999" t="str">
            <v>SAM BROWNE BELT PLN BLK SZ 42 CHROME</v>
          </cell>
          <cell r="F999" t="str">
            <v>BN-BELT</v>
          </cell>
          <cell r="G999" t="str">
            <v>1420-210-FG</v>
          </cell>
          <cell r="H999" t="str">
            <v>R</v>
          </cell>
          <cell r="I999" t="str">
            <v>06/11/2024</v>
          </cell>
          <cell r="J999" t="str">
            <v>06/11/2024</v>
          </cell>
          <cell r="K999" t="str">
            <v>06/18/2024</v>
          </cell>
          <cell r="L999">
            <v>5</v>
          </cell>
          <cell r="M999" t="str">
            <v>6/11/2024 2:36:12 PM</v>
          </cell>
          <cell r="N999" t="str">
            <v>25</v>
          </cell>
          <cell r="O999">
            <v>5</v>
          </cell>
          <cell r="P999">
            <v>0.95</v>
          </cell>
        </row>
        <row r="1000">
          <cell r="A1000" t="str">
            <v>6727557</v>
          </cell>
          <cell r="B1000" t="str">
            <v>1020722</v>
          </cell>
          <cell r="C1000" t="str">
            <v>90089</v>
          </cell>
          <cell r="D1000" t="str">
            <v>X15H</v>
          </cell>
          <cell r="E1000" t="str">
            <v xml:space="preserve">TAN RH SHOULDER HARNESS </v>
          </cell>
          <cell r="F1000" t="str">
            <v>BN-LEATHER</v>
          </cell>
          <cell r="G1000" t="str">
            <v>1420-210-FG</v>
          </cell>
          <cell r="H1000" t="str">
            <v>R</v>
          </cell>
          <cell r="I1000" t="str">
            <v>06/11/2024</v>
          </cell>
          <cell r="J1000" t="str">
            <v>06/11/2024</v>
          </cell>
          <cell r="K1000" t="str">
            <v>06/18/2024</v>
          </cell>
          <cell r="L1000">
            <v>5</v>
          </cell>
          <cell r="M1000" t="str">
            <v>6/11/2024 2:54:07 PM</v>
          </cell>
          <cell r="N1000" t="str">
            <v>25</v>
          </cell>
          <cell r="O1000">
            <v>5</v>
          </cell>
          <cell r="P1000">
            <v>0.57999999999999996</v>
          </cell>
        </row>
        <row r="1001">
          <cell r="A1001" t="str">
            <v>6726729</v>
          </cell>
          <cell r="B1001" t="str">
            <v>1097090</v>
          </cell>
          <cell r="C1001" t="str">
            <v>146-34-2B</v>
          </cell>
          <cell r="D1001" t="str">
            <v>146</v>
          </cell>
          <cell r="E1001" t="str">
            <v>146 BORDER PATROL BLT PLN BLK SZ34 BR</v>
          </cell>
          <cell r="F1001" t="str">
            <v>DG-BELT</v>
          </cell>
          <cell r="G1001" t="str">
            <v>1420-210-FG</v>
          </cell>
          <cell r="H1001" t="str">
            <v>R</v>
          </cell>
          <cell r="I1001" t="str">
            <v>06/10/2024</v>
          </cell>
          <cell r="J1001" t="str">
            <v>06/10/2024</v>
          </cell>
          <cell r="K1001" t="str">
            <v>06/19/2024</v>
          </cell>
          <cell r="L1001">
            <v>5</v>
          </cell>
          <cell r="M1001" t="str">
            <v>6/13/2024 12:33:50 PM</v>
          </cell>
          <cell r="N1001" t="str">
            <v>25</v>
          </cell>
          <cell r="O1001">
            <v>5</v>
          </cell>
          <cell r="P1001">
            <v>2.4300000000000002</v>
          </cell>
        </row>
        <row r="1002">
          <cell r="A1002" t="str">
            <v>6726728</v>
          </cell>
          <cell r="B1002" t="str">
            <v>1097087</v>
          </cell>
          <cell r="C1002" t="str">
            <v>146-34-2</v>
          </cell>
          <cell r="D1002" t="str">
            <v>146</v>
          </cell>
          <cell r="E1002" t="str">
            <v>146 BORDER PATROL BLT PLN BLK SZ34 CH</v>
          </cell>
          <cell r="F1002" t="str">
            <v>DG-BELT</v>
          </cell>
          <cell r="G1002" t="str">
            <v>1420-210-FG</v>
          </cell>
          <cell r="H1002" t="str">
            <v>R</v>
          </cell>
          <cell r="I1002" t="str">
            <v>06/10/2024</v>
          </cell>
          <cell r="J1002" t="str">
            <v>06/10/2024</v>
          </cell>
          <cell r="K1002" t="str">
            <v>06/19/2024</v>
          </cell>
          <cell r="L1002">
            <v>5</v>
          </cell>
          <cell r="M1002" t="str">
            <v>6/11/2024 3:09:40 PM</v>
          </cell>
          <cell r="N1002" t="str">
            <v>25</v>
          </cell>
          <cell r="O1002">
            <v>5</v>
          </cell>
          <cell r="P1002">
            <v>2.4300000000000002</v>
          </cell>
        </row>
        <row r="1003">
          <cell r="A1003" t="str">
            <v>6724279</v>
          </cell>
          <cell r="B1003" t="str">
            <v>1336803</v>
          </cell>
          <cell r="C1003" t="str">
            <v>62-4-55HS</v>
          </cell>
          <cell r="D1003" t="str">
            <v>62</v>
          </cell>
          <cell r="E1003" t="str">
            <v>62 BELT KEEPER 4PK FDE PLN HS 2.25IN</v>
          </cell>
          <cell r="F1003" t="str">
            <v>DG-KEEPER</v>
          </cell>
          <cell r="G1003" t="str">
            <v>1420-210-FG</v>
          </cell>
          <cell r="H1003" t="str">
            <v>R</v>
          </cell>
          <cell r="I1003" t="str">
            <v>06/04/2024</v>
          </cell>
          <cell r="J1003" t="str">
            <v>06/13/2024</v>
          </cell>
          <cell r="K1003" t="str">
            <v>06/19/2024</v>
          </cell>
          <cell r="L1003">
            <v>25</v>
          </cell>
          <cell r="M1003" t="str">
            <v>6/4/2024 2:41:58 PM</v>
          </cell>
          <cell r="N1003" t="str">
            <v>25</v>
          </cell>
          <cell r="O1003">
            <v>25</v>
          </cell>
          <cell r="P1003">
            <v>5.83</v>
          </cell>
        </row>
        <row r="1004">
          <cell r="A1004" t="str">
            <v>6726918</v>
          </cell>
          <cell r="B1004" t="str">
            <v>1173480</v>
          </cell>
          <cell r="C1004" t="str">
            <v>6354DO-83-741-MS19</v>
          </cell>
          <cell r="D1004" t="str">
            <v>6354DO</v>
          </cell>
          <cell r="E1004" t="str">
            <v>6354DO GLOCK 17/22 CORD CYTB RH</v>
          </cell>
          <cell r="F1004" t="str">
            <v>DG-HOLSTER-DO-DTC</v>
          </cell>
          <cell r="G1004" t="str">
            <v>1420-210-FG</v>
          </cell>
          <cell r="H1004" t="str">
            <v>R</v>
          </cell>
          <cell r="I1004" t="str">
            <v>06/10/2024</v>
          </cell>
          <cell r="J1004" t="str">
            <v>06/10/2024</v>
          </cell>
          <cell r="K1004" t="str">
            <v>06/19/2024</v>
          </cell>
          <cell r="L1004">
            <v>5</v>
          </cell>
          <cell r="M1004" t="str">
            <v>6/10/2024 12:51:41 PM</v>
          </cell>
          <cell r="N1004" t="str">
            <v>25</v>
          </cell>
          <cell r="O1004">
            <v>5</v>
          </cell>
          <cell r="P1004">
            <v>2.42</v>
          </cell>
        </row>
        <row r="1005">
          <cell r="A1005" t="str">
            <v>6726915</v>
          </cell>
          <cell r="B1005" t="str">
            <v>1167733</v>
          </cell>
          <cell r="C1005" t="str">
            <v>6354DO-832-732-MS19</v>
          </cell>
          <cell r="D1005" t="str">
            <v>6354DO</v>
          </cell>
          <cell r="E1005" t="str">
            <v>6354DO GLOCK 17/22 X300U COR CAM GRN LH</v>
          </cell>
          <cell r="F1005" t="str">
            <v>DG-HOLSTER-DO-DTC</v>
          </cell>
          <cell r="G1005" t="str">
            <v>1420-210-FG</v>
          </cell>
          <cell r="H1005" t="str">
            <v>R</v>
          </cell>
          <cell r="I1005" t="str">
            <v>06/10/2024</v>
          </cell>
          <cell r="J1005" t="str">
            <v>06/10/2024</v>
          </cell>
          <cell r="K1005" t="str">
            <v>06/19/2024</v>
          </cell>
          <cell r="L1005">
            <v>1</v>
          </cell>
          <cell r="M1005" t="str">
            <v>6/10/2024 12:51:41 PM</v>
          </cell>
          <cell r="N1005" t="str">
            <v>25</v>
          </cell>
          <cell r="O1005">
            <v>1</v>
          </cell>
          <cell r="P1005">
            <v>0.61</v>
          </cell>
        </row>
        <row r="1006">
          <cell r="A1006" t="str">
            <v>6726920</v>
          </cell>
          <cell r="B1006" t="str">
            <v>1190459</v>
          </cell>
          <cell r="C1006" t="str">
            <v>6354DO-2832-731-MS19</v>
          </cell>
          <cell r="D1006" t="str">
            <v>6354DO</v>
          </cell>
          <cell r="E1006" t="str">
            <v>6354DO GLOCK 19/23 X300U COR CAM GRN RH</v>
          </cell>
          <cell r="F1006" t="str">
            <v>DG-HOLSTER-DO-DTC</v>
          </cell>
          <cell r="G1006" t="str">
            <v>1420-210-FG</v>
          </cell>
          <cell r="H1006" t="str">
            <v>F</v>
          </cell>
          <cell r="I1006" t="str">
            <v>06/10/2024</v>
          </cell>
          <cell r="J1006" t="str">
            <v>06/10/2024</v>
          </cell>
          <cell r="K1006" t="str">
            <v>06/19/2024</v>
          </cell>
          <cell r="L1006">
            <v>8</v>
          </cell>
          <cell r="M1006" t="str">
            <v/>
          </cell>
          <cell r="N1006" t="str">
            <v>25</v>
          </cell>
          <cell r="O1006">
            <v>8</v>
          </cell>
          <cell r="P1006">
            <v>3.87</v>
          </cell>
        </row>
        <row r="1007">
          <cell r="A1007" t="str">
            <v>6726913</v>
          </cell>
          <cell r="B1007" t="str">
            <v>1164827</v>
          </cell>
          <cell r="C1007" t="str">
            <v>6354DO-2832-702-MS19</v>
          </cell>
          <cell r="D1007" t="str">
            <v>6354DO</v>
          </cell>
          <cell r="E1007" t="str">
            <v>6354DO GLOCK 19/23 X300U CORD MTCM LH</v>
          </cell>
          <cell r="F1007" t="str">
            <v>DG-HOLSTER-DO-DTC</v>
          </cell>
          <cell r="G1007" t="str">
            <v>1420-210-FG</v>
          </cell>
          <cell r="H1007" t="str">
            <v>R</v>
          </cell>
          <cell r="I1007" t="str">
            <v>06/10/2024</v>
          </cell>
          <cell r="J1007" t="str">
            <v>06/10/2024</v>
          </cell>
          <cell r="K1007" t="str">
            <v>06/19/2024</v>
          </cell>
          <cell r="L1007">
            <v>5</v>
          </cell>
          <cell r="M1007" t="str">
            <v>6/10/2024 12:51:41 PM</v>
          </cell>
          <cell r="N1007" t="str">
            <v>25</v>
          </cell>
          <cell r="O1007">
            <v>5</v>
          </cell>
          <cell r="P1007">
            <v>3.08</v>
          </cell>
        </row>
        <row r="1008">
          <cell r="A1008" t="str">
            <v>6726911</v>
          </cell>
          <cell r="B1008" t="str">
            <v>1181475</v>
          </cell>
          <cell r="C1008" t="str">
            <v>6354DO-6832-732-MS19</v>
          </cell>
          <cell r="D1008" t="str">
            <v>6354DO</v>
          </cell>
          <cell r="E1008" t="str">
            <v>6354DO GLOCK 34/35 X300U COR CAM GRN LH</v>
          </cell>
          <cell r="F1008" t="str">
            <v>DG-HOLSTER-DO</v>
          </cell>
          <cell r="G1008" t="str">
            <v>1420-210-FG</v>
          </cell>
          <cell r="H1008" t="str">
            <v>R</v>
          </cell>
          <cell r="I1008" t="str">
            <v>06/10/2024</v>
          </cell>
          <cell r="J1008" t="str">
            <v>06/10/2024</v>
          </cell>
          <cell r="K1008" t="str">
            <v>06/19/2024</v>
          </cell>
          <cell r="L1008">
            <v>1</v>
          </cell>
          <cell r="M1008" t="str">
            <v>6/10/2024 12:51:41 PM</v>
          </cell>
          <cell r="N1008" t="str">
            <v>25</v>
          </cell>
          <cell r="O1008">
            <v>1</v>
          </cell>
          <cell r="P1008">
            <v>0.57999999999999996</v>
          </cell>
        </row>
        <row r="1009">
          <cell r="A1009" t="str">
            <v>6726986</v>
          </cell>
          <cell r="B1009" t="str">
            <v>1333818</v>
          </cell>
          <cell r="C1009" t="str">
            <v>6360RDS-8972-481</v>
          </cell>
          <cell r="D1009" t="str">
            <v>6360RDS</v>
          </cell>
          <cell r="E1009" t="str">
            <v>6360RDS GLOCK 47 X300U STX BSK BLK RH</v>
          </cell>
          <cell r="F1009" t="str">
            <v>DG-HOLSTER-RDS</v>
          </cell>
          <cell r="G1009" t="str">
            <v>1420-210-FG</v>
          </cell>
          <cell r="H1009" t="str">
            <v>R</v>
          </cell>
          <cell r="I1009" t="str">
            <v>06/10/2024</v>
          </cell>
          <cell r="J1009" t="str">
            <v>06/10/2024</v>
          </cell>
          <cell r="K1009" t="str">
            <v>06/19/2024</v>
          </cell>
          <cell r="L1009">
            <v>50</v>
          </cell>
          <cell r="M1009" t="str">
            <v>6/12/2024 4:06:03 PM</v>
          </cell>
          <cell r="N1009" t="str">
            <v>25</v>
          </cell>
          <cell r="O1009">
            <v>50</v>
          </cell>
          <cell r="P1009">
            <v>20</v>
          </cell>
        </row>
        <row r="1010">
          <cell r="A1010" t="str">
            <v>6728629</v>
          </cell>
          <cell r="B1010" t="str">
            <v>1125524</v>
          </cell>
          <cell r="C1010" t="str">
            <v>6367-91-131</v>
          </cell>
          <cell r="D1010" t="str">
            <v>6367</v>
          </cell>
          <cell r="E1010" t="str">
            <v>6367 H&amp;K USP 9/40 STX TAC BLK RH</v>
          </cell>
          <cell r="F1010" t="str">
            <v>DG-HOLSTER</v>
          </cell>
          <cell r="G1010" t="str">
            <v>1420-210-FG</v>
          </cell>
          <cell r="H1010" t="str">
            <v>F</v>
          </cell>
          <cell r="I1010" t="str">
            <v>06/12/2024</v>
          </cell>
          <cell r="J1010" t="str">
            <v>06/12/2024</v>
          </cell>
          <cell r="K1010" t="str">
            <v>06/19/2024</v>
          </cell>
          <cell r="L1010">
            <v>10</v>
          </cell>
          <cell r="M1010" t="str">
            <v/>
          </cell>
          <cell r="N1010" t="str">
            <v>25</v>
          </cell>
          <cell r="O1010">
            <v>10</v>
          </cell>
          <cell r="P1010">
            <v>2.34</v>
          </cell>
        </row>
        <row r="1011">
          <cell r="A1011" t="str">
            <v>6727186</v>
          </cell>
          <cell r="B1011" t="str">
            <v>1327866</v>
          </cell>
          <cell r="C1011" t="str">
            <v>6378RDS-2832-731</v>
          </cell>
          <cell r="D1011" t="str">
            <v>6378RDS</v>
          </cell>
          <cell r="E1011" t="str">
            <v>6378RDS GLOCK 19MOS X300U COR CAM GRN RH</v>
          </cell>
          <cell r="F1011" t="str">
            <v>DG-HOLSTER-RDS-DTC</v>
          </cell>
          <cell r="G1011" t="str">
            <v>1420-210-FG</v>
          </cell>
          <cell r="H1011" t="str">
            <v>F</v>
          </cell>
          <cell r="I1011" t="str">
            <v>06/10/2024</v>
          </cell>
          <cell r="J1011" t="str">
            <v>06/10/2024</v>
          </cell>
          <cell r="K1011" t="str">
            <v>06/19/2024</v>
          </cell>
          <cell r="L1011">
            <v>5</v>
          </cell>
          <cell r="M1011" t="str">
            <v/>
          </cell>
          <cell r="N1011" t="str">
            <v>25</v>
          </cell>
          <cell r="O1011">
            <v>5</v>
          </cell>
          <cell r="P1011">
            <v>2</v>
          </cell>
        </row>
        <row r="1012">
          <cell r="A1012" t="str">
            <v>6728631</v>
          </cell>
          <cell r="B1012" t="str">
            <v>1151954</v>
          </cell>
          <cell r="C1012" t="str">
            <v>6390-77-131</v>
          </cell>
          <cell r="D1012" t="str">
            <v>6390</v>
          </cell>
          <cell r="E1012" t="str">
            <v>6390 SIG P226 STX TAC BLK RH</v>
          </cell>
          <cell r="F1012" t="str">
            <v>DG-HOLSTER</v>
          </cell>
          <cell r="G1012" t="str">
            <v>1420-210-FG</v>
          </cell>
          <cell r="H1012" t="str">
            <v>F</v>
          </cell>
          <cell r="I1012" t="str">
            <v>06/12/2024</v>
          </cell>
          <cell r="J1012" t="str">
            <v>06/12/2024</v>
          </cell>
          <cell r="K1012" t="str">
            <v>06/19/2024</v>
          </cell>
          <cell r="L1012">
            <v>5</v>
          </cell>
          <cell r="M1012" t="str">
            <v/>
          </cell>
          <cell r="N1012" t="str">
            <v>25</v>
          </cell>
          <cell r="O1012">
            <v>5</v>
          </cell>
          <cell r="P1012">
            <v>0.89</v>
          </cell>
        </row>
        <row r="1013">
          <cell r="A1013" t="str">
            <v>6727014</v>
          </cell>
          <cell r="B1013" t="str">
            <v>1321201</v>
          </cell>
          <cell r="C1013" t="str">
            <v>6390RDS-8182-481</v>
          </cell>
          <cell r="D1013" t="str">
            <v>6390RDS</v>
          </cell>
          <cell r="E1013" t="str">
            <v>6390RDS MP 2.0 9MM  X300U STX BSK BLK RH</v>
          </cell>
          <cell r="F1013" t="str">
            <v>DG-HOLSTER-RDS</v>
          </cell>
          <cell r="G1013" t="str">
            <v>1420-210-FG</v>
          </cell>
          <cell r="H1013" t="str">
            <v>F</v>
          </cell>
          <cell r="I1013" t="str">
            <v>06/10/2024</v>
          </cell>
          <cell r="J1013" t="str">
            <v>06/10/2024</v>
          </cell>
          <cell r="K1013" t="str">
            <v>06/19/2024</v>
          </cell>
          <cell r="L1013">
            <v>5</v>
          </cell>
          <cell r="M1013" t="str">
            <v/>
          </cell>
          <cell r="N1013" t="str">
            <v>25</v>
          </cell>
          <cell r="O1013">
            <v>5</v>
          </cell>
          <cell r="P1013">
            <v>2</v>
          </cell>
        </row>
        <row r="1014">
          <cell r="A1014" t="str">
            <v>6727207</v>
          </cell>
          <cell r="B1014" t="str">
            <v>1335065</v>
          </cell>
          <cell r="C1014" t="str">
            <v>6390RDS-572-701</v>
          </cell>
          <cell r="D1014" t="str">
            <v>6390RDS</v>
          </cell>
          <cell r="E1014" t="str">
            <v>6390RDS SA ECHELON X300U COR MLTCM RH</v>
          </cell>
          <cell r="F1014" t="str">
            <v>DG-HOLSTER-RDS-DTC</v>
          </cell>
          <cell r="G1014" t="str">
            <v>1420-210-FG</v>
          </cell>
          <cell r="H1014" t="str">
            <v>F</v>
          </cell>
          <cell r="I1014" t="str">
            <v>06/10/2024</v>
          </cell>
          <cell r="J1014" t="str">
            <v>06/10/2024</v>
          </cell>
          <cell r="K1014" t="str">
            <v>06/19/2024</v>
          </cell>
          <cell r="L1014">
            <v>5</v>
          </cell>
          <cell r="M1014" t="str">
            <v/>
          </cell>
          <cell r="N1014" t="str">
            <v>25</v>
          </cell>
          <cell r="O1014">
            <v>5</v>
          </cell>
          <cell r="P1014">
            <v>2</v>
          </cell>
        </row>
        <row r="1015">
          <cell r="A1015" t="str">
            <v>6724275</v>
          </cell>
          <cell r="B1015" t="str">
            <v>1101303</v>
          </cell>
          <cell r="C1015" t="str">
            <v>65-4-2B</v>
          </cell>
          <cell r="D1015" t="str">
            <v>65</v>
          </cell>
          <cell r="E1015" t="str">
            <v>65 BELT KEEPER 4PK BLK PLN BR 2.25IN</v>
          </cell>
          <cell r="F1015" t="str">
            <v>DG-KEEPER</v>
          </cell>
          <cell r="G1015" t="str">
            <v>1420-210-FG</v>
          </cell>
          <cell r="H1015" t="str">
            <v>R</v>
          </cell>
          <cell r="I1015" t="str">
            <v>06/04/2024</v>
          </cell>
          <cell r="J1015" t="str">
            <v>06/13/2024</v>
          </cell>
          <cell r="K1015" t="str">
            <v>06/19/2024</v>
          </cell>
          <cell r="L1015">
            <v>40</v>
          </cell>
          <cell r="M1015" t="str">
            <v>6/4/2024 2:57:41 PM</v>
          </cell>
          <cell r="N1015" t="str">
            <v>25</v>
          </cell>
          <cell r="O1015">
            <v>40</v>
          </cell>
          <cell r="P1015">
            <v>1.17</v>
          </cell>
        </row>
        <row r="1016">
          <cell r="A1016" t="str">
            <v>6724186</v>
          </cell>
          <cell r="B1016" t="str">
            <v>1017382</v>
          </cell>
          <cell r="C1016" t="str">
            <v>22411</v>
          </cell>
          <cell r="D1016" t="str">
            <v>7225</v>
          </cell>
          <cell r="E1016" t="str">
            <v>7225 ERGOTEK DUTY BLT NYL BLK SZ 40-42</v>
          </cell>
          <cell r="F1016" t="str">
            <v>BN-BELT</v>
          </cell>
          <cell r="G1016" t="str">
            <v>1420-210-FG</v>
          </cell>
          <cell r="H1016" t="str">
            <v>R</v>
          </cell>
          <cell r="I1016" t="str">
            <v>06/04/2024</v>
          </cell>
          <cell r="J1016" t="str">
            <v>06/10/2024</v>
          </cell>
          <cell r="K1016" t="str">
            <v>06/19/2024</v>
          </cell>
          <cell r="L1016">
            <v>7</v>
          </cell>
          <cell r="M1016" t="str">
            <v>6/6/2024 2:22:15 PM</v>
          </cell>
          <cell r="N1016" t="str">
            <v>25</v>
          </cell>
          <cell r="O1016">
            <v>7</v>
          </cell>
          <cell r="P1016">
            <v>0.99</v>
          </cell>
        </row>
        <row r="1017">
          <cell r="A1017" t="str">
            <v>6724188</v>
          </cell>
          <cell r="B1017" t="str">
            <v>1017385</v>
          </cell>
          <cell r="C1017" t="str">
            <v>22414</v>
          </cell>
          <cell r="D1017" t="str">
            <v>7225</v>
          </cell>
          <cell r="E1017" t="str">
            <v>7225 ERGOTEK DUTY BLT NYL BLK SZ 46-48</v>
          </cell>
          <cell r="F1017" t="str">
            <v>BN-BELT</v>
          </cell>
          <cell r="G1017" t="str">
            <v>1420-210-FG</v>
          </cell>
          <cell r="H1017" t="str">
            <v>R</v>
          </cell>
          <cell r="I1017" t="str">
            <v>06/04/2024</v>
          </cell>
          <cell r="J1017" t="str">
            <v>06/10/2024</v>
          </cell>
          <cell r="K1017" t="str">
            <v>06/19/2024</v>
          </cell>
          <cell r="L1017">
            <v>5</v>
          </cell>
          <cell r="M1017" t="str">
            <v>6/6/2024 2:22:25 PM</v>
          </cell>
          <cell r="N1017" t="str">
            <v>25</v>
          </cell>
          <cell r="O1017">
            <v>5</v>
          </cell>
          <cell r="P1017">
            <v>0.71</v>
          </cell>
        </row>
        <row r="1018">
          <cell r="A1018" t="str">
            <v>6725627</v>
          </cell>
          <cell r="B1018" t="str">
            <v>1013762</v>
          </cell>
          <cell r="C1018" t="str">
            <v>24773</v>
          </cell>
          <cell r="D1018" t="str">
            <v>7235</v>
          </cell>
          <cell r="E1018" t="str">
            <v>7235 ERGOTEK BLT KIT NYL BLK SZ 30-32</v>
          </cell>
          <cell r="F1018" t="str">
            <v>BN-BELT</v>
          </cell>
          <cell r="G1018" t="str">
            <v>1420-210-FG</v>
          </cell>
          <cell r="H1018" t="str">
            <v>R</v>
          </cell>
          <cell r="I1018" t="str">
            <v>06/06/2024</v>
          </cell>
          <cell r="J1018" t="str">
            <v>06/13/2024</v>
          </cell>
          <cell r="K1018" t="str">
            <v>06/19/2024</v>
          </cell>
          <cell r="L1018">
            <v>9</v>
          </cell>
          <cell r="M1018" t="str">
            <v>6/6/2024 2:20:39 PM</v>
          </cell>
          <cell r="N1018" t="str">
            <v>25</v>
          </cell>
          <cell r="O1018">
            <v>9</v>
          </cell>
          <cell r="P1018">
            <v>2.79</v>
          </cell>
        </row>
        <row r="1019">
          <cell r="A1019" t="str">
            <v>6725629</v>
          </cell>
          <cell r="B1019" t="str">
            <v>1018368</v>
          </cell>
          <cell r="C1019" t="str">
            <v>24776</v>
          </cell>
          <cell r="D1019" t="str">
            <v>7235</v>
          </cell>
          <cell r="E1019" t="str">
            <v>7235 ERGOTEK BLT KIT NYL BLK SZ 36-38</v>
          </cell>
          <cell r="F1019" t="str">
            <v>BN-BELT</v>
          </cell>
          <cell r="G1019" t="str">
            <v>1420-210-FG</v>
          </cell>
          <cell r="H1019" t="str">
            <v>R</v>
          </cell>
          <cell r="I1019" t="str">
            <v>06/06/2024</v>
          </cell>
          <cell r="J1019" t="str">
            <v>06/13/2024</v>
          </cell>
          <cell r="K1019" t="str">
            <v>06/19/2024</v>
          </cell>
          <cell r="L1019">
            <v>28</v>
          </cell>
          <cell r="M1019" t="str">
            <v>6/6/2024 2:22:36 PM</v>
          </cell>
          <cell r="N1019" t="str">
            <v>25</v>
          </cell>
          <cell r="O1019">
            <v>28</v>
          </cell>
          <cell r="P1019">
            <v>8.68</v>
          </cell>
        </row>
        <row r="1020">
          <cell r="A1020" t="str">
            <v>6723087</v>
          </cell>
          <cell r="B1020" t="str">
            <v>1018381</v>
          </cell>
          <cell r="C1020" t="str">
            <v>24777</v>
          </cell>
          <cell r="D1020" t="str">
            <v>7235</v>
          </cell>
          <cell r="E1020" t="str">
            <v>7235 ERGOTEK BLT KIT NYL BLK SZ 38-40</v>
          </cell>
          <cell r="F1020" t="str">
            <v>BN-BELT</v>
          </cell>
          <cell r="G1020" t="str">
            <v>1420-210-FG</v>
          </cell>
          <cell r="H1020" t="str">
            <v>R</v>
          </cell>
          <cell r="I1020" t="str">
            <v>06/03/2024</v>
          </cell>
          <cell r="J1020" t="str">
            <v>06/03/2024</v>
          </cell>
          <cell r="K1020" t="str">
            <v>06/19/2024</v>
          </cell>
          <cell r="L1020">
            <v>10</v>
          </cell>
          <cell r="M1020" t="str">
            <v>6/6/2024 2:22:04 PM</v>
          </cell>
          <cell r="N1020" t="str">
            <v>25</v>
          </cell>
          <cell r="O1020">
            <v>10</v>
          </cell>
          <cell r="P1020">
            <v>3.1</v>
          </cell>
        </row>
        <row r="1021">
          <cell r="A1021" t="str">
            <v>6725630</v>
          </cell>
          <cell r="B1021" t="str">
            <v>1018382</v>
          </cell>
          <cell r="C1021" t="str">
            <v>24778</v>
          </cell>
          <cell r="D1021" t="str">
            <v>7235</v>
          </cell>
          <cell r="E1021" t="str">
            <v>7235 ERGOTEK BLT KIT NYL BLK SZ 40-42</v>
          </cell>
          <cell r="F1021" t="str">
            <v>BN-BELT</v>
          </cell>
          <cell r="G1021" t="str">
            <v>1420-210-FG</v>
          </cell>
          <cell r="H1021" t="str">
            <v>R</v>
          </cell>
          <cell r="I1021" t="str">
            <v>06/06/2024</v>
          </cell>
          <cell r="J1021" t="str">
            <v>06/13/2024</v>
          </cell>
          <cell r="K1021" t="str">
            <v>06/19/2024</v>
          </cell>
          <cell r="L1021">
            <v>15</v>
          </cell>
          <cell r="M1021" t="str">
            <v>6/6/2024 2:20:49 PM</v>
          </cell>
          <cell r="N1021" t="str">
            <v>25</v>
          </cell>
          <cell r="O1021">
            <v>15</v>
          </cell>
          <cell r="P1021">
            <v>4.6500000000000004</v>
          </cell>
        </row>
        <row r="1022">
          <cell r="A1022" t="str">
            <v>6725631</v>
          </cell>
          <cell r="B1022" t="str">
            <v>1018383</v>
          </cell>
          <cell r="C1022" t="str">
            <v>24779</v>
          </cell>
          <cell r="D1022" t="str">
            <v>7235</v>
          </cell>
          <cell r="E1022" t="str">
            <v>7235 ERGOTEK BLT KIT NYL BLK SZ 42-44</v>
          </cell>
          <cell r="F1022" t="str">
            <v>BN-BELT</v>
          </cell>
          <cell r="G1022" t="str">
            <v>1420-210-FG</v>
          </cell>
          <cell r="H1022" t="str">
            <v>R</v>
          </cell>
          <cell r="I1022" t="str">
            <v>06/06/2024</v>
          </cell>
          <cell r="J1022" t="str">
            <v>06/13/2024</v>
          </cell>
          <cell r="K1022" t="str">
            <v>06/19/2024</v>
          </cell>
          <cell r="L1022">
            <v>7</v>
          </cell>
          <cell r="M1022" t="str">
            <v>6/6/2024 2:22:49 PM</v>
          </cell>
          <cell r="N1022" t="str">
            <v>25</v>
          </cell>
          <cell r="O1022">
            <v>7</v>
          </cell>
          <cell r="P1022">
            <v>2.17</v>
          </cell>
        </row>
        <row r="1023">
          <cell r="A1023" t="str">
            <v>6725632</v>
          </cell>
          <cell r="B1023" t="str">
            <v>1018384</v>
          </cell>
          <cell r="C1023" t="str">
            <v>24780</v>
          </cell>
          <cell r="D1023" t="str">
            <v>7235</v>
          </cell>
          <cell r="E1023" t="str">
            <v>7235 ERGOTEK BLT KIT NYL BLK SZ 44-46</v>
          </cell>
          <cell r="F1023" t="str">
            <v>BN-BELT</v>
          </cell>
          <cell r="G1023" t="str">
            <v>1420-210-FG</v>
          </cell>
          <cell r="H1023" t="str">
            <v>R</v>
          </cell>
          <cell r="I1023" t="str">
            <v>06/06/2024</v>
          </cell>
          <cell r="J1023" t="str">
            <v>06/13/2024</v>
          </cell>
          <cell r="K1023" t="str">
            <v>06/19/2024</v>
          </cell>
          <cell r="L1023">
            <v>7</v>
          </cell>
          <cell r="M1023" t="str">
            <v>6/6/2024 2:21:01 PM</v>
          </cell>
          <cell r="N1023" t="str">
            <v>25</v>
          </cell>
          <cell r="O1023">
            <v>7</v>
          </cell>
          <cell r="P1023">
            <v>2.17</v>
          </cell>
        </row>
        <row r="1024">
          <cell r="A1024" t="str">
            <v>6725633</v>
          </cell>
          <cell r="B1024" t="str">
            <v>1018385</v>
          </cell>
          <cell r="C1024" t="str">
            <v>24781</v>
          </cell>
          <cell r="D1024" t="str">
            <v>7235</v>
          </cell>
          <cell r="E1024" t="str">
            <v>7235 ERGOTEK BLT KIT NYL BLK SZ 46-48</v>
          </cell>
          <cell r="F1024" t="str">
            <v>BN-BELT</v>
          </cell>
          <cell r="G1024" t="str">
            <v>1420-210-FG</v>
          </cell>
          <cell r="H1024" t="str">
            <v>R</v>
          </cell>
          <cell r="I1024" t="str">
            <v>06/06/2024</v>
          </cell>
          <cell r="J1024" t="str">
            <v>06/13/2024</v>
          </cell>
          <cell r="K1024" t="str">
            <v>06/19/2024</v>
          </cell>
          <cell r="L1024">
            <v>5</v>
          </cell>
          <cell r="M1024" t="str">
            <v>6/6/2024 2:21:14 PM</v>
          </cell>
          <cell r="N1024" t="str">
            <v>25</v>
          </cell>
          <cell r="O1024">
            <v>5</v>
          </cell>
          <cell r="P1024">
            <v>1.55</v>
          </cell>
        </row>
        <row r="1025">
          <cell r="A1025" t="str">
            <v>6725628</v>
          </cell>
          <cell r="B1025" t="str">
            <v>1014317</v>
          </cell>
          <cell r="C1025" t="str">
            <v>24794</v>
          </cell>
          <cell r="D1025" t="str">
            <v>7235</v>
          </cell>
          <cell r="E1025" t="str">
            <v>7235 ERGOTEK BLT KIT NYL BLK SZ 54-56</v>
          </cell>
          <cell r="F1025" t="str">
            <v>BN-BELT</v>
          </cell>
          <cell r="G1025" t="str">
            <v>1420-210-FG</v>
          </cell>
          <cell r="H1025" t="str">
            <v>R</v>
          </cell>
          <cell r="I1025" t="str">
            <v>06/06/2024</v>
          </cell>
          <cell r="J1025" t="str">
            <v>06/13/2024</v>
          </cell>
          <cell r="K1025" t="str">
            <v>06/19/2024</v>
          </cell>
          <cell r="L1025">
            <v>1</v>
          </cell>
          <cell r="M1025" t="str">
            <v>6/6/2024 2:21:24 PM</v>
          </cell>
          <cell r="N1025" t="str">
            <v>25</v>
          </cell>
          <cell r="O1025">
            <v>1</v>
          </cell>
          <cell r="P1025">
            <v>0.31</v>
          </cell>
        </row>
        <row r="1026">
          <cell r="A1026" t="str">
            <v>6727260</v>
          </cell>
          <cell r="B1026" t="str">
            <v>1125452</v>
          </cell>
          <cell r="C1026" t="str">
            <v>73-83-13</v>
          </cell>
          <cell r="D1026" t="str">
            <v>73</v>
          </cell>
          <cell r="E1026" t="str">
            <v>73 GLOCK 17/22 STX TAC BLK</v>
          </cell>
          <cell r="F1026" t="str">
            <v>DG-POUCH-F1</v>
          </cell>
          <cell r="G1026" t="str">
            <v>1420-210-FG</v>
          </cell>
          <cell r="H1026" t="str">
            <v>R</v>
          </cell>
          <cell r="I1026" t="str">
            <v>06/10/2024</v>
          </cell>
          <cell r="J1026" t="str">
            <v>06/10/2024</v>
          </cell>
          <cell r="K1026" t="str">
            <v>06/19/2024</v>
          </cell>
          <cell r="L1026">
            <v>40</v>
          </cell>
          <cell r="M1026" t="str">
            <v>6/11/2024 3:25:49 PM</v>
          </cell>
          <cell r="N1026" t="str">
            <v>25</v>
          </cell>
          <cell r="O1026">
            <v>40</v>
          </cell>
          <cell r="P1026">
            <v>12.05</v>
          </cell>
        </row>
        <row r="1027">
          <cell r="A1027" t="str">
            <v>6723117</v>
          </cell>
          <cell r="B1027" t="str">
            <v>1015918</v>
          </cell>
          <cell r="C1027" t="str">
            <v>15635</v>
          </cell>
          <cell r="D1027" t="str">
            <v>7406</v>
          </cell>
          <cell r="E1027" t="str">
            <v>7406 BELT KEEPER ACU 4PK BLK SNAP 2.25IN</v>
          </cell>
          <cell r="F1027" t="str">
            <v>BN-KEEPER</v>
          </cell>
          <cell r="G1027" t="str">
            <v>1420-210-FG</v>
          </cell>
          <cell r="H1027" t="str">
            <v>R</v>
          </cell>
          <cell r="I1027" t="str">
            <v>06/03/2024</v>
          </cell>
          <cell r="J1027" t="str">
            <v>06/03/2024</v>
          </cell>
          <cell r="K1027" t="str">
            <v>06/19/2024</v>
          </cell>
          <cell r="L1027">
            <v>100</v>
          </cell>
          <cell r="M1027" t="str">
            <v>6/4/2024 3:01:05 PM</v>
          </cell>
          <cell r="N1027" t="str">
            <v>25</v>
          </cell>
          <cell r="O1027">
            <v>100</v>
          </cell>
          <cell r="P1027">
            <v>5.29</v>
          </cell>
        </row>
        <row r="1028">
          <cell r="A1028" t="str">
            <v>6723123</v>
          </cell>
          <cell r="B1028" t="str">
            <v>1015918</v>
          </cell>
          <cell r="C1028" t="str">
            <v>15635</v>
          </cell>
          <cell r="D1028" t="str">
            <v>7406</v>
          </cell>
          <cell r="E1028" t="str">
            <v>7406 BELT KEEPER ACU 4PK BLK SNAP 2.25IN</v>
          </cell>
          <cell r="F1028" t="str">
            <v>BN-KEEPER</v>
          </cell>
          <cell r="G1028" t="str">
            <v>1420-210-FG</v>
          </cell>
          <cell r="H1028" t="str">
            <v>R</v>
          </cell>
          <cell r="I1028" t="str">
            <v>06/03/2024</v>
          </cell>
          <cell r="J1028" t="str">
            <v>06/03/2024</v>
          </cell>
          <cell r="K1028" t="str">
            <v>06/19/2024</v>
          </cell>
          <cell r="L1028">
            <v>100</v>
          </cell>
          <cell r="M1028" t="str">
            <v>6/4/2024 3:03:16 PM</v>
          </cell>
          <cell r="N1028" t="str">
            <v>25</v>
          </cell>
          <cell r="O1028">
            <v>100</v>
          </cell>
          <cell r="P1028">
            <v>5.29</v>
          </cell>
        </row>
        <row r="1029">
          <cell r="A1029" t="str">
            <v>6724199</v>
          </cell>
          <cell r="B1029" t="str">
            <v>1029940</v>
          </cell>
          <cell r="C1029" t="str">
            <v>22091</v>
          </cell>
          <cell r="D1029" t="str">
            <v>7906</v>
          </cell>
          <cell r="E1029" t="str">
            <v>7906 BLT KPR ACE 4PK BLK BSK HS 2.25IN</v>
          </cell>
          <cell r="F1029" t="str">
            <v>BN-KEEPER</v>
          </cell>
          <cell r="G1029" t="str">
            <v>1420-210-FG</v>
          </cell>
          <cell r="H1029" t="str">
            <v>R</v>
          </cell>
          <cell r="I1029" t="str">
            <v>06/04/2024</v>
          </cell>
          <cell r="J1029" t="str">
            <v>06/10/2024</v>
          </cell>
          <cell r="K1029" t="str">
            <v>06/19/2024</v>
          </cell>
          <cell r="L1029">
            <v>100</v>
          </cell>
          <cell r="M1029" t="str">
            <v>6/4/2024 3:06:05 PM</v>
          </cell>
          <cell r="N1029" t="str">
            <v>25</v>
          </cell>
          <cell r="O1029">
            <v>100</v>
          </cell>
          <cell r="P1029">
            <v>10.96</v>
          </cell>
        </row>
        <row r="1030">
          <cell r="A1030" t="str">
            <v>6724202</v>
          </cell>
          <cell r="B1030" t="str">
            <v>1029940</v>
          </cell>
          <cell r="C1030" t="str">
            <v>22091</v>
          </cell>
          <cell r="D1030" t="str">
            <v>7906</v>
          </cell>
          <cell r="E1030" t="str">
            <v>7906 BLT KPR ACE 4PK BLK BSK HS 2.25IN</v>
          </cell>
          <cell r="F1030" t="str">
            <v>BN-KEEPER</v>
          </cell>
          <cell r="G1030" t="str">
            <v>1420-210-FG</v>
          </cell>
          <cell r="H1030" t="str">
            <v>R</v>
          </cell>
          <cell r="I1030" t="str">
            <v>06/04/2024</v>
          </cell>
          <cell r="J1030" t="str">
            <v>06/10/2024</v>
          </cell>
          <cell r="K1030" t="str">
            <v>06/19/2024</v>
          </cell>
          <cell r="L1030">
            <v>100</v>
          </cell>
          <cell r="M1030" t="str">
            <v>6/4/2024 3:05:31 PM</v>
          </cell>
          <cell r="N1030" t="str">
            <v>25</v>
          </cell>
          <cell r="O1030">
            <v>100</v>
          </cell>
          <cell r="P1030">
            <v>10.96</v>
          </cell>
        </row>
        <row r="1031">
          <cell r="A1031" t="str">
            <v>6724203</v>
          </cell>
          <cell r="B1031" t="str">
            <v>1029940</v>
          </cell>
          <cell r="C1031" t="str">
            <v>22091</v>
          </cell>
          <cell r="D1031" t="str">
            <v>7906</v>
          </cell>
          <cell r="E1031" t="str">
            <v>7906 BLT KPR ACE 4PK BLK BSK HS 2.25IN</v>
          </cell>
          <cell r="F1031" t="str">
            <v>BN-KEEPER</v>
          </cell>
          <cell r="G1031" t="str">
            <v>1420-210-FG</v>
          </cell>
          <cell r="H1031" t="str">
            <v>R</v>
          </cell>
          <cell r="I1031" t="str">
            <v>06/04/2024</v>
          </cell>
          <cell r="J1031" t="str">
            <v>06/10/2024</v>
          </cell>
          <cell r="K1031" t="str">
            <v>06/19/2024</v>
          </cell>
          <cell r="L1031">
            <v>100</v>
          </cell>
          <cell r="M1031" t="str">
            <v>6/4/2024 3:05:44 PM</v>
          </cell>
          <cell r="N1031" t="str">
            <v>25</v>
          </cell>
          <cell r="O1031">
            <v>100</v>
          </cell>
          <cell r="P1031">
            <v>10.96</v>
          </cell>
        </row>
        <row r="1032">
          <cell r="A1032" t="str">
            <v>6724196</v>
          </cell>
          <cell r="B1032" t="str">
            <v>1017261</v>
          </cell>
          <cell r="C1032" t="str">
            <v>22090</v>
          </cell>
          <cell r="D1032" t="str">
            <v>7906</v>
          </cell>
          <cell r="E1032" t="str">
            <v>7906 BLT KPR ACE 4PK BLK PLN HS 2.25IN</v>
          </cell>
          <cell r="F1032" t="str">
            <v>BN-KEEPER</v>
          </cell>
          <cell r="G1032" t="str">
            <v>1420-210-FG</v>
          </cell>
          <cell r="H1032" t="str">
            <v>R</v>
          </cell>
          <cell r="I1032" t="str">
            <v>06/04/2024</v>
          </cell>
          <cell r="J1032" t="str">
            <v>06/10/2024</v>
          </cell>
          <cell r="K1032" t="str">
            <v>06/19/2024</v>
          </cell>
          <cell r="L1032">
            <v>100</v>
          </cell>
          <cell r="M1032" t="str">
            <v>6/4/2024 3:05:13 PM</v>
          </cell>
          <cell r="N1032" t="str">
            <v>25</v>
          </cell>
          <cell r="O1032">
            <v>100</v>
          </cell>
          <cell r="P1032">
            <v>10.84</v>
          </cell>
        </row>
        <row r="1033">
          <cell r="A1033" t="str">
            <v>6723147</v>
          </cell>
          <cell r="B1033" t="str">
            <v>1327388</v>
          </cell>
          <cell r="C1033" t="str">
            <v>52831</v>
          </cell>
          <cell r="D1033" t="str">
            <v>126GLS</v>
          </cell>
          <cell r="E1033" t="str">
            <v>ASSENT PRO FIT BLK RH SZ 283</v>
          </cell>
          <cell r="F1033" t="str">
            <v>BN-LEATHER</v>
          </cell>
          <cell r="G1033" t="str">
            <v>1420-210-FG</v>
          </cell>
          <cell r="H1033" t="str">
            <v>R</v>
          </cell>
          <cell r="I1033" t="str">
            <v>06/03/2024</v>
          </cell>
          <cell r="J1033" t="str">
            <v>06/03/2024</v>
          </cell>
          <cell r="K1033" t="str">
            <v>06/19/2024</v>
          </cell>
          <cell r="L1033">
            <v>15</v>
          </cell>
          <cell r="M1033" t="str">
            <v>6/4/2024 3:10:25 PM</v>
          </cell>
          <cell r="N1033" t="str">
            <v>25</v>
          </cell>
          <cell r="O1033">
            <v>15</v>
          </cell>
          <cell r="P1033">
            <v>7.8</v>
          </cell>
        </row>
        <row r="1034">
          <cell r="A1034" t="str">
            <v>6724191</v>
          </cell>
          <cell r="B1034" t="str">
            <v>1015846</v>
          </cell>
          <cell r="C1034" t="str">
            <v>14414</v>
          </cell>
          <cell r="D1034" t="str">
            <v>7404</v>
          </cell>
          <cell r="E1034" t="str">
            <v xml:space="preserve">BATON HOLDER BLACK </v>
          </cell>
          <cell r="F1034" t="str">
            <v>BN-KEEPER</v>
          </cell>
          <cell r="G1034" t="str">
            <v>1420-210-FG</v>
          </cell>
          <cell r="H1034" t="str">
            <v>R</v>
          </cell>
          <cell r="I1034" t="str">
            <v>06/04/2024</v>
          </cell>
          <cell r="J1034" t="str">
            <v>06/10/2024</v>
          </cell>
          <cell r="K1034" t="str">
            <v>06/19/2024</v>
          </cell>
          <cell r="L1034">
            <v>100</v>
          </cell>
          <cell r="M1034" t="str">
            <v>6/4/2024 3:05:53 PM</v>
          </cell>
          <cell r="N1034" t="str">
            <v>25</v>
          </cell>
          <cell r="O1034">
            <v>100</v>
          </cell>
          <cell r="P1034">
            <v>3.2</v>
          </cell>
        </row>
        <row r="1035">
          <cell r="A1035" t="str">
            <v>6725615</v>
          </cell>
          <cell r="B1035" t="str">
            <v>1018075</v>
          </cell>
          <cell r="C1035" t="str">
            <v>24017</v>
          </cell>
          <cell r="D1035" t="str">
            <v>7312</v>
          </cell>
          <cell r="E1035" t="str">
            <v>BATON HOLDER BLK 26IN</v>
          </cell>
          <cell r="F1035" t="str">
            <v>BN-POUCH</v>
          </cell>
          <cell r="G1035" t="str">
            <v>1420-210-FG</v>
          </cell>
          <cell r="H1035" t="str">
            <v>R</v>
          </cell>
          <cell r="I1035" t="str">
            <v>06/06/2024</v>
          </cell>
          <cell r="J1035" t="str">
            <v>06/14/2024</v>
          </cell>
          <cell r="K1035" t="str">
            <v>06/19/2024</v>
          </cell>
          <cell r="L1035">
            <v>100</v>
          </cell>
          <cell r="M1035" t="str">
            <v>6/6/2024 2:18:23 PM</v>
          </cell>
          <cell r="N1035" t="str">
            <v>25</v>
          </cell>
          <cell r="O1035">
            <v>100</v>
          </cell>
          <cell r="P1035">
            <v>17</v>
          </cell>
        </row>
        <row r="1036">
          <cell r="A1036" t="str">
            <v>6728702</v>
          </cell>
          <cell r="B1036" t="str">
            <v>1015753</v>
          </cell>
          <cell r="C1036" t="str">
            <v>15713</v>
          </cell>
          <cell r="D1036" t="str">
            <v>5</v>
          </cell>
          <cell r="E1036" t="str">
            <v>BLACK WIDOW BLK LH S-W 3906/5906</v>
          </cell>
          <cell r="F1036" t="str">
            <v>BN-LEATHER</v>
          </cell>
          <cell r="G1036" t="str">
            <v>1420-210-FG</v>
          </cell>
          <cell r="H1036" t="str">
            <v>R</v>
          </cell>
          <cell r="I1036" t="str">
            <v>06/12/2024</v>
          </cell>
          <cell r="J1036" t="str">
            <v>06/12/2024</v>
          </cell>
          <cell r="K1036" t="str">
            <v>06/19/2024</v>
          </cell>
          <cell r="L1036">
            <v>2</v>
          </cell>
          <cell r="M1036" t="str">
            <v>6/12/2024 11:50:50 AM</v>
          </cell>
          <cell r="N1036" t="str">
            <v>25</v>
          </cell>
          <cell r="O1036">
            <v>2</v>
          </cell>
          <cell r="P1036">
            <v>0.8</v>
          </cell>
        </row>
        <row r="1037">
          <cell r="A1037" t="str">
            <v>6724151</v>
          </cell>
          <cell r="B1037" t="str">
            <v>1017267</v>
          </cell>
          <cell r="C1037" t="str">
            <v>22096</v>
          </cell>
          <cell r="D1037" t="str">
            <v>7926</v>
          </cell>
          <cell r="E1037" t="str">
            <v>COMPACT LIGHT HOLDER PLN-BLK SZ 2</v>
          </cell>
          <cell r="F1037" t="str">
            <v>BN-POUCH</v>
          </cell>
          <cell r="G1037" t="str">
            <v>1420-210-FG</v>
          </cell>
          <cell r="H1037" t="str">
            <v>R</v>
          </cell>
          <cell r="I1037" t="str">
            <v>06/04/2024</v>
          </cell>
          <cell r="J1037" t="str">
            <v>06/04/2024</v>
          </cell>
          <cell r="K1037" t="str">
            <v>06/19/2024</v>
          </cell>
          <cell r="L1037">
            <v>100</v>
          </cell>
          <cell r="M1037" t="str">
            <v>6/4/2024 3:14:45 PM</v>
          </cell>
          <cell r="N1037" t="str">
            <v>25</v>
          </cell>
          <cell r="O1037">
            <v>100</v>
          </cell>
          <cell r="P1037">
            <v>10.53</v>
          </cell>
        </row>
        <row r="1038">
          <cell r="A1038" t="str">
            <v>6725603</v>
          </cell>
          <cell r="B1038" t="str">
            <v>1017264</v>
          </cell>
          <cell r="C1038" t="str">
            <v>22094</v>
          </cell>
          <cell r="D1038" t="str">
            <v>7926</v>
          </cell>
          <cell r="E1038" t="str">
            <v>COMPACT LIGHT HOLDER PLN-OLDER BLK SZ 1</v>
          </cell>
          <cell r="F1038" t="str">
            <v>BN-POUCH</v>
          </cell>
          <cell r="G1038" t="str">
            <v>1420-210-FG</v>
          </cell>
          <cell r="H1038" t="str">
            <v>R</v>
          </cell>
          <cell r="I1038" t="str">
            <v>06/06/2024</v>
          </cell>
          <cell r="J1038" t="str">
            <v>06/06/2024</v>
          </cell>
          <cell r="K1038" t="str">
            <v>06/19/2024</v>
          </cell>
          <cell r="L1038">
            <v>40</v>
          </cell>
          <cell r="M1038" t="str">
            <v>6/6/2024 2:18:23 PM</v>
          </cell>
          <cell r="N1038" t="str">
            <v>25</v>
          </cell>
          <cell r="O1038">
            <v>40</v>
          </cell>
          <cell r="P1038">
            <v>3.74</v>
          </cell>
        </row>
        <row r="1039">
          <cell r="A1039" t="str">
            <v>6724238</v>
          </cell>
          <cell r="B1039" t="str">
            <v>1017790</v>
          </cell>
          <cell r="C1039" t="str">
            <v>23165</v>
          </cell>
          <cell r="D1039" t="str">
            <v>P7300</v>
          </cell>
          <cell r="E1039" t="str">
            <v>COVERED HANDCUFF CASE BLK SZ1 HID -CPB</v>
          </cell>
          <cell r="F1039" t="str">
            <v>BN-POUCH</v>
          </cell>
          <cell r="G1039" t="str">
            <v>1420-210-FG</v>
          </cell>
          <cell r="H1039" t="str">
            <v>R</v>
          </cell>
          <cell r="I1039" t="str">
            <v>06/04/2024</v>
          </cell>
          <cell r="J1039" t="str">
            <v>06/10/2024</v>
          </cell>
          <cell r="K1039" t="str">
            <v>06/19/2024</v>
          </cell>
          <cell r="L1039">
            <v>36</v>
          </cell>
          <cell r="M1039" t="str">
            <v>6/5/2024 11:17:44 AM</v>
          </cell>
          <cell r="N1039" t="str">
            <v>25</v>
          </cell>
          <cell r="O1039">
            <v>36</v>
          </cell>
          <cell r="P1039">
            <v>6.11</v>
          </cell>
        </row>
        <row r="1040">
          <cell r="A1040" t="str">
            <v>6724242</v>
          </cell>
          <cell r="B1040" t="str">
            <v>1193844</v>
          </cell>
          <cell r="C1040" t="str">
            <v>25374</v>
          </cell>
          <cell r="D1040" t="str">
            <v>7300</v>
          </cell>
          <cell r="E1040" t="str">
            <v>COVERED HANDCUFF CASE BLK SZ2 W/MOLLE</v>
          </cell>
          <cell r="F1040" t="str">
            <v>BN-POUCH</v>
          </cell>
          <cell r="G1040" t="str">
            <v>1420-210-FG</v>
          </cell>
          <cell r="H1040" t="str">
            <v>R</v>
          </cell>
          <cell r="I1040" t="str">
            <v>06/04/2024</v>
          </cell>
          <cell r="J1040" t="str">
            <v>06/10/2024</v>
          </cell>
          <cell r="K1040" t="str">
            <v>06/19/2024</v>
          </cell>
          <cell r="L1040">
            <v>10</v>
          </cell>
          <cell r="M1040" t="str">
            <v>6/4/2024 3:00:01 PM</v>
          </cell>
          <cell r="N1040" t="str">
            <v>25</v>
          </cell>
          <cell r="O1040">
            <v>10</v>
          </cell>
          <cell r="P1040">
            <v>3.9</v>
          </cell>
        </row>
        <row r="1041">
          <cell r="A1041" t="str">
            <v>6724142</v>
          </cell>
          <cell r="B1041" t="str">
            <v>1015508</v>
          </cell>
          <cell r="C1041" t="str">
            <v>13099</v>
          </cell>
          <cell r="D1041" t="str">
            <v>111</v>
          </cell>
          <cell r="E1041" t="str">
            <v>CYCLONE TAN RH RUGER REDHAWK 44 7 1/2IN</v>
          </cell>
          <cell r="F1041" t="str">
            <v>BN-LEATHER</v>
          </cell>
          <cell r="G1041" t="str">
            <v>1420-210-FG</v>
          </cell>
          <cell r="H1041" t="str">
            <v>R</v>
          </cell>
          <cell r="I1041" t="str">
            <v>06/04/2024</v>
          </cell>
          <cell r="J1041" t="str">
            <v>06/04/2024</v>
          </cell>
          <cell r="K1041" t="str">
            <v>06/19/2024</v>
          </cell>
          <cell r="L1041">
            <v>10</v>
          </cell>
          <cell r="M1041" t="str">
            <v>6/4/2024 3:10:14 PM</v>
          </cell>
          <cell r="N1041" t="str">
            <v>25</v>
          </cell>
          <cell r="O1041">
            <v>10</v>
          </cell>
          <cell r="P1041">
            <v>7.71</v>
          </cell>
        </row>
        <row r="1042">
          <cell r="A1042" t="str">
            <v>6728564</v>
          </cell>
          <cell r="B1042" t="str">
            <v>1166708</v>
          </cell>
          <cell r="C1042" t="str">
            <v>MH6005-FDE</v>
          </cell>
          <cell r="D1042" t="str">
            <v>MH6005</v>
          </cell>
          <cell r="E1042" t="str">
            <v>DETACHABLE HRNSS /DOUBLE ELSTIC 6005 FDE</v>
          </cell>
          <cell r="F1042" t="str">
            <v>DG-HARNESS</v>
          </cell>
          <cell r="G1042" t="str">
            <v>1420-210-SB</v>
          </cell>
          <cell r="H1042" t="str">
            <v>F</v>
          </cell>
          <cell r="I1042" t="str">
            <v>06/12/2024</v>
          </cell>
          <cell r="J1042" t="str">
            <v>06/12/2024</v>
          </cell>
          <cell r="K1042" t="str">
            <v>06/19/2024</v>
          </cell>
          <cell r="L1042">
            <v>14</v>
          </cell>
          <cell r="M1042" t="str">
            <v/>
          </cell>
          <cell r="N1042" t="str">
            <v>25</v>
          </cell>
          <cell r="O1042">
            <v>14</v>
          </cell>
          <cell r="P1042">
            <v>4</v>
          </cell>
        </row>
        <row r="1043">
          <cell r="A1043" t="str">
            <v>6723183</v>
          </cell>
          <cell r="B1043" t="str">
            <v>1018341</v>
          </cell>
          <cell r="C1043" t="str">
            <v>31393</v>
          </cell>
          <cell r="D1043" t="str">
            <v>8017</v>
          </cell>
          <cell r="E1043" t="str">
            <v>DOUBLE CUFF CASE BLK HIDDEN</v>
          </cell>
          <cell r="F1043" t="str">
            <v>BN-POUCH</v>
          </cell>
          <cell r="G1043" t="str">
            <v>1420-210-FG</v>
          </cell>
          <cell r="H1043" t="str">
            <v>R</v>
          </cell>
          <cell r="I1043" t="str">
            <v>06/03/2024</v>
          </cell>
          <cell r="J1043" t="str">
            <v>06/03/2024</v>
          </cell>
          <cell r="K1043" t="str">
            <v>06/19/2024</v>
          </cell>
          <cell r="L1043">
            <v>25</v>
          </cell>
          <cell r="M1043" t="str">
            <v>6/4/2024 3:12:04 PM</v>
          </cell>
          <cell r="N1043" t="str">
            <v>25</v>
          </cell>
          <cell r="O1043">
            <v>25</v>
          </cell>
          <cell r="P1043">
            <v>3.76</v>
          </cell>
        </row>
        <row r="1044">
          <cell r="A1044" t="str">
            <v>6724150</v>
          </cell>
          <cell r="B1044" t="str">
            <v>1016890</v>
          </cell>
          <cell r="C1044" t="str">
            <v>22184</v>
          </cell>
          <cell r="D1044" t="str">
            <v>7917</v>
          </cell>
          <cell r="E1044" t="str">
            <v>DOUBLE CUFF CASE PLN BLK-HIDDEN</v>
          </cell>
          <cell r="F1044" t="str">
            <v>BN-POUCH</v>
          </cell>
          <cell r="G1044" t="str">
            <v>1420-210-FG</v>
          </cell>
          <cell r="H1044" t="str">
            <v>R</v>
          </cell>
          <cell r="I1044" t="str">
            <v>06/04/2024</v>
          </cell>
          <cell r="J1044" t="str">
            <v>06/04/2024</v>
          </cell>
          <cell r="K1044" t="str">
            <v>06/19/2024</v>
          </cell>
          <cell r="L1044">
            <v>30</v>
          </cell>
          <cell r="M1044" t="str">
            <v>6/5/2024 11:17:30 AM</v>
          </cell>
          <cell r="N1044" t="str">
            <v>25</v>
          </cell>
          <cell r="O1044">
            <v>30</v>
          </cell>
          <cell r="P1044">
            <v>5.85</v>
          </cell>
        </row>
        <row r="1045">
          <cell r="A1045" t="str">
            <v>6724154</v>
          </cell>
          <cell r="B1045" t="str">
            <v>1209315</v>
          </cell>
          <cell r="C1045" t="str">
            <v>25382</v>
          </cell>
          <cell r="D1045" t="str">
            <v>7302</v>
          </cell>
          <cell r="E1045" t="str">
            <v>DOUBLE MAG POUCH BLK SZ4 HID W/MOLLE</v>
          </cell>
          <cell r="F1045" t="str">
            <v>BN-POUCH</v>
          </cell>
          <cell r="G1045" t="str">
            <v>1420-210-FG</v>
          </cell>
          <cell r="H1045" t="str">
            <v>R</v>
          </cell>
          <cell r="I1045" t="str">
            <v>06/04/2024</v>
          </cell>
          <cell r="J1045" t="str">
            <v>06/04/2024</v>
          </cell>
          <cell r="K1045" t="str">
            <v>06/19/2024</v>
          </cell>
          <cell r="L1045">
            <v>5</v>
          </cell>
          <cell r="M1045" t="str">
            <v>6/4/2024 3:14:45 PM</v>
          </cell>
          <cell r="N1045" t="str">
            <v>25</v>
          </cell>
          <cell r="O1045">
            <v>5</v>
          </cell>
          <cell r="P1045">
            <v>1.75</v>
          </cell>
        </row>
        <row r="1046">
          <cell r="A1046" t="str">
            <v>6724237</v>
          </cell>
          <cell r="B1046" t="str">
            <v>1017273</v>
          </cell>
          <cell r="C1046" t="str">
            <v>22371</v>
          </cell>
          <cell r="D1046" t="str">
            <v>7902</v>
          </cell>
          <cell r="E1046" t="str">
            <v>DOUBLE MAG POUCH HI-GLOSS-SZ 1 BRASS</v>
          </cell>
          <cell r="F1046" t="str">
            <v>BN-POUCH</v>
          </cell>
          <cell r="G1046" t="str">
            <v>1420-210-FG</v>
          </cell>
          <cell r="H1046" t="str">
            <v>R</v>
          </cell>
          <cell r="I1046" t="str">
            <v>06/04/2024</v>
          </cell>
          <cell r="J1046" t="str">
            <v>06/10/2024</v>
          </cell>
          <cell r="K1046" t="str">
            <v>06/19/2024</v>
          </cell>
          <cell r="L1046">
            <v>2</v>
          </cell>
          <cell r="M1046" t="str">
            <v>6/4/2024 2:32:05 PM</v>
          </cell>
          <cell r="N1046" t="str">
            <v>25</v>
          </cell>
          <cell r="O1046">
            <v>2</v>
          </cell>
          <cell r="P1046">
            <v>0.56999999999999995</v>
          </cell>
        </row>
        <row r="1047">
          <cell r="A1047" t="str">
            <v>6724233</v>
          </cell>
          <cell r="B1047" t="str">
            <v>1016930</v>
          </cell>
          <cell r="C1047" t="str">
            <v>22192</v>
          </cell>
          <cell r="D1047" t="str">
            <v>7902</v>
          </cell>
          <cell r="E1047" t="str">
            <v>DOUBLE MAG POUCH PLN BLK-SZ 1 BRASS</v>
          </cell>
          <cell r="F1047" t="str">
            <v>BN-POUCH</v>
          </cell>
          <cell r="G1047" t="str">
            <v>1420-210-FG</v>
          </cell>
          <cell r="H1047" t="str">
            <v>R</v>
          </cell>
          <cell r="I1047" t="str">
            <v>06/04/2024</v>
          </cell>
          <cell r="J1047" t="str">
            <v>06/10/2024</v>
          </cell>
          <cell r="K1047" t="str">
            <v>06/19/2024</v>
          </cell>
          <cell r="L1047">
            <v>2</v>
          </cell>
          <cell r="M1047" t="str">
            <v>6/4/2024 2:32:05 PM</v>
          </cell>
          <cell r="N1047" t="str">
            <v>25</v>
          </cell>
          <cell r="O1047">
            <v>2</v>
          </cell>
          <cell r="P1047">
            <v>0.53</v>
          </cell>
        </row>
        <row r="1048">
          <cell r="A1048" t="str">
            <v>6725602</v>
          </cell>
          <cell r="B1048" t="str">
            <v>1017254</v>
          </cell>
          <cell r="C1048" t="str">
            <v>22082</v>
          </cell>
          <cell r="D1048" t="str">
            <v>7902</v>
          </cell>
          <cell r="E1048" t="str">
            <v>DOUBLE MAG POUCH PLN BLK-SZ 4 HIDDEN</v>
          </cell>
          <cell r="F1048" t="str">
            <v>BN-POUCH</v>
          </cell>
          <cell r="G1048" t="str">
            <v>1420-210-FG</v>
          </cell>
          <cell r="H1048" t="str">
            <v>R</v>
          </cell>
          <cell r="I1048" t="str">
            <v>06/06/2024</v>
          </cell>
          <cell r="J1048" t="str">
            <v>06/17/2024</v>
          </cell>
          <cell r="K1048" t="str">
            <v>06/19/2024</v>
          </cell>
          <cell r="L1048">
            <v>5</v>
          </cell>
          <cell r="M1048" t="str">
            <v>6/6/2024 2:14:37 PM</v>
          </cell>
          <cell r="N1048" t="str">
            <v>25</v>
          </cell>
          <cell r="O1048">
            <v>5</v>
          </cell>
          <cell r="P1048">
            <v>1.35</v>
          </cell>
        </row>
        <row r="1049">
          <cell r="A1049" t="str">
            <v>6728565</v>
          </cell>
          <cell r="B1049" t="str">
            <v>1192869</v>
          </cell>
          <cell r="C1049" t="str">
            <v>MH6005-10-FDE</v>
          </cell>
          <cell r="D1049" t="str">
            <v>MH6005</v>
          </cell>
          <cell r="E1049" t="str">
            <v>DTCBL HRNSS /SNGL ELSTC FOR 6005-10 FDE</v>
          </cell>
          <cell r="F1049" t="str">
            <v>DG-HARNESS</v>
          </cell>
          <cell r="G1049" t="str">
            <v>1420-210-SB</v>
          </cell>
          <cell r="H1049" t="str">
            <v>F</v>
          </cell>
          <cell r="I1049" t="str">
            <v>06/12/2024</v>
          </cell>
          <cell r="J1049" t="str">
            <v>06/12/2024</v>
          </cell>
          <cell r="K1049" t="str">
            <v>06/19/2024</v>
          </cell>
          <cell r="L1049">
            <v>6</v>
          </cell>
          <cell r="M1049" t="str">
            <v/>
          </cell>
          <cell r="N1049" t="str">
            <v>25</v>
          </cell>
          <cell r="O1049">
            <v>6</v>
          </cell>
          <cell r="P1049">
            <v>0.85</v>
          </cell>
        </row>
        <row r="1050">
          <cell r="A1050" t="str">
            <v>6728566</v>
          </cell>
          <cell r="B1050" t="str">
            <v>1201623</v>
          </cell>
          <cell r="C1050" t="str">
            <v>MH6005-10-ODG</v>
          </cell>
          <cell r="D1050" t="str">
            <v>MH6005</v>
          </cell>
          <cell r="E1050" t="str">
            <v>DTCBL HRNSS /SNGL ELSTC FOR 6005-10 ODG</v>
          </cell>
          <cell r="F1050" t="str">
            <v>DG-HARNESS</v>
          </cell>
          <cell r="G1050" t="str">
            <v>1420-210-SB</v>
          </cell>
          <cell r="H1050" t="str">
            <v>R</v>
          </cell>
          <cell r="I1050" t="str">
            <v>06/12/2024</v>
          </cell>
          <cell r="J1050" t="str">
            <v>06/12/2024</v>
          </cell>
          <cell r="K1050" t="str">
            <v>06/19/2024</v>
          </cell>
          <cell r="L1050">
            <v>5</v>
          </cell>
          <cell r="M1050" t="str">
            <v>6/13/2024 8:19:17 AM</v>
          </cell>
          <cell r="N1050" t="str">
            <v>25</v>
          </cell>
          <cell r="O1050">
            <v>5</v>
          </cell>
          <cell r="P1050">
            <v>0.67</v>
          </cell>
        </row>
        <row r="1051">
          <cell r="A1051" t="str">
            <v>6724244</v>
          </cell>
          <cell r="B1051" t="str">
            <v>1100874</v>
          </cell>
          <cell r="C1051" t="str">
            <v>730-22PBL</v>
          </cell>
          <cell r="D1051" t="str">
            <v>730</v>
          </cell>
          <cell r="E1051" t="str">
            <v>FLSHLIGHT CARRIERHVY DTY</v>
          </cell>
          <cell r="F1051" t="str">
            <v>DG-KEEPER</v>
          </cell>
          <cell r="G1051" t="str">
            <v>1420-210-FG</v>
          </cell>
          <cell r="H1051" t="str">
            <v>R</v>
          </cell>
          <cell r="I1051" t="str">
            <v>06/04/2024</v>
          </cell>
          <cell r="J1051" t="str">
            <v>06/07/2024</v>
          </cell>
          <cell r="K1051" t="str">
            <v>06/19/2024</v>
          </cell>
          <cell r="L1051">
            <v>10</v>
          </cell>
          <cell r="M1051" t="str">
            <v>6/4/2024 3:04:20 PM</v>
          </cell>
          <cell r="N1051" t="str">
            <v>25</v>
          </cell>
          <cell r="O1051">
            <v>10</v>
          </cell>
          <cell r="P1051">
            <v>0.99</v>
          </cell>
        </row>
        <row r="1052">
          <cell r="A1052" t="str">
            <v>6724250</v>
          </cell>
          <cell r="B1052" t="str">
            <v>1100875</v>
          </cell>
          <cell r="C1052" t="str">
            <v>730-2B</v>
          </cell>
          <cell r="D1052" t="str">
            <v>730</v>
          </cell>
          <cell r="E1052" t="str">
            <v>FLSHLIGHT CARRIERHVY DTY</v>
          </cell>
          <cell r="F1052" t="str">
            <v>DG-KEEPER</v>
          </cell>
          <cell r="G1052" t="str">
            <v>1420-210-FG</v>
          </cell>
          <cell r="H1052" t="str">
            <v>R</v>
          </cell>
          <cell r="I1052" t="str">
            <v>06/04/2024</v>
          </cell>
          <cell r="J1052" t="str">
            <v>06/07/2024</v>
          </cell>
          <cell r="K1052" t="str">
            <v>06/19/2024</v>
          </cell>
          <cell r="L1052">
            <v>1</v>
          </cell>
          <cell r="M1052" t="str">
            <v>6/4/2024 2:41:58 PM</v>
          </cell>
          <cell r="N1052" t="str">
            <v>25</v>
          </cell>
          <cell r="O1052">
            <v>1</v>
          </cell>
          <cell r="P1052">
            <v>0.08</v>
          </cell>
        </row>
        <row r="1053">
          <cell r="A1053" t="str">
            <v>6728581</v>
          </cell>
          <cell r="B1053" t="str">
            <v>1183295</v>
          </cell>
          <cell r="C1053" t="str">
            <v>MH6004-8-BLK</v>
          </cell>
          <cell r="D1053" t="str">
            <v>MH6004</v>
          </cell>
          <cell r="E1053" t="str">
            <v>H6004-8 HARNESS BLK</v>
          </cell>
          <cell r="F1053" t="str">
            <v>DG-POUCH-F2-F3</v>
          </cell>
          <cell r="G1053" t="str">
            <v>1420-210-SB</v>
          </cell>
          <cell r="H1053" t="str">
            <v>F</v>
          </cell>
          <cell r="I1053" t="str">
            <v>06/12/2024</v>
          </cell>
          <cell r="J1053" t="str">
            <v>06/12/2024</v>
          </cell>
          <cell r="K1053" t="str">
            <v>06/19/2024</v>
          </cell>
          <cell r="L1053">
            <v>362</v>
          </cell>
          <cell r="M1053" t="str">
            <v/>
          </cell>
          <cell r="N1053" t="str">
            <v>25</v>
          </cell>
          <cell r="O1053">
            <v>362</v>
          </cell>
          <cell r="P1053">
            <v>14.26</v>
          </cell>
        </row>
        <row r="1054">
          <cell r="A1054" t="str">
            <v>6728582</v>
          </cell>
          <cell r="B1054" t="str">
            <v>1183295</v>
          </cell>
          <cell r="C1054" t="str">
            <v>MH6004-8-BLK</v>
          </cell>
          <cell r="D1054" t="str">
            <v>MH6004</v>
          </cell>
          <cell r="E1054" t="str">
            <v>H6004-8 HARNESS BLK</v>
          </cell>
          <cell r="F1054" t="str">
            <v>DG-POUCH-F2-F3</v>
          </cell>
          <cell r="G1054" t="str">
            <v>1420-210-SB</v>
          </cell>
          <cell r="H1054" t="str">
            <v>F</v>
          </cell>
          <cell r="I1054" t="str">
            <v>06/12/2024</v>
          </cell>
          <cell r="J1054" t="str">
            <v>06/12/2024</v>
          </cell>
          <cell r="K1054" t="str">
            <v>06/19/2024</v>
          </cell>
          <cell r="L1054">
            <v>362</v>
          </cell>
          <cell r="M1054" t="str">
            <v/>
          </cell>
          <cell r="N1054" t="str">
            <v>25</v>
          </cell>
          <cell r="O1054">
            <v>362</v>
          </cell>
          <cell r="P1054">
            <v>14.26</v>
          </cell>
        </row>
        <row r="1055">
          <cell r="A1055" t="str">
            <v>6724252</v>
          </cell>
          <cell r="B1055" t="str">
            <v>1101734</v>
          </cell>
          <cell r="C1055" t="str">
            <v>690-03B</v>
          </cell>
          <cell r="D1055" t="str">
            <v>690</v>
          </cell>
          <cell r="E1055" t="str">
            <v>HANDCUFF STRAP 1 SNAP</v>
          </cell>
          <cell r="F1055" t="str">
            <v>DG-KEEPER</v>
          </cell>
          <cell r="G1055" t="str">
            <v>1420-210-FG</v>
          </cell>
          <cell r="H1055" t="str">
            <v>R</v>
          </cell>
          <cell r="I1055" t="str">
            <v>06/04/2024</v>
          </cell>
          <cell r="J1055" t="str">
            <v>06/10/2024</v>
          </cell>
          <cell r="K1055" t="str">
            <v>06/19/2024</v>
          </cell>
          <cell r="L1055">
            <v>2</v>
          </cell>
          <cell r="M1055" t="str">
            <v>6/4/2024 2:41:58 PM</v>
          </cell>
          <cell r="N1055" t="str">
            <v>25</v>
          </cell>
          <cell r="O1055">
            <v>2</v>
          </cell>
          <cell r="P1055">
            <v>0.17</v>
          </cell>
        </row>
        <row r="1056">
          <cell r="A1056" t="str">
            <v>6728710</v>
          </cell>
          <cell r="B1056" t="str">
            <v>1318041</v>
          </cell>
          <cell r="C1056" t="str">
            <v>MH6005-11-FDE</v>
          </cell>
          <cell r="D1056" t="str">
            <v>MH6005</v>
          </cell>
          <cell r="E1056" t="str">
            <v>HARNESS FDE FOR 6005-11</v>
          </cell>
          <cell r="F1056" t="str">
            <v>DG-HARNESS-DTC</v>
          </cell>
          <cell r="G1056" t="str">
            <v>1420-210-SB</v>
          </cell>
          <cell r="H1056" t="str">
            <v>R</v>
          </cell>
          <cell r="I1056" t="str">
            <v>06/12/2024</v>
          </cell>
          <cell r="J1056" t="str">
            <v>06/12/2024</v>
          </cell>
          <cell r="K1056" t="str">
            <v>06/19/2024</v>
          </cell>
          <cell r="L1056">
            <v>5</v>
          </cell>
          <cell r="M1056" t="str">
            <v>6/13/2024 2:04:49 PM</v>
          </cell>
          <cell r="N1056" t="str">
            <v>25</v>
          </cell>
          <cell r="O1056">
            <v>5</v>
          </cell>
          <cell r="P1056">
            <v>0.78</v>
          </cell>
        </row>
        <row r="1057">
          <cell r="A1057" t="str">
            <v>6728568</v>
          </cell>
          <cell r="B1057" t="str">
            <v>1167164</v>
          </cell>
          <cell r="C1057" t="str">
            <v>MH6004-10-BLK</v>
          </cell>
          <cell r="D1057" t="str">
            <v>MH6004</v>
          </cell>
          <cell r="E1057" t="str">
            <v>HARNESS W/SINGLE ELASTIC FOR 6004-10 BKA</v>
          </cell>
          <cell r="F1057" t="str">
            <v>DG-HARNESS-DTC</v>
          </cell>
          <cell r="G1057" t="str">
            <v>1420-210-SB</v>
          </cell>
          <cell r="H1057" t="str">
            <v>R</v>
          </cell>
          <cell r="I1057" t="str">
            <v>06/12/2024</v>
          </cell>
          <cell r="J1057" t="str">
            <v>06/12/2024</v>
          </cell>
          <cell r="K1057" t="str">
            <v>06/19/2024</v>
          </cell>
          <cell r="L1057">
            <v>50</v>
          </cell>
          <cell r="M1057" t="str">
            <v>6/13/2024 8:40:31 AM</v>
          </cell>
          <cell r="N1057" t="str">
            <v>25</v>
          </cell>
          <cell r="O1057">
            <v>50</v>
          </cell>
          <cell r="P1057">
            <v>12.31</v>
          </cell>
        </row>
        <row r="1058">
          <cell r="A1058" t="str">
            <v>6728569</v>
          </cell>
          <cell r="B1058" t="str">
            <v>1167164</v>
          </cell>
          <cell r="C1058" t="str">
            <v>MH6004-10-BLK</v>
          </cell>
          <cell r="D1058" t="str">
            <v>MH6004</v>
          </cell>
          <cell r="E1058" t="str">
            <v>HARNESS W/SINGLE ELASTIC FOR 6004-10 BKA</v>
          </cell>
          <cell r="F1058" t="str">
            <v>DG-HARNESS-DTC</v>
          </cell>
          <cell r="G1058" t="str">
            <v>1420-210-SB</v>
          </cell>
          <cell r="H1058" t="str">
            <v>R</v>
          </cell>
          <cell r="I1058" t="str">
            <v>06/12/2024</v>
          </cell>
          <cell r="J1058" t="str">
            <v>06/12/2024</v>
          </cell>
          <cell r="K1058" t="str">
            <v>06/19/2024</v>
          </cell>
          <cell r="L1058">
            <v>50</v>
          </cell>
          <cell r="M1058" t="str">
            <v>6/13/2024 8:40:31 AM</v>
          </cell>
          <cell r="N1058" t="str">
            <v>25</v>
          </cell>
          <cell r="O1058">
            <v>50</v>
          </cell>
          <cell r="P1058">
            <v>12.31</v>
          </cell>
        </row>
        <row r="1059">
          <cell r="A1059" t="str">
            <v>6728570</v>
          </cell>
          <cell r="B1059" t="str">
            <v>1167164</v>
          </cell>
          <cell r="C1059" t="str">
            <v>MH6004-10-BLK</v>
          </cell>
          <cell r="D1059" t="str">
            <v>MH6004</v>
          </cell>
          <cell r="E1059" t="str">
            <v>HARNESS W/SINGLE ELASTIC FOR 6004-10 BKA</v>
          </cell>
          <cell r="F1059" t="str">
            <v>DG-HARNESS-DTC</v>
          </cell>
          <cell r="G1059" t="str">
            <v>1420-210-SB</v>
          </cell>
          <cell r="H1059" t="str">
            <v>R</v>
          </cell>
          <cell r="I1059" t="str">
            <v>06/12/2024</v>
          </cell>
          <cell r="J1059" t="str">
            <v>06/12/2024</v>
          </cell>
          <cell r="K1059" t="str">
            <v>06/19/2024</v>
          </cell>
          <cell r="L1059">
            <v>50</v>
          </cell>
          <cell r="M1059" t="str">
            <v>6/13/2024 8:40:31 AM</v>
          </cell>
          <cell r="N1059" t="str">
            <v>25</v>
          </cell>
          <cell r="O1059">
            <v>50</v>
          </cell>
          <cell r="P1059">
            <v>12.31</v>
          </cell>
        </row>
        <row r="1060">
          <cell r="A1060" t="str">
            <v>6728571</v>
          </cell>
          <cell r="B1060" t="str">
            <v>1167164</v>
          </cell>
          <cell r="C1060" t="str">
            <v>MH6004-10-BLK</v>
          </cell>
          <cell r="D1060" t="str">
            <v>MH6004</v>
          </cell>
          <cell r="E1060" t="str">
            <v>HARNESS W/SINGLE ELASTIC FOR 6004-10 BKA</v>
          </cell>
          <cell r="F1060" t="str">
            <v>DG-HARNESS-DTC</v>
          </cell>
          <cell r="G1060" t="str">
            <v>1420-210-SB</v>
          </cell>
          <cell r="H1060" t="str">
            <v>R</v>
          </cell>
          <cell r="I1060" t="str">
            <v>06/12/2024</v>
          </cell>
          <cell r="J1060" t="str">
            <v>06/12/2024</v>
          </cell>
          <cell r="K1060" t="str">
            <v>06/19/2024</v>
          </cell>
          <cell r="L1060">
            <v>50</v>
          </cell>
          <cell r="M1060" t="str">
            <v>6/13/2024 8:40:31 AM</v>
          </cell>
          <cell r="N1060" t="str">
            <v>25</v>
          </cell>
          <cell r="O1060">
            <v>50</v>
          </cell>
          <cell r="P1060">
            <v>12.31</v>
          </cell>
        </row>
        <row r="1061">
          <cell r="A1061" t="str">
            <v>6728572</v>
          </cell>
          <cell r="B1061" t="str">
            <v>1167164</v>
          </cell>
          <cell r="C1061" t="str">
            <v>MH6004-10-BLK</v>
          </cell>
          <cell r="D1061" t="str">
            <v>MH6004</v>
          </cell>
          <cell r="E1061" t="str">
            <v>HARNESS W/SINGLE ELASTIC FOR 6004-10 BKA</v>
          </cell>
          <cell r="F1061" t="str">
            <v>DG-HARNESS-DTC</v>
          </cell>
          <cell r="G1061" t="str">
            <v>1420-210-SB</v>
          </cell>
          <cell r="H1061" t="str">
            <v>R</v>
          </cell>
          <cell r="I1061" t="str">
            <v>06/12/2024</v>
          </cell>
          <cell r="J1061" t="str">
            <v>06/12/2024</v>
          </cell>
          <cell r="K1061" t="str">
            <v>06/19/2024</v>
          </cell>
          <cell r="L1061">
            <v>50</v>
          </cell>
          <cell r="M1061" t="str">
            <v>6/13/2024 8:40:31 AM</v>
          </cell>
          <cell r="N1061" t="str">
            <v>25</v>
          </cell>
          <cell r="O1061">
            <v>50</v>
          </cell>
          <cell r="P1061">
            <v>12.31</v>
          </cell>
        </row>
        <row r="1062">
          <cell r="A1062" t="str">
            <v>6728573</v>
          </cell>
          <cell r="B1062" t="str">
            <v>1167164</v>
          </cell>
          <cell r="C1062" t="str">
            <v>MH6004-10-BLK</v>
          </cell>
          <cell r="D1062" t="str">
            <v>MH6004</v>
          </cell>
          <cell r="E1062" t="str">
            <v>HARNESS W/SINGLE ELASTIC FOR 6004-10 BKA</v>
          </cell>
          <cell r="F1062" t="str">
            <v>DG-HARNESS-DTC</v>
          </cell>
          <cell r="G1062" t="str">
            <v>1420-210-SB</v>
          </cell>
          <cell r="H1062" t="str">
            <v>R</v>
          </cell>
          <cell r="I1062" t="str">
            <v>06/12/2024</v>
          </cell>
          <cell r="J1062" t="str">
            <v>06/12/2024</v>
          </cell>
          <cell r="K1062" t="str">
            <v>06/19/2024</v>
          </cell>
          <cell r="L1062">
            <v>50</v>
          </cell>
          <cell r="M1062" t="str">
            <v>6/13/2024 8:40:31 AM</v>
          </cell>
          <cell r="N1062" t="str">
            <v>25</v>
          </cell>
          <cell r="O1062">
            <v>50</v>
          </cell>
          <cell r="P1062">
            <v>12.31</v>
          </cell>
        </row>
        <row r="1063">
          <cell r="A1063" t="str">
            <v>6728574</v>
          </cell>
          <cell r="B1063" t="str">
            <v>1167164</v>
          </cell>
          <cell r="C1063" t="str">
            <v>MH6004-10-BLK</v>
          </cell>
          <cell r="D1063" t="str">
            <v>MH6004</v>
          </cell>
          <cell r="E1063" t="str">
            <v>HARNESS W/SINGLE ELASTIC FOR 6004-10 BKA</v>
          </cell>
          <cell r="F1063" t="str">
            <v>DG-HARNESS-DTC</v>
          </cell>
          <cell r="G1063" t="str">
            <v>1420-210-SB</v>
          </cell>
          <cell r="H1063" t="str">
            <v>R</v>
          </cell>
          <cell r="I1063" t="str">
            <v>06/12/2024</v>
          </cell>
          <cell r="J1063" t="str">
            <v>06/12/2024</v>
          </cell>
          <cell r="K1063" t="str">
            <v>06/19/2024</v>
          </cell>
          <cell r="L1063">
            <v>50</v>
          </cell>
          <cell r="M1063" t="str">
            <v>6/13/2024 8:40:31 AM</v>
          </cell>
          <cell r="N1063" t="str">
            <v>25</v>
          </cell>
          <cell r="O1063">
            <v>50</v>
          </cell>
          <cell r="P1063">
            <v>12.31</v>
          </cell>
        </row>
        <row r="1064">
          <cell r="A1064" t="str">
            <v>6728575</v>
          </cell>
          <cell r="B1064" t="str">
            <v>1167164</v>
          </cell>
          <cell r="C1064" t="str">
            <v>MH6004-10-BLK</v>
          </cell>
          <cell r="D1064" t="str">
            <v>MH6004</v>
          </cell>
          <cell r="E1064" t="str">
            <v>HARNESS W/SINGLE ELASTIC FOR 6004-10 BKA</v>
          </cell>
          <cell r="F1064" t="str">
            <v>DG-HARNESS-DTC</v>
          </cell>
          <cell r="G1064" t="str">
            <v>1420-210-SB</v>
          </cell>
          <cell r="H1064" t="str">
            <v>R</v>
          </cell>
          <cell r="I1064" t="str">
            <v>06/12/2024</v>
          </cell>
          <cell r="J1064" t="str">
            <v>06/12/2024</v>
          </cell>
          <cell r="K1064" t="str">
            <v>06/19/2024</v>
          </cell>
          <cell r="L1064">
            <v>50</v>
          </cell>
          <cell r="M1064" t="str">
            <v>6/13/2024 8:40:31 AM</v>
          </cell>
          <cell r="N1064" t="str">
            <v>25</v>
          </cell>
          <cell r="O1064">
            <v>50</v>
          </cell>
          <cell r="P1064">
            <v>12.31</v>
          </cell>
        </row>
        <row r="1065">
          <cell r="A1065" t="str">
            <v>6728576</v>
          </cell>
          <cell r="B1065" t="str">
            <v>1167164</v>
          </cell>
          <cell r="C1065" t="str">
            <v>MH6004-10-BLK</v>
          </cell>
          <cell r="D1065" t="str">
            <v>MH6004</v>
          </cell>
          <cell r="E1065" t="str">
            <v>HARNESS W/SINGLE ELASTIC FOR 6004-10 BKA</v>
          </cell>
          <cell r="F1065" t="str">
            <v>DG-HARNESS-DTC</v>
          </cell>
          <cell r="G1065" t="str">
            <v>1420-210-SB</v>
          </cell>
          <cell r="H1065" t="str">
            <v>R</v>
          </cell>
          <cell r="I1065" t="str">
            <v>06/12/2024</v>
          </cell>
          <cell r="J1065" t="str">
            <v>06/12/2024</v>
          </cell>
          <cell r="K1065" t="str">
            <v>06/19/2024</v>
          </cell>
          <cell r="L1065">
            <v>50</v>
          </cell>
          <cell r="M1065" t="str">
            <v>6/13/2024 8:40:31 AM</v>
          </cell>
          <cell r="N1065" t="str">
            <v>25</v>
          </cell>
          <cell r="O1065">
            <v>50</v>
          </cell>
          <cell r="P1065">
            <v>12.31</v>
          </cell>
        </row>
        <row r="1066">
          <cell r="A1066" t="str">
            <v>6728577</v>
          </cell>
          <cell r="B1066" t="str">
            <v>1167164</v>
          </cell>
          <cell r="C1066" t="str">
            <v>MH6004-10-BLK</v>
          </cell>
          <cell r="D1066" t="str">
            <v>MH6004</v>
          </cell>
          <cell r="E1066" t="str">
            <v>HARNESS W/SINGLE ELASTIC FOR 6004-10 BKA</v>
          </cell>
          <cell r="F1066" t="str">
            <v>DG-HARNESS-DTC</v>
          </cell>
          <cell r="G1066" t="str">
            <v>1420-210-SB</v>
          </cell>
          <cell r="H1066" t="str">
            <v>R</v>
          </cell>
          <cell r="I1066" t="str">
            <v>06/12/2024</v>
          </cell>
          <cell r="J1066" t="str">
            <v>06/12/2024</v>
          </cell>
          <cell r="K1066" t="str">
            <v>06/19/2024</v>
          </cell>
          <cell r="L1066">
            <v>25</v>
          </cell>
          <cell r="M1066" t="str">
            <v>6/13/2024 8:40:31 AM</v>
          </cell>
          <cell r="N1066" t="str">
            <v>25</v>
          </cell>
          <cell r="O1066">
            <v>25</v>
          </cell>
          <cell r="P1066">
            <v>6.15</v>
          </cell>
        </row>
        <row r="1067">
          <cell r="A1067" t="str">
            <v>6728578</v>
          </cell>
          <cell r="B1067" t="str">
            <v>1167164</v>
          </cell>
          <cell r="C1067" t="str">
            <v>MH6004-10-BLK</v>
          </cell>
          <cell r="D1067" t="str">
            <v>MH6004</v>
          </cell>
          <cell r="E1067" t="str">
            <v>HARNESS W/SINGLE ELASTIC FOR 6004-10 BKA</v>
          </cell>
          <cell r="F1067" t="str">
            <v>DG-HARNESS-DTC</v>
          </cell>
          <cell r="G1067" t="str">
            <v>1420-210-SB</v>
          </cell>
          <cell r="H1067" t="str">
            <v>R</v>
          </cell>
          <cell r="I1067" t="str">
            <v>06/12/2024</v>
          </cell>
          <cell r="J1067" t="str">
            <v>06/12/2024</v>
          </cell>
          <cell r="K1067" t="str">
            <v>06/19/2024</v>
          </cell>
          <cell r="L1067">
            <v>25</v>
          </cell>
          <cell r="M1067" t="str">
            <v>6/13/2024 8:40:31 AM</v>
          </cell>
          <cell r="N1067" t="str">
            <v>25</v>
          </cell>
          <cell r="O1067">
            <v>25</v>
          </cell>
          <cell r="P1067">
            <v>6.15</v>
          </cell>
        </row>
        <row r="1068">
          <cell r="A1068" t="str">
            <v>6724253</v>
          </cell>
          <cell r="B1068" t="str">
            <v>1111179</v>
          </cell>
          <cell r="C1068" t="str">
            <v>HK-11-9</v>
          </cell>
          <cell r="D1068" t="str">
            <v>HK</v>
          </cell>
          <cell r="E1068" t="str">
            <v>HIDE-A-KEYPER</v>
          </cell>
          <cell r="F1068" t="str">
            <v>DG-KEEPER</v>
          </cell>
          <cell r="G1068" t="str">
            <v>1420-210-FG</v>
          </cell>
          <cell r="H1068" t="str">
            <v>R</v>
          </cell>
          <cell r="I1068" t="str">
            <v>06/04/2024</v>
          </cell>
          <cell r="J1068" t="str">
            <v>06/10/2024</v>
          </cell>
          <cell r="K1068" t="str">
            <v>06/19/2024</v>
          </cell>
          <cell r="L1068">
            <v>1</v>
          </cell>
          <cell r="M1068" t="str">
            <v>6/4/2024 2:41:58 PM</v>
          </cell>
          <cell r="N1068" t="str">
            <v>25</v>
          </cell>
          <cell r="O1068">
            <v>1</v>
          </cell>
          <cell r="P1068">
            <v>0.16</v>
          </cell>
        </row>
        <row r="1069">
          <cell r="A1069" t="str">
            <v>6728592</v>
          </cell>
          <cell r="B1069" t="str">
            <v>1337170</v>
          </cell>
          <cell r="C1069" t="str">
            <v>INCOG-0-58-A-2-CX1-61</v>
          </cell>
          <cell r="D1069" t="str">
            <v>INCOG</v>
          </cell>
          <cell r="E1069" t="str">
            <v>INCOG STACCATO RDS LGT CLIP BLK SDE RT</v>
          </cell>
          <cell r="F1069" t="str">
            <v>DG-HOLSTER-INC</v>
          </cell>
          <cell r="G1069" t="str">
            <v>1420-210-FG</v>
          </cell>
          <cell r="H1069" t="str">
            <v>F</v>
          </cell>
          <cell r="I1069" t="str">
            <v>06/12/2024</v>
          </cell>
          <cell r="J1069" t="str">
            <v>06/12/2024</v>
          </cell>
          <cell r="K1069" t="str">
            <v>06/19/2024</v>
          </cell>
          <cell r="L1069">
            <v>15</v>
          </cell>
          <cell r="M1069" t="str">
            <v/>
          </cell>
          <cell r="N1069" t="str">
            <v>25</v>
          </cell>
          <cell r="O1069">
            <v>15</v>
          </cell>
          <cell r="P1069">
            <v>5.75</v>
          </cell>
        </row>
        <row r="1070">
          <cell r="A1070" t="str">
            <v>6728711</v>
          </cell>
          <cell r="B1070" t="str">
            <v>1124665</v>
          </cell>
          <cell r="C1070" t="str">
            <v>6005-11-55</v>
          </cell>
          <cell r="D1070" t="str">
            <v>6005</v>
          </cell>
          <cell r="E1070" t="str">
            <v>LEG STRAP ONLY VERTICAL</v>
          </cell>
          <cell r="F1070" t="str">
            <v>DG-HARNESS-DTC</v>
          </cell>
          <cell r="G1070" t="str">
            <v>1420-210-FG</v>
          </cell>
          <cell r="H1070" t="str">
            <v>R</v>
          </cell>
          <cell r="I1070" t="str">
            <v>06/12/2024</v>
          </cell>
          <cell r="J1070" t="str">
            <v>06/13/2024</v>
          </cell>
          <cell r="K1070" t="str">
            <v>06/19/2024</v>
          </cell>
          <cell r="L1070">
            <v>5</v>
          </cell>
          <cell r="M1070" t="str">
            <v>6/12/2024 3:49:21 PM</v>
          </cell>
          <cell r="N1070" t="str">
            <v>25</v>
          </cell>
          <cell r="O1070">
            <v>5</v>
          </cell>
          <cell r="P1070">
            <v>0.14000000000000001</v>
          </cell>
        </row>
        <row r="1071">
          <cell r="A1071" t="str">
            <v>6728712</v>
          </cell>
          <cell r="B1071" t="str">
            <v>1318411</v>
          </cell>
          <cell r="C1071" t="str">
            <v>MH6009-FDE</v>
          </cell>
          <cell r="D1071" t="str">
            <v>MH6009</v>
          </cell>
          <cell r="E1071" t="str">
            <v>MH6009 DOUBLE STRAP LEG SHROUD W/D RING</v>
          </cell>
          <cell r="F1071" t="str">
            <v>DG-HARNESS-DTC</v>
          </cell>
          <cell r="G1071" t="str">
            <v>1420-210-SB</v>
          </cell>
          <cell r="H1071" t="str">
            <v>R</v>
          </cell>
          <cell r="I1071" t="str">
            <v>06/12/2024</v>
          </cell>
          <cell r="J1071" t="str">
            <v>06/12/2024</v>
          </cell>
          <cell r="K1071" t="str">
            <v>06/19/2024</v>
          </cell>
          <cell r="L1071">
            <v>1</v>
          </cell>
          <cell r="M1071" t="str">
            <v>6/12/2024 3:49:34 PM</v>
          </cell>
          <cell r="N1071" t="str">
            <v>25</v>
          </cell>
          <cell r="O1071">
            <v>1</v>
          </cell>
          <cell r="P1071">
            <v>0.18</v>
          </cell>
        </row>
        <row r="1072">
          <cell r="A1072" t="str">
            <v>6724135</v>
          </cell>
          <cell r="B1072" t="str">
            <v>1150365</v>
          </cell>
          <cell r="C1072" t="str">
            <v>25107</v>
          </cell>
          <cell r="D1072" t="str">
            <v>7220</v>
          </cell>
          <cell r="E1072" t="str">
            <v>NYLON DUTY BELT BLK SZ LRG 38-44</v>
          </cell>
          <cell r="F1072" t="str">
            <v>BN-BELT</v>
          </cell>
          <cell r="G1072" t="str">
            <v>1420-210-FG</v>
          </cell>
          <cell r="H1072" t="str">
            <v>R</v>
          </cell>
          <cell r="I1072" t="str">
            <v>06/04/2024</v>
          </cell>
          <cell r="J1072" t="str">
            <v>06/04/2024</v>
          </cell>
          <cell r="K1072" t="str">
            <v>06/19/2024</v>
          </cell>
          <cell r="L1072">
            <v>50</v>
          </cell>
          <cell r="M1072" t="str">
            <v>6/4/2024 2:20:48 PM</v>
          </cell>
          <cell r="N1072" t="str">
            <v>25</v>
          </cell>
          <cell r="O1072">
            <v>50</v>
          </cell>
          <cell r="P1072">
            <v>11.41</v>
          </cell>
        </row>
        <row r="1073">
          <cell r="A1073" t="str">
            <v>6723035</v>
          </cell>
          <cell r="B1073" t="str">
            <v>1016107</v>
          </cell>
          <cell r="C1073" t="str">
            <v>17382</v>
          </cell>
          <cell r="D1073" t="str">
            <v>7200</v>
          </cell>
          <cell r="E1073" t="str">
            <v>NYLON DUTY BELT BLK SZ LRG 40-46</v>
          </cell>
          <cell r="F1073" t="str">
            <v>BN-BELT</v>
          </cell>
          <cell r="G1073" t="str">
            <v>1420-210-FG</v>
          </cell>
          <cell r="H1073" t="str">
            <v>R</v>
          </cell>
          <cell r="I1073" t="str">
            <v>06/03/2024</v>
          </cell>
          <cell r="J1073" t="str">
            <v>06/03/2024</v>
          </cell>
          <cell r="K1073" t="str">
            <v>06/19/2024</v>
          </cell>
          <cell r="L1073">
            <v>100</v>
          </cell>
          <cell r="M1073" t="str">
            <v>6/6/2024 2:13:17 PM</v>
          </cell>
          <cell r="N1073" t="str">
            <v>25</v>
          </cell>
          <cell r="O1073">
            <v>100</v>
          </cell>
          <cell r="P1073">
            <v>17.010000000000002</v>
          </cell>
        </row>
        <row r="1074">
          <cell r="A1074" t="str">
            <v>6723089</v>
          </cell>
          <cell r="B1074" t="str">
            <v>1150364</v>
          </cell>
          <cell r="C1074" t="str">
            <v>25106</v>
          </cell>
          <cell r="D1074" t="str">
            <v>7220</v>
          </cell>
          <cell r="E1074" t="str">
            <v>NYLON DUTY BELT BLK SZ MED 32-38</v>
          </cell>
          <cell r="F1074" t="str">
            <v>BN-BELT</v>
          </cell>
          <cell r="G1074" t="str">
            <v>1420-210-FG</v>
          </cell>
          <cell r="H1074" t="str">
            <v>R</v>
          </cell>
          <cell r="I1074" t="str">
            <v>06/03/2024</v>
          </cell>
          <cell r="J1074" t="str">
            <v>06/03/2024</v>
          </cell>
          <cell r="K1074" t="str">
            <v>06/19/2024</v>
          </cell>
          <cell r="L1074">
            <v>100</v>
          </cell>
          <cell r="M1074" t="str">
            <v>6/4/2024 2:18:19 PM</v>
          </cell>
          <cell r="N1074" t="str">
            <v>25</v>
          </cell>
          <cell r="O1074">
            <v>100</v>
          </cell>
          <cell r="P1074">
            <v>22.81</v>
          </cell>
        </row>
        <row r="1075">
          <cell r="A1075" t="str">
            <v>6723022</v>
          </cell>
          <cell r="B1075" t="str">
            <v>1016105</v>
          </cell>
          <cell r="C1075" t="str">
            <v>17381</v>
          </cell>
          <cell r="D1075" t="str">
            <v>7200</v>
          </cell>
          <cell r="E1075" t="str">
            <v>NYLON DUTY BELT BLK SZ MED 34-40</v>
          </cell>
          <cell r="F1075" t="str">
            <v>BN-BELT</v>
          </cell>
          <cell r="G1075" t="str">
            <v>1420-210-FG</v>
          </cell>
          <cell r="H1075" t="str">
            <v>R</v>
          </cell>
          <cell r="I1075" t="str">
            <v>06/03/2024</v>
          </cell>
          <cell r="J1075" t="str">
            <v>06/03/2024</v>
          </cell>
          <cell r="K1075" t="str">
            <v>06/19/2024</v>
          </cell>
          <cell r="L1075">
            <v>100</v>
          </cell>
          <cell r="M1075" t="str">
            <v>6/6/2024 2:13:09 PM</v>
          </cell>
          <cell r="N1075" t="str">
            <v>25</v>
          </cell>
          <cell r="O1075">
            <v>100</v>
          </cell>
          <cell r="P1075">
            <v>15.18</v>
          </cell>
        </row>
        <row r="1076">
          <cell r="A1076" t="str">
            <v>6724178</v>
          </cell>
          <cell r="B1076" t="str">
            <v>1150366</v>
          </cell>
          <cell r="C1076" t="str">
            <v>25108</v>
          </cell>
          <cell r="D1076" t="str">
            <v>7220</v>
          </cell>
          <cell r="E1076" t="str">
            <v>NYLON DUTY BELT BLK SZ XLG 44-50</v>
          </cell>
          <cell r="F1076" t="str">
            <v>BN-BELT</v>
          </cell>
          <cell r="G1076" t="str">
            <v>1420-210-FG</v>
          </cell>
          <cell r="H1076" t="str">
            <v>R</v>
          </cell>
          <cell r="I1076" t="str">
            <v>06/04/2024</v>
          </cell>
          <cell r="J1076" t="str">
            <v>06/07/2024</v>
          </cell>
          <cell r="K1076" t="str">
            <v>06/19/2024</v>
          </cell>
          <cell r="L1076">
            <v>40</v>
          </cell>
          <cell r="M1076" t="str">
            <v>6/4/2024 2:18:19 PM</v>
          </cell>
          <cell r="N1076" t="str">
            <v>25</v>
          </cell>
          <cell r="O1076">
            <v>40</v>
          </cell>
          <cell r="P1076">
            <v>9.1199999999999992</v>
          </cell>
        </row>
        <row r="1077">
          <cell r="A1077" t="str">
            <v>6724179</v>
          </cell>
          <cell r="B1077" t="str">
            <v>1166959</v>
          </cell>
          <cell r="C1077" t="str">
            <v>26042</v>
          </cell>
          <cell r="D1077" t="str">
            <v>7203</v>
          </cell>
          <cell r="E1077" t="str">
            <v>NYLON DUTY BELT SZ MED 34-40 HOOK</v>
          </cell>
          <cell r="F1077" t="str">
            <v>BN-BELT</v>
          </cell>
          <cell r="G1077" t="str">
            <v>1420-210-FG</v>
          </cell>
          <cell r="H1077" t="str">
            <v>R</v>
          </cell>
          <cell r="I1077" t="str">
            <v>06/04/2024</v>
          </cell>
          <cell r="J1077" t="str">
            <v>06/07/2024</v>
          </cell>
          <cell r="K1077" t="str">
            <v>06/19/2024</v>
          </cell>
          <cell r="L1077">
            <v>20</v>
          </cell>
          <cell r="M1077" t="str">
            <v>6/4/2024 2:47:51 PM</v>
          </cell>
          <cell r="N1077" t="str">
            <v>25</v>
          </cell>
          <cell r="O1077">
            <v>20</v>
          </cell>
          <cell r="P1077">
            <v>3.24</v>
          </cell>
        </row>
        <row r="1078">
          <cell r="A1078" t="str">
            <v>6723019</v>
          </cell>
          <cell r="B1078" t="str">
            <v>1013712</v>
          </cell>
          <cell r="C1078" t="str">
            <v>24420</v>
          </cell>
          <cell r="D1078" t="str">
            <v>7215</v>
          </cell>
          <cell r="E1078" t="str">
            <v xml:space="preserve">NYLON WEB BELT 2.25 BLK XL W/DRAG LOOP </v>
          </cell>
          <cell r="F1078" t="str">
            <v>BN-BELT</v>
          </cell>
          <cell r="G1078" t="str">
            <v>1420-210-FG</v>
          </cell>
          <cell r="H1078" t="str">
            <v>R</v>
          </cell>
          <cell r="I1078" t="str">
            <v>06/03/2024</v>
          </cell>
          <cell r="J1078" t="str">
            <v>06/03/2024</v>
          </cell>
          <cell r="K1078" t="str">
            <v>06/19/2024</v>
          </cell>
          <cell r="L1078">
            <v>10</v>
          </cell>
          <cell r="M1078" t="str">
            <v>6/4/2024 2:18:19 PM</v>
          </cell>
          <cell r="N1078" t="str">
            <v>25</v>
          </cell>
          <cell r="O1078">
            <v>10</v>
          </cell>
          <cell r="P1078">
            <v>4.2</v>
          </cell>
        </row>
        <row r="1079">
          <cell r="A1079" t="str">
            <v>6724255</v>
          </cell>
          <cell r="B1079" t="str">
            <v>1014341</v>
          </cell>
          <cell r="C1079" t="str">
            <v>24421</v>
          </cell>
          <cell r="D1079" t="str">
            <v>7215</v>
          </cell>
          <cell r="E1079" t="str">
            <v>NYLON WEB BELT 2.25 BLK XXL W/DRAG LOOP</v>
          </cell>
          <cell r="F1079" t="str">
            <v>BN-BELT</v>
          </cell>
          <cell r="G1079" t="str">
            <v>1420-210-FG</v>
          </cell>
          <cell r="H1079" t="str">
            <v>R</v>
          </cell>
          <cell r="I1079" t="str">
            <v>06/04/2024</v>
          </cell>
          <cell r="J1079" t="str">
            <v>06/13/2024</v>
          </cell>
          <cell r="K1079" t="str">
            <v>06/19/2024</v>
          </cell>
          <cell r="L1079">
            <v>5</v>
          </cell>
          <cell r="M1079" t="str">
            <v>6/4/2024 2:18:19 PM</v>
          </cell>
          <cell r="N1079" t="str">
            <v>25</v>
          </cell>
          <cell r="O1079">
            <v>5</v>
          </cell>
          <cell r="P1079">
            <v>2.1</v>
          </cell>
        </row>
        <row r="1080">
          <cell r="A1080" t="str">
            <v>6724210</v>
          </cell>
          <cell r="B1080" t="str">
            <v>1016169</v>
          </cell>
          <cell r="C1080" t="str">
            <v>17446</v>
          </cell>
          <cell r="D1080" t="str">
            <v>7307</v>
          </cell>
          <cell r="E1080" t="str">
            <v>OC/MACE SPRAY POUCH BLK-SML</v>
          </cell>
          <cell r="F1080" t="str">
            <v>BN-POUCH</v>
          </cell>
          <cell r="G1080" t="str">
            <v>1420-210-FG</v>
          </cell>
          <cell r="H1080" t="str">
            <v>R</v>
          </cell>
          <cell r="I1080" t="str">
            <v>06/04/2024</v>
          </cell>
          <cell r="J1080" t="str">
            <v>06/07/2024</v>
          </cell>
          <cell r="K1080" t="str">
            <v>06/19/2024</v>
          </cell>
          <cell r="L1080">
            <v>40</v>
          </cell>
          <cell r="M1080" t="str">
            <v>6/4/2024 2:54:39 PM</v>
          </cell>
          <cell r="N1080" t="str">
            <v>25</v>
          </cell>
          <cell r="O1080">
            <v>40</v>
          </cell>
          <cell r="P1080">
            <v>6.4</v>
          </cell>
        </row>
        <row r="1081">
          <cell r="A1081" t="str">
            <v>6723164</v>
          </cell>
          <cell r="B1081" t="str">
            <v>1017304</v>
          </cell>
          <cell r="C1081" t="str">
            <v>22103</v>
          </cell>
          <cell r="D1081" t="str">
            <v>7907</v>
          </cell>
          <cell r="E1081" t="str">
            <v>OC/MACE SPRAY POUCH BSK BLK SML HIDDEN</v>
          </cell>
          <cell r="F1081" t="str">
            <v>BN-POUCH</v>
          </cell>
          <cell r="G1081" t="str">
            <v>1420-210-FG</v>
          </cell>
          <cell r="H1081" t="str">
            <v>R</v>
          </cell>
          <cell r="I1081" t="str">
            <v>06/03/2024</v>
          </cell>
          <cell r="J1081" t="str">
            <v>06/03/2024</v>
          </cell>
          <cell r="K1081" t="str">
            <v>06/19/2024</v>
          </cell>
          <cell r="L1081">
            <v>100</v>
          </cell>
          <cell r="M1081" t="str">
            <v>6/5/2024 11:19:09 AM</v>
          </cell>
          <cell r="N1081" t="str">
            <v>25</v>
          </cell>
          <cell r="O1081">
            <v>100</v>
          </cell>
          <cell r="P1081">
            <v>12.52</v>
          </cell>
        </row>
        <row r="1082">
          <cell r="A1082" t="str">
            <v>6724152</v>
          </cell>
          <cell r="B1082" t="str">
            <v>1017304</v>
          </cell>
          <cell r="C1082" t="str">
            <v>22103</v>
          </cell>
          <cell r="D1082" t="str">
            <v>7907</v>
          </cell>
          <cell r="E1082" t="str">
            <v>OC/MACE SPRAY POUCH BSK BLK SML HIDDEN</v>
          </cell>
          <cell r="F1082" t="str">
            <v>BN-POUCH</v>
          </cell>
          <cell r="G1082" t="str">
            <v>1420-210-FG</v>
          </cell>
          <cell r="H1082" t="str">
            <v>R</v>
          </cell>
          <cell r="I1082" t="str">
            <v>06/04/2024</v>
          </cell>
          <cell r="J1082" t="str">
            <v>06/04/2024</v>
          </cell>
          <cell r="K1082" t="str">
            <v>06/19/2024</v>
          </cell>
          <cell r="L1082">
            <v>100</v>
          </cell>
          <cell r="M1082" t="str">
            <v>6/5/2024 11:18:36 AM</v>
          </cell>
          <cell r="N1082" t="str">
            <v>25</v>
          </cell>
          <cell r="O1082">
            <v>100</v>
          </cell>
          <cell r="P1082">
            <v>12.52</v>
          </cell>
        </row>
        <row r="1083">
          <cell r="A1083" t="str">
            <v>6723181</v>
          </cell>
          <cell r="B1083" t="str">
            <v>1017918</v>
          </cell>
          <cell r="C1083" t="str">
            <v>22966</v>
          </cell>
          <cell r="D1083" t="str">
            <v>7934</v>
          </cell>
          <cell r="E1083" t="str">
            <v xml:space="preserve">OPEN CUFF CASE BSK BLK </v>
          </cell>
          <cell r="F1083" t="str">
            <v>BN-POUCH</v>
          </cell>
          <cell r="G1083" t="str">
            <v>1420-210-FG</v>
          </cell>
          <cell r="H1083" t="str">
            <v>R</v>
          </cell>
          <cell r="I1083" t="str">
            <v>06/03/2024</v>
          </cell>
          <cell r="J1083" t="str">
            <v>06/03/2024</v>
          </cell>
          <cell r="K1083" t="str">
            <v>06/19/2024</v>
          </cell>
          <cell r="L1083">
            <v>100</v>
          </cell>
          <cell r="M1083" t="str">
            <v>6/4/2024 2:54:39 PM</v>
          </cell>
          <cell r="N1083" t="str">
            <v>25</v>
          </cell>
          <cell r="O1083">
            <v>100</v>
          </cell>
          <cell r="P1083">
            <v>10.17</v>
          </cell>
        </row>
        <row r="1084">
          <cell r="A1084" t="str">
            <v>6723180</v>
          </cell>
          <cell r="B1084" t="str">
            <v>1017917</v>
          </cell>
          <cell r="C1084" t="str">
            <v>22965</v>
          </cell>
          <cell r="D1084" t="str">
            <v>7934</v>
          </cell>
          <cell r="E1084" t="str">
            <v xml:space="preserve">OPEN CUFF CASE PLN BLK </v>
          </cell>
          <cell r="F1084" t="str">
            <v>BN-POUCH</v>
          </cell>
          <cell r="G1084" t="str">
            <v>1420-210-FG</v>
          </cell>
          <cell r="H1084" t="str">
            <v>R</v>
          </cell>
          <cell r="I1084" t="str">
            <v>06/03/2024</v>
          </cell>
          <cell r="J1084" t="str">
            <v>06/03/2024</v>
          </cell>
          <cell r="K1084" t="str">
            <v>06/19/2024</v>
          </cell>
          <cell r="L1084">
            <v>100</v>
          </cell>
          <cell r="M1084" t="str">
            <v>6/4/2024 2:54:39 PM</v>
          </cell>
          <cell r="N1084" t="str">
            <v>25</v>
          </cell>
          <cell r="O1084">
            <v>100</v>
          </cell>
          <cell r="P1084">
            <v>11.02</v>
          </cell>
        </row>
        <row r="1085">
          <cell r="A1085" t="str">
            <v>6723177</v>
          </cell>
          <cell r="B1085" t="str">
            <v>1017916</v>
          </cell>
          <cell r="C1085" t="str">
            <v>22964</v>
          </cell>
          <cell r="D1085" t="str">
            <v>7334</v>
          </cell>
          <cell r="E1085" t="str">
            <v xml:space="preserve">OPEN HANDCUFF CASE BLK </v>
          </cell>
          <cell r="F1085" t="str">
            <v>BN-POUCH</v>
          </cell>
          <cell r="G1085" t="str">
            <v>1420-210-FG</v>
          </cell>
          <cell r="H1085" t="str">
            <v>R</v>
          </cell>
          <cell r="I1085" t="str">
            <v>06/03/2024</v>
          </cell>
          <cell r="J1085" t="str">
            <v>06/03/2024</v>
          </cell>
          <cell r="K1085" t="str">
            <v>06/19/2024</v>
          </cell>
          <cell r="L1085">
            <v>100</v>
          </cell>
          <cell r="M1085" t="str">
            <v>6/4/2024 2:54:39 PM</v>
          </cell>
          <cell r="N1085" t="str">
            <v>25</v>
          </cell>
          <cell r="O1085">
            <v>100</v>
          </cell>
          <cell r="P1085">
            <v>9.83</v>
          </cell>
        </row>
        <row r="1086">
          <cell r="A1086" t="str">
            <v>6725611</v>
          </cell>
          <cell r="B1086" t="str">
            <v>1017916</v>
          </cell>
          <cell r="C1086" t="str">
            <v>22964</v>
          </cell>
          <cell r="D1086" t="str">
            <v>7334</v>
          </cell>
          <cell r="E1086" t="str">
            <v xml:space="preserve">OPEN HANDCUFF CASE BLK </v>
          </cell>
          <cell r="F1086" t="str">
            <v>BN-POUCH</v>
          </cell>
          <cell r="G1086" t="str">
            <v>1420-210-FG</v>
          </cell>
          <cell r="H1086" t="str">
            <v>R</v>
          </cell>
          <cell r="I1086" t="str">
            <v>06/06/2024</v>
          </cell>
          <cell r="J1086" t="str">
            <v>06/17/2024</v>
          </cell>
          <cell r="K1086" t="str">
            <v>06/19/2024</v>
          </cell>
          <cell r="L1086">
            <v>100</v>
          </cell>
          <cell r="M1086" t="str">
            <v>6/6/2024 2:18:23 PM</v>
          </cell>
          <cell r="N1086" t="str">
            <v>25</v>
          </cell>
          <cell r="O1086">
            <v>100</v>
          </cell>
          <cell r="P1086">
            <v>9.83</v>
          </cell>
        </row>
        <row r="1087">
          <cell r="A1087" t="str">
            <v>6725618</v>
          </cell>
          <cell r="B1087" t="str">
            <v>1149780</v>
          </cell>
          <cell r="C1087" t="str">
            <v>24978</v>
          </cell>
          <cell r="D1087" t="str">
            <v>7308</v>
          </cell>
          <cell r="E1087" t="str">
            <v>OPEN TOP OC/MACE HOLDER MK-3</v>
          </cell>
          <cell r="F1087" t="str">
            <v>BN-POUCH</v>
          </cell>
          <cell r="G1087" t="str">
            <v>1420-210-FG</v>
          </cell>
          <cell r="H1087" t="str">
            <v>R</v>
          </cell>
          <cell r="I1087" t="str">
            <v>06/06/2024</v>
          </cell>
          <cell r="J1087" t="str">
            <v>06/17/2024</v>
          </cell>
          <cell r="K1087" t="str">
            <v>06/19/2024</v>
          </cell>
          <cell r="L1087">
            <v>20</v>
          </cell>
          <cell r="M1087" t="str">
            <v>6/6/2024 2:18:23 PM</v>
          </cell>
          <cell r="N1087" t="str">
            <v>25</v>
          </cell>
          <cell r="O1087">
            <v>20</v>
          </cell>
          <cell r="P1087">
            <v>2.37</v>
          </cell>
        </row>
        <row r="1088">
          <cell r="A1088" t="str">
            <v>6725617</v>
          </cell>
          <cell r="B1088" t="str">
            <v>1149776</v>
          </cell>
          <cell r="C1088" t="str">
            <v>24979</v>
          </cell>
          <cell r="D1088" t="str">
            <v>7908</v>
          </cell>
          <cell r="E1088" t="str">
            <v>OPEN TOP OC/MACE HOLDER PLAIN MK-2</v>
          </cell>
          <cell r="F1088" t="str">
            <v>BN-POUCH</v>
          </cell>
          <cell r="G1088" t="str">
            <v>1420-210-FG</v>
          </cell>
          <cell r="H1088" t="str">
            <v>R</v>
          </cell>
          <cell r="I1088" t="str">
            <v>06/06/2024</v>
          </cell>
          <cell r="J1088" t="str">
            <v>06/17/2024</v>
          </cell>
          <cell r="K1088" t="str">
            <v>06/19/2024</v>
          </cell>
          <cell r="L1088">
            <v>3</v>
          </cell>
          <cell r="M1088" t="str">
            <v>6/6/2024 2:23:22 PM</v>
          </cell>
          <cell r="N1088" t="str">
            <v>25</v>
          </cell>
          <cell r="O1088">
            <v>3</v>
          </cell>
          <cell r="P1088">
            <v>0.48</v>
          </cell>
        </row>
        <row r="1089">
          <cell r="A1089" t="str">
            <v>6724265</v>
          </cell>
          <cell r="B1089" t="str">
            <v>1115287</v>
          </cell>
          <cell r="C1089" t="str">
            <v>4320-40-4-50</v>
          </cell>
          <cell r="D1089" t="str">
            <v>4320</v>
          </cell>
          <cell r="E1089" t="str">
            <v>PADDED BELT LINER</v>
          </cell>
          <cell r="F1089" t="str">
            <v>BN-BELT</v>
          </cell>
          <cell r="G1089" t="str">
            <v>1420-210-FG</v>
          </cell>
          <cell r="H1089" t="str">
            <v>R</v>
          </cell>
          <cell r="I1089" t="str">
            <v>06/04/2024</v>
          </cell>
          <cell r="J1089" t="str">
            <v>06/13/2024</v>
          </cell>
          <cell r="K1089" t="str">
            <v>06/19/2024</v>
          </cell>
          <cell r="L1089">
            <v>3</v>
          </cell>
          <cell r="M1089" t="str">
            <v>6/4/2024 2:18:19 PM</v>
          </cell>
          <cell r="N1089" t="str">
            <v>25</v>
          </cell>
          <cell r="O1089">
            <v>3</v>
          </cell>
          <cell r="P1089">
            <v>0.43</v>
          </cell>
        </row>
        <row r="1090">
          <cell r="A1090" t="str">
            <v>6723171</v>
          </cell>
          <cell r="B1090" t="str">
            <v>1017317</v>
          </cell>
          <cell r="C1090" t="str">
            <v>22115</v>
          </cell>
          <cell r="D1090" t="str">
            <v>7915</v>
          </cell>
          <cell r="E1090" t="str">
            <v>PAGER/GLOVE POUCH BSK BLK-HIDDEN</v>
          </cell>
          <cell r="F1090" t="str">
            <v>BN-POUCH</v>
          </cell>
          <cell r="G1090" t="str">
            <v>1420-210-FG</v>
          </cell>
          <cell r="H1090" t="str">
            <v>R</v>
          </cell>
          <cell r="I1090" t="str">
            <v>06/03/2024</v>
          </cell>
          <cell r="J1090" t="str">
            <v>06/03/2024</v>
          </cell>
          <cell r="K1090" t="str">
            <v>06/19/2024</v>
          </cell>
          <cell r="L1090">
            <v>50</v>
          </cell>
          <cell r="M1090" t="str">
            <v>6/4/2024 2:52:38 PM</v>
          </cell>
          <cell r="N1090" t="str">
            <v>25</v>
          </cell>
          <cell r="O1090">
            <v>50</v>
          </cell>
          <cell r="P1090">
            <v>6.18</v>
          </cell>
        </row>
        <row r="1091">
          <cell r="A1091" t="str">
            <v>6724243</v>
          </cell>
          <cell r="B1091" t="str">
            <v>1197872</v>
          </cell>
          <cell r="C1091" t="str">
            <v>1400-3S-M</v>
          </cell>
          <cell r="D1091" t="str">
            <v>1400</v>
          </cell>
          <cell r="E1091" t="str">
            <v>ROGERS SUPER-STOC® CADDY (3)</v>
          </cell>
          <cell r="F1091" t="str">
            <v>BN-RANGER</v>
          </cell>
          <cell r="G1091" t="str">
            <v>1420-210-FG</v>
          </cell>
          <cell r="H1091" t="str">
            <v>R</v>
          </cell>
          <cell r="I1091" t="str">
            <v>06/04/2024</v>
          </cell>
          <cell r="J1091" t="str">
            <v>06/10/2024</v>
          </cell>
          <cell r="K1091" t="str">
            <v>06/19/2024</v>
          </cell>
          <cell r="L1091">
            <v>95</v>
          </cell>
          <cell r="M1091" t="str">
            <v>6/4/2024 2:25:23 PM</v>
          </cell>
          <cell r="N1091" t="str">
            <v>25</v>
          </cell>
          <cell r="O1091">
            <v>95</v>
          </cell>
          <cell r="P1091">
            <v>66.5</v>
          </cell>
        </row>
        <row r="1092">
          <cell r="A1092" t="str">
            <v>6723060</v>
          </cell>
          <cell r="B1092" t="str">
            <v>1016970</v>
          </cell>
          <cell r="C1092" t="str">
            <v>22217</v>
          </cell>
          <cell r="D1092" t="str">
            <v>7960</v>
          </cell>
          <cell r="E1092" t="str">
            <v>SAM BROWNE BELT BSK BLK SZ 32 CHROME</v>
          </cell>
          <cell r="F1092" t="str">
            <v>BN-BELT</v>
          </cell>
          <cell r="G1092" t="str">
            <v>1420-210-FG</v>
          </cell>
          <cell r="H1092" t="str">
            <v>R</v>
          </cell>
          <cell r="I1092" t="str">
            <v>06/03/2024</v>
          </cell>
          <cell r="J1092" t="str">
            <v>06/03/2024</v>
          </cell>
          <cell r="K1092" t="str">
            <v>06/19/2024</v>
          </cell>
          <cell r="L1092">
            <v>10</v>
          </cell>
          <cell r="M1092" t="str">
            <v>6/4/2024 2:47:51 PM</v>
          </cell>
          <cell r="N1092" t="str">
            <v>25</v>
          </cell>
          <cell r="O1092">
            <v>10</v>
          </cell>
          <cell r="P1092">
            <v>1.91</v>
          </cell>
        </row>
        <row r="1093">
          <cell r="A1093" t="str">
            <v>6723062</v>
          </cell>
          <cell r="B1093" t="str">
            <v>1016980</v>
          </cell>
          <cell r="C1093" t="str">
            <v>22229</v>
          </cell>
          <cell r="D1093" t="str">
            <v>7960</v>
          </cell>
          <cell r="E1093" t="str">
            <v>SAM BROWNE BELT BSK BLK SZ 44 CHROME</v>
          </cell>
          <cell r="F1093" t="str">
            <v>BN-BELT</v>
          </cell>
          <cell r="G1093" t="str">
            <v>1420-210-FG</v>
          </cell>
          <cell r="H1093" t="str">
            <v>R</v>
          </cell>
          <cell r="I1093" t="str">
            <v>06/03/2024</v>
          </cell>
          <cell r="J1093" t="str">
            <v>06/03/2024</v>
          </cell>
          <cell r="K1093" t="str">
            <v>06/19/2024</v>
          </cell>
          <cell r="L1093">
            <v>10</v>
          </cell>
          <cell r="M1093" t="str">
            <v>6/4/2024 2:47:51 PM</v>
          </cell>
          <cell r="N1093" t="str">
            <v>25</v>
          </cell>
          <cell r="O1093">
            <v>10</v>
          </cell>
          <cell r="P1093">
            <v>1.91</v>
          </cell>
        </row>
        <row r="1094">
          <cell r="A1094" t="str">
            <v>6723173</v>
          </cell>
          <cell r="B1094" t="str">
            <v>1017362</v>
          </cell>
          <cell r="C1094" t="str">
            <v>22118</v>
          </cell>
          <cell r="D1094" t="str">
            <v>7916</v>
          </cell>
          <cell r="E1094" t="str">
            <v xml:space="preserve">SILENT KEY HOLDER PLN BLK </v>
          </cell>
          <cell r="F1094" t="str">
            <v>BN-POUCH</v>
          </cell>
          <cell r="G1094" t="str">
            <v>1420-210-FG</v>
          </cell>
          <cell r="H1094" t="str">
            <v>R</v>
          </cell>
          <cell r="I1094" t="str">
            <v>06/03/2024</v>
          </cell>
          <cell r="J1094" t="str">
            <v>06/03/2024</v>
          </cell>
          <cell r="K1094" t="str">
            <v>06/19/2024</v>
          </cell>
          <cell r="L1094">
            <v>30</v>
          </cell>
          <cell r="M1094" t="str">
            <v>6/5/2024 11:22:39 AM</v>
          </cell>
          <cell r="N1094" t="str">
            <v>25</v>
          </cell>
          <cell r="O1094">
            <v>30</v>
          </cell>
          <cell r="P1094">
            <v>5.13</v>
          </cell>
        </row>
        <row r="1095">
          <cell r="A1095" t="str">
            <v>6724231</v>
          </cell>
          <cell r="B1095" t="str">
            <v>1016009</v>
          </cell>
          <cell r="C1095" t="str">
            <v>18202</v>
          </cell>
          <cell r="D1095" t="str">
            <v>7303</v>
          </cell>
          <cell r="E1095" t="str">
            <v>SINGLE MAG POUCH BLK SZ 4 GLOCK 20 HIDDE</v>
          </cell>
          <cell r="F1095" t="str">
            <v>BN-POUCH</v>
          </cell>
          <cell r="G1095" t="str">
            <v>1420-210-FG</v>
          </cell>
          <cell r="H1095" t="str">
            <v>R</v>
          </cell>
          <cell r="I1095" t="str">
            <v>06/04/2024</v>
          </cell>
          <cell r="J1095" t="str">
            <v>06/10/2024</v>
          </cell>
          <cell r="K1095" t="str">
            <v>06/19/2024</v>
          </cell>
          <cell r="L1095">
            <v>5</v>
          </cell>
          <cell r="M1095" t="str">
            <v>6/4/2024 2:56:55 PM</v>
          </cell>
          <cell r="N1095" t="str">
            <v>25</v>
          </cell>
          <cell r="O1095">
            <v>5</v>
          </cell>
          <cell r="P1095">
            <v>0.69</v>
          </cell>
        </row>
        <row r="1096">
          <cell r="A1096" t="str">
            <v>6723103</v>
          </cell>
          <cell r="B1096" t="str">
            <v>1016774</v>
          </cell>
          <cell r="C1096" t="str">
            <v>18906</v>
          </cell>
          <cell r="D1096" t="str">
            <v>7000</v>
          </cell>
          <cell r="E1096" t="str">
            <v>SPORTING HOL. BLK RH SZ _6 RAGING BULL 8</v>
          </cell>
          <cell r="F1096" t="str">
            <v>BN-HOLSTER</v>
          </cell>
          <cell r="G1096" t="str">
            <v>1420-210-FG</v>
          </cell>
          <cell r="H1096" t="str">
            <v>R</v>
          </cell>
          <cell r="I1096" t="str">
            <v>06/03/2024</v>
          </cell>
          <cell r="J1096" t="str">
            <v>06/03/2024</v>
          </cell>
          <cell r="K1096" t="str">
            <v>06/19/2024</v>
          </cell>
          <cell r="L1096">
            <v>20</v>
          </cell>
          <cell r="M1096" t="str">
            <v>6/4/2024 3:08:51 PM</v>
          </cell>
          <cell r="N1096" t="str">
            <v>25</v>
          </cell>
          <cell r="O1096">
            <v>20</v>
          </cell>
          <cell r="P1096">
            <v>7.04</v>
          </cell>
        </row>
        <row r="1097">
          <cell r="A1097" t="str">
            <v>6724190</v>
          </cell>
          <cell r="B1097" t="str">
            <v>1017333</v>
          </cell>
          <cell r="C1097" t="str">
            <v>22400</v>
          </cell>
          <cell r="D1097" t="str">
            <v>7001</v>
          </cell>
          <cell r="E1097" t="str">
            <v>THUMBSNAP BLK RH SZ _4B S-W N FRAME 4IN</v>
          </cell>
          <cell r="F1097" t="str">
            <v>BN-HOLSTER</v>
          </cell>
          <cell r="G1097" t="str">
            <v>1420-210-FG</v>
          </cell>
          <cell r="H1097" t="str">
            <v>R</v>
          </cell>
          <cell r="I1097" t="str">
            <v>06/04/2024</v>
          </cell>
          <cell r="J1097" t="str">
            <v>06/10/2024</v>
          </cell>
          <cell r="K1097" t="str">
            <v>06/19/2024</v>
          </cell>
          <cell r="L1097">
            <v>5</v>
          </cell>
          <cell r="M1097" t="str">
            <v>6/4/2024 3:09:53 PM</v>
          </cell>
          <cell r="N1097" t="str">
            <v>25</v>
          </cell>
          <cell r="O1097">
            <v>5</v>
          </cell>
          <cell r="P1097">
            <v>2</v>
          </cell>
        </row>
        <row r="1098">
          <cell r="A1098" t="str">
            <v>6724143</v>
          </cell>
          <cell r="B1098" t="str">
            <v>1015519</v>
          </cell>
          <cell r="C1098" t="str">
            <v>10241</v>
          </cell>
          <cell r="D1098" t="str">
            <v>5BHL</v>
          </cell>
          <cell r="E1098" t="str">
            <v>THUMBSNAP TAN LH RUGER GP100 4IN</v>
          </cell>
          <cell r="F1098" t="str">
            <v>BN-LEATHER</v>
          </cell>
          <cell r="G1098" t="str">
            <v>1420-210-FG</v>
          </cell>
          <cell r="H1098" t="str">
            <v>R</v>
          </cell>
          <cell r="I1098" t="str">
            <v>06/04/2024</v>
          </cell>
          <cell r="J1098" t="str">
            <v>06/04/2024</v>
          </cell>
          <cell r="K1098" t="str">
            <v>06/19/2024</v>
          </cell>
          <cell r="L1098">
            <v>5</v>
          </cell>
          <cell r="M1098" t="str">
            <v>6/4/2024 3:11:07 PM</v>
          </cell>
          <cell r="N1098" t="str">
            <v>25</v>
          </cell>
          <cell r="O1098">
            <v>5</v>
          </cell>
          <cell r="P1098">
            <v>3.22</v>
          </cell>
        </row>
        <row r="1099">
          <cell r="A1099" t="str">
            <v>6724145</v>
          </cell>
          <cell r="B1099" t="str">
            <v>1015909</v>
          </cell>
          <cell r="C1099" t="str">
            <v>14763</v>
          </cell>
          <cell r="D1099" t="str">
            <v>19L</v>
          </cell>
          <cell r="E1099" t="str">
            <v xml:space="preserve">THUMBSNAP TAN RH GLOCK 17 </v>
          </cell>
          <cell r="F1099" t="str">
            <v>BN-LEATHER</v>
          </cell>
          <cell r="G1099" t="str">
            <v>1420-210-FG</v>
          </cell>
          <cell r="H1099" t="str">
            <v>R</v>
          </cell>
          <cell r="I1099" t="str">
            <v>06/04/2024</v>
          </cell>
          <cell r="J1099" t="str">
            <v>06/04/2024</v>
          </cell>
          <cell r="K1099" t="str">
            <v>06/19/2024</v>
          </cell>
          <cell r="L1099">
            <v>5</v>
          </cell>
          <cell r="M1099" t="str">
            <v>6/4/2024 2:50:25 PM</v>
          </cell>
          <cell r="N1099" t="str">
            <v>25</v>
          </cell>
          <cell r="O1099">
            <v>5</v>
          </cell>
          <cell r="P1099">
            <v>2.89</v>
          </cell>
        </row>
        <row r="1100">
          <cell r="A1100" t="str">
            <v>6724144</v>
          </cell>
          <cell r="B1100" t="str">
            <v>1015566</v>
          </cell>
          <cell r="C1100" t="str">
            <v>10323</v>
          </cell>
          <cell r="D1100" t="str">
            <v>5BHL</v>
          </cell>
          <cell r="E1100" t="str">
            <v>THUMBSNAP TAN RH S-W 29 IN NIN 6 1/2IN</v>
          </cell>
          <cell r="F1100" t="str">
            <v>BN-LEATHER</v>
          </cell>
          <cell r="G1100" t="str">
            <v>1420-210-FG</v>
          </cell>
          <cell r="H1100" t="str">
            <v>R</v>
          </cell>
          <cell r="I1100" t="str">
            <v>06/04/2024</v>
          </cell>
          <cell r="J1100" t="str">
            <v>06/04/2024</v>
          </cell>
          <cell r="K1100" t="str">
            <v>06/19/2024</v>
          </cell>
          <cell r="L1100">
            <v>15</v>
          </cell>
          <cell r="M1100" t="str">
            <v>6/4/2024 3:11:34 PM</v>
          </cell>
          <cell r="N1100" t="str">
            <v>25</v>
          </cell>
          <cell r="O1100">
            <v>15</v>
          </cell>
          <cell r="P1100">
            <v>10.37</v>
          </cell>
        </row>
        <row r="1101">
          <cell r="A1101" t="str">
            <v>6723184</v>
          </cell>
          <cell r="B1101" t="str">
            <v>1018344</v>
          </cell>
          <cell r="C1101" t="str">
            <v>31396</v>
          </cell>
          <cell r="D1101" t="str">
            <v>8020</v>
          </cell>
          <cell r="E1101" t="str">
            <v>TRIPLE THREAT II BLK SZ2</v>
          </cell>
          <cell r="F1101" t="str">
            <v>BN-POUCH</v>
          </cell>
          <cell r="G1101" t="str">
            <v>1420-210-FG</v>
          </cell>
          <cell r="H1101" t="str">
            <v>R</v>
          </cell>
          <cell r="I1101" t="str">
            <v>06/03/2024</v>
          </cell>
          <cell r="J1101" t="str">
            <v>06/03/2024</v>
          </cell>
          <cell r="K1101" t="str">
            <v>06/19/2024</v>
          </cell>
          <cell r="L1101">
            <v>100</v>
          </cell>
          <cell r="M1101" t="str">
            <v>6/4/2024 2:52:38 PM</v>
          </cell>
          <cell r="N1101" t="str">
            <v>25</v>
          </cell>
          <cell r="O1101">
            <v>100</v>
          </cell>
          <cell r="P1101">
            <v>11.84</v>
          </cell>
        </row>
        <row r="1102">
          <cell r="A1102" t="str">
            <v>6725601</v>
          </cell>
          <cell r="B1102" t="str">
            <v>1017023</v>
          </cell>
          <cell r="C1102" t="str">
            <v>22265</v>
          </cell>
          <cell r="D1102" t="str">
            <v>7922</v>
          </cell>
          <cell r="E1102" t="str">
            <v>TRIPLE THREAT II POUCH SZ2 BASKET BLK</v>
          </cell>
          <cell r="F1102" t="str">
            <v>BN-POUCH</v>
          </cell>
          <cell r="G1102" t="str">
            <v>1420-210-FG</v>
          </cell>
          <cell r="H1102" t="str">
            <v>R</v>
          </cell>
          <cell r="I1102" t="str">
            <v>06/06/2024</v>
          </cell>
          <cell r="J1102" t="str">
            <v>06/17/2024</v>
          </cell>
          <cell r="K1102" t="str">
            <v>06/19/2024</v>
          </cell>
          <cell r="L1102">
            <v>100</v>
          </cell>
          <cell r="M1102" t="str">
            <v>6/6/2024 2:18:23 PM</v>
          </cell>
          <cell r="N1102" t="str">
            <v>25</v>
          </cell>
          <cell r="O1102">
            <v>100</v>
          </cell>
          <cell r="P1102">
            <v>11.06</v>
          </cell>
        </row>
        <row r="1103">
          <cell r="A1103" t="str">
            <v>6723172</v>
          </cell>
          <cell r="B1103" t="str">
            <v>1017345</v>
          </cell>
          <cell r="C1103" t="str">
            <v>22693</v>
          </cell>
          <cell r="D1103" t="str">
            <v>7922</v>
          </cell>
          <cell r="E1103" t="str">
            <v>TRIPLE THREAT II POUCH SZ2 PLAIN BLK</v>
          </cell>
          <cell r="F1103" t="str">
            <v>BN-POUCH</v>
          </cell>
          <cell r="G1103" t="str">
            <v>1420-210-FG</v>
          </cell>
          <cell r="H1103" t="str">
            <v>R</v>
          </cell>
          <cell r="I1103" t="str">
            <v>06/03/2024</v>
          </cell>
          <cell r="J1103" t="str">
            <v>06/03/2024</v>
          </cell>
          <cell r="K1103" t="str">
            <v>06/19/2024</v>
          </cell>
          <cell r="L1103">
            <v>50</v>
          </cell>
          <cell r="M1103" t="str">
            <v>6/4/2024 2:52:38 PM</v>
          </cell>
          <cell r="N1103" t="str">
            <v>25</v>
          </cell>
          <cell r="O1103">
            <v>50</v>
          </cell>
          <cell r="P1103">
            <v>5.54</v>
          </cell>
        </row>
        <row r="1104">
          <cell r="A1104" t="str">
            <v>6724153</v>
          </cell>
          <cell r="B1104" t="str">
            <v>1017347</v>
          </cell>
          <cell r="C1104" t="str">
            <v>22695</v>
          </cell>
          <cell r="D1104" t="str">
            <v>7922</v>
          </cell>
          <cell r="E1104" t="str">
            <v>TRIPLE THREAT II POUCH SZ4 PLAIN BLK</v>
          </cell>
          <cell r="F1104" t="str">
            <v>BN-POUCH</v>
          </cell>
          <cell r="G1104" t="str">
            <v>1420-210-FG</v>
          </cell>
          <cell r="H1104" t="str">
            <v>R</v>
          </cell>
          <cell r="I1104" t="str">
            <v>06/04/2024</v>
          </cell>
          <cell r="J1104" t="str">
            <v>06/04/2024</v>
          </cell>
          <cell r="K1104" t="str">
            <v>06/19/2024</v>
          </cell>
          <cell r="L1104">
            <v>5</v>
          </cell>
          <cell r="M1104" t="str">
            <v>6/4/2024 2:32:05 PM</v>
          </cell>
          <cell r="N1104" t="str">
            <v>25</v>
          </cell>
          <cell r="O1104">
            <v>5</v>
          </cell>
          <cell r="P1104">
            <v>0.56000000000000005</v>
          </cell>
        </row>
        <row r="1105">
          <cell r="A1105" t="str">
            <v>6724268</v>
          </cell>
          <cell r="B1105" t="str">
            <v>1029855</v>
          </cell>
          <cell r="C1105" t="str">
            <v>18026</v>
          </cell>
          <cell r="D1105" t="str">
            <v>6</v>
          </cell>
          <cell r="E1105" t="str">
            <v>WAISTBAND RH GLOCK 1923</v>
          </cell>
          <cell r="F1105" t="str">
            <v>BN-LEATHER</v>
          </cell>
          <cell r="G1105" t="str">
            <v>1420-210-FG</v>
          </cell>
          <cell r="H1105" t="str">
            <v>R</v>
          </cell>
          <cell r="I1105" t="str">
            <v>06/04/2024</v>
          </cell>
          <cell r="J1105" t="str">
            <v>06/13/2024</v>
          </cell>
          <cell r="K1105" t="str">
            <v>06/19/2024</v>
          </cell>
          <cell r="L1105">
            <v>20</v>
          </cell>
          <cell r="M1105" t="str">
            <v>6/4/2024 2:50:10 PM</v>
          </cell>
          <cell r="N1105" t="str">
            <v>25</v>
          </cell>
          <cell r="O1105">
            <v>20</v>
          </cell>
          <cell r="P1105">
            <v>2.61</v>
          </cell>
        </row>
        <row r="1106">
          <cell r="A1106" t="str">
            <v>6724736</v>
          </cell>
          <cell r="B1106" t="str">
            <v>1316802</v>
          </cell>
          <cell r="C1106" t="str">
            <v>135-F16-222-150</v>
          </cell>
          <cell r="D1106" t="str">
            <v>135</v>
          </cell>
          <cell r="E1106" t="str">
            <v>135 16IN BATON NYLK BLK</v>
          </cell>
          <cell r="F1106" t="str">
            <v>DG-POUCH-F2-F3</v>
          </cell>
          <cell r="G1106" t="str">
            <v>1420-210-FG</v>
          </cell>
          <cell r="H1106" t="str">
            <v>R</v>
          </cell>
          <cell r="I1106" t="str">
            <v>06/04/2024</v>
          </cell>
          <cell r="J1106" t="str">
            <v>06/05/2024</v>
          </cell>
          <cell r="K1106" t="str">
            <v>06/20/2024</v>
          </cell>
          <cell r="L1106">
            <v>1</v>
          </cell>
          <cell r="M1106" t="str">
            <v>6/5/2024 3:12:43 PM</v>
          </cell>
          <cell r="N1106" t="str">
            <v>25</v>
          </cell>
          <cell r="O1106">
            <v>1</v>
          </cell>
          <cell r="P1106">
            <v>0.13</v>
          </cell>
        </row>
        <row r="1107">
          <cell r="A1107" t="str">
            <v>6728919</v>
          </cell>
          <cell r="B1107" t="str">
            <v>1096573</v>
          </cell>
          <cell r="C1107" t="str">
            <v>146V-50-2B</v>
          </cell>
          <cell r="D1107" t="str">
            <v>146V</v>
          </cell>
          <cell r="E1107" t="str">
            <v>146V BORDER PATROL BLT PLN BLK SZ50 BR</v>
          </cell>
          <cell r="F1107" t="str">
            <v>DG-BELT</v>
          </cell>
          <cell r="G1107" t="str">
            <v>1420-210-FG</v>
          </cell>
          <cell r="H1107" t="str">
            <v>R</v>
          </cell>
          <cell r="I1107" t="str">
            <v>06/13/2024</v>
          </cell>
          <cell r="J1107" t="str">
            <v>06/13/2024</v>
          </cell>
          <cell r="K1107" t="str">
            <v>06/20/2024</v>
          </cell>
          <cell r="L1107">
            <v>16</v>
          </cell>
          <cell r="M1107" t="str">
            <v>6/13/2024 4:07:44 PM</v>
          </cell>
          <cell r="N1107" t="str">
            <v>25</v>
          </cell>
          <cell r="O1107">
            <v>16</v>
          </cell>
          <cell r="P1107">
            <v>8.4600000000000009</v>
          </cell>
        </row>
        <row r="1108">
          <cell r="A1108" t="str">
            <v>6724814</v>
          </cell>
          <cell r="B1108" t="str">
            <v>1099520</v>
          </cell>
          <cell r="C1108" t="str">
            <v>306-1-9</v>
          </cell>
          <cell r="D1108" t="str">
            <v>306</v>
          </cell>
          <cell r="E1108" t="str">
            <v>306 STRMLGT STINGER HI GLS BLK</v>
          </cell>
          <cell r="F1108" t="str">
            <v>DG-POUCH-F1</v>
          </cell>
          <cell r="G1108" t="str">
            <v>1420-210-FG</v>
          </cell>
          <cell r="H1108" t="str">
            <v>R</v>
          </cell>
          <cell r="I1108" t="str">
            <v>06/04/2024</v>
          </cell>
          <cell r="J1108" t="str">
            <v>06/05/2024</v>
          </cell>
          <cell r="K1108" t="str">
            <v>06/20/2024</v>
          </cell>
          <cell r="L1108">
            <v>5</v>
          </cell>
          <cell r="M1108" t="str">
            <v>6/5/2024 3:03:18 PM</v>
          </cell>
          <cell r="N1108" t="str">
            <v>25</v>
          </cell>
          <cell r="O1108">
            <v>5</v>
          </cell>
          <cell r="P1108">
            <v>1.89</v>
          </cell>
        </row>
        <row r="1109">
          <cell r="A1109" t="str">
            <v>6728850</v>
          </cell>
          <cell r="B1109" t="str">
            <v>1120594</v>
          </cell>
          <cell r="C1109" t="str">
            <v>6004-25-2</v>
          </cell>
          <cell r="D1109" t="str">
            <v>6004</v>
          </cell>
          <cell r="E1109" t="str">
            <v>6004 SNG LEG STRP W/DFA BLK</v>
          </cell>
          <cell r="F1109" t="str">
            <v>DG-HARNESS-DTC</v>
          </cell>
          <cell r="G1109" t="str">
            <v>1420-210-FG</v>
          </cell>
          <cell r="H1109" t="str">
            <v>F</v>
          </cell>
          <cell r="I1109" t="str">
            <v>06/13/2024</v>
          </cell>
          <cell r="J1109" t="str">
            <v>06/13/2024</v>
          </cell>
          <cell r="K1109" t="str">
            <v>06/20/2024</v>
          </cell>
          <cell r="L1109">
            <v>100</v>
          </cell>
          <cell r="M1109" t="str">
            <v/>
          </cell>
          <cell r="N1109" t="str">
            <v>25</v>
          </cell>
          <cell r="O1109">
            <v>100</v>
          </cell>
          <cell r="P1109">
            <v>10</v>
          </cell>
        </row>
        <row r="1110">
          <cell r="A1110" t="str">
            <v>6728868</v>
          </cell>
          <cell r="B1110" t="str">
            <v>1334952</v>
          </cell>
          <cell r="C1110" t="str">
            <v>6354RDS-7502-251-MS19</v>
          </cell>
          <cell r="D1110" t="str">
            <v>6354RDS</v>
          </cell>
          <cell r="E1110" t="str">
            <v>6354RDS SIGP320CRX X300U CR ARID MCM RH</v>
          </cell>
          <cell r="F1110" t="str">
            <v>DG-HOLSTER-RDS</v>
          </cell>
          <cell r="G1110" t="str">
            <v>1420-210-FG</v>
          </cell>
          <cell r="H1110" t="str">
            <v>F</v>
          </cell>
          <cell r="I1110" t="str">
            <v>06/13/2024</v>
          </cell>
          <cell r="J1110" t="str">
            <v>06/13/2024</v>
          </cell>
          <cell r="K1110" t="str">
            <v>06/20/2024</v>
          </cell>
          <cell r="L1110">
            <v>10</v>
          </cell>
          <cell r="M1110" t="str">
            <v/>
          </cell>
          <cell r="N1110" t="str">
            <v>25</v>
          </cell>
          <cell r="O1110">
            <v>10</v>
          </cell>
          <cell r="P1110">
            <v>4.33</v>
          </cell>
        </row>
        <row r="1111">
          <cell r="A1111" t="str">
            <v>6728867</v>
          </cell>
          <cell r="B1111" t="str">
            <v>1334272</v>
          </cell>
          <cell r="C1111" t="str">
            <v>6354RDSO-832-731-MS19</v>
          </cell>
          <cell r="D1111" t="str">
            <v>6354RDSO</v>
          </cell>
          <cell r="E1111" t="str">
            <v>6354RDSO GLOCK17MOS X300U COR CAM GRN RH</v>
          </cell>
          <cell r="F1111" t="str">
            <v>DG-HOLSTER-RDS</v>
          </cell>
          <cell r="G1111" t="str">
            <v>1420-210-FG</v>
          </cell>
          <cell r="H1111" t="str">
            <v>F</v>
          </cell>
          <cell r="I1111" t="str">
            <v>06/13/2024</v>
          </cell>
          <cell r="J1111" t="str">
            <v>06/13/2024</v>
          </cell>
          <cell r="K1111" t="str">
            <v>06/20/2024</v>
          </cell>
          <cell r="L1111">
            <v>1</v>
          </cell>
          <cell r="M1111" t="str">
            <v/>
          </cell>
          <cell r="N1111" t="str">
            <v>25</v>
          </cell>
          <cell r="O1111">
            <v>1</v>
          </cell>
          <cell r="P1111">
            <v>0.43</v>
          </cell>
        </row>
        <row r="1112">
          <cell r="A1112" t="str">
            <v>6727197</v>
          </cell>
          <cell r="B1112" t="str">
            <v>1334509</v>
          </cell>
          <cell r="C1112" t="str">
            <v>6354RDSO-4502-702-MS19</v>
          </cell>
          <cell r="D1112" t="str">
            <v>6354RDSO</v>
          </cell>
          <cell r="E1112" t="str">
            <v>6354RDSO SIG P320RX X300U CORD MLTCM LH</v>
          </cell>
          <cell r="F1112" t="str">
            <v>DG-HOLSTER-RDS-DTC</v>
          </cell>
          <cell r="G1112" t="str">
            <v>1420-210-FG</v>
          </cell>
          <cell r="H1112" t="str">
            <v>F</v>
          </cell>
          <cell r="I1112" t="str">
            <v>06/10/2024</v>
          </cell>
          <cell r="J1112" t="str">
            <v>06/10/2024</v>
          </cell>
          <cell r="K1112" t="str">
            <v>06/20/2024</v>
          </cell>
          <cell r="L1112">
            <v>5</v>
          </cell>
          <cell r="M1112" t="str">
            <v/>
          </cell>
          <cell r="N1112" t="str">
            <v>25</v>
          </cell>
          <cell r="O1112">
            <v>5</v>
          </cell>
          <cell r="P1112">
            <v>2.17</v>
          </cell>
        </row>
        <row r="1113">
          <cell r="A1113" t="str">
            <v>6727185</v>
          </cell>
          <cell r="B1113" t="str">
            <v>1327633</v>
          </cell>
          <cell r="C1113" t="str">
            <v>6360RDS-8314-132</v>
          </cell>
          <cell r="D1113" t="str">
            <v>6360RDS</v>
          </cell>
          <cell r="E1113" t="str">
            <v>6360RDS GLOCK 17MOS X400U STX TAC BLK LH</v>
          </cell>
          <cell r="F1113" t="str">
            <v>DG-HOLSTER-RDS-DTC</v>
          </cell>
          <cell r="G1113" t="str">
            <v>1420-210-FG</v>
          </cell>
          <cell r="H1113" t="str">
            <v>R</v>
          </cell>
          <cell r="I1113" t="str">
            <v>06/10/2024</v>
          </cell>
          <cell r="J1113" t="str">
            <v>06/10/2024</v>
          </cell>
          <cell r="K1113" t="str">
            <v>06/20/2024</v>
          </cell>
          <cell r="L1113">
            <v>1</v>
          </cell>
          <cell r="M1113" t="str">
            <v>6/10/2024 12:51:41 PM</v>
          </cell>
          <cell r="N1113" t="str">
            <v>25</v>
          </cell>
          <cell r="O1113">
            <v>1</v>
          </cell>
          <cell r="P1113">
            <v>0.43</v>
          </cell>
        </row>
        <row r="1114">
          <cell r="A1114" t="str">
            <v>6727170</v>
          </cell>
          <cell r="B1114" t="str">
            <v>1206336</v>
          </cell>
          <cell r="C1114" t="str">
            <v>6360RDS-2832-741</v>
          </cell>
          <cell r="D1114" t="str">
            <v>6360RDS</v>
          </cell>
          <cell r="E1114" t="str">
            <v>6360RDS GLOCK 19MOS X300U CORD CYTB RH</v>
          </cell>
          <cell r="F1114" t="str">
            <v>DG-HOLSTER-RDS-DTC</v>
          </cell>
          <cell r="G1114" t="str">
            <v>1420-210-FG</v>
          </cell>
          <cell r="H1114" t="str">
            <v>F</v>
          </cell>
          <cell r="I1114" t="str">
            <v>06/10/2024</v>
          </cell>
          <cell r="J1114" t="str">
            <v>06/10/2024</v>
          </cell>
          <cell r="K1114" t="str">
            <v>06/20/2024</v>
          </cell>
          <cell r="L1114">
            <v>5</v>
          </cell>
          <cell r="M1114" t="str">
            <v/>
          </cell>
          <cell r="N1114" t="str">
            <v>25</v>
          </cell>
          <cell r="O1114">
            <v>5</v>
          </cell>
          <cell r="P1114">
            <v>2</v>
          </cell>
        </row>
        <row r="1115">
          <cell r="A1115" t="str">
            <v>6728913</v>
          </cell>
          <cell r="B1115" t="str">
            <v>1204134</v>
          </cell>
          <cell r="C1115" t="str">
            <v>6360RDS-2832-411</v>
          </cell>
          <cell r="D1115" t="str">
            <v>6360RDS</v>
          </cell>
          <cell r="E1115" t="str">
            <v>6360RDS GLOCK 19MOS X300U STX PLN BLK RH</v>
          </cell>
          <cell r="F1115" t="str">
            <v>DG-HOLSTER-RDS-DTC</v>
          </cell>
          <cell r="G1115" t="str">
            <v>1420-210-FG</v>
          </cell>
          <cell r="H1115" t="str">
            <v>F</v>
          </cell>
          <cell r="I1115" t="str">
            <v>06/13/2024</v>
          </cell>
          <cell r="J1115" t="str">
            <v>06/13/2024</v>
          </cell>
          <cell r="K1115" t="str">
            <v>06/20/2024</v>
          </cell>
          <cell r="L1115">
            <v>100</v>
          </cell>
          <cell r="M1115" t="str">
            <v/>
          </cell>
          <cell r="N1115" t="str">
            <v>25</v>
          </cell>
          <cell r="O1115">
            <v>100</v>
          </cell>
          <cell r="P1115">
            <v>40</v>
          </cell>
        </row>
        <row r="1116">
          <cell r="A1116" t="str">
            <v>6728870</v>
          </cell>
          <cell r="B1116" t="str">
            <v>1333818</v>
          </cell>
          <cell r="C1116" t="str">
            <v>6360RDS-8972-481</v>
          </cell>
          <cell r="D1116" t="str">
            <v>6360RDS</v>
          </cell>
          <cell r="E1116" t="str">
            <v>6360RDS GLOCK 47 X300U STX BSK BLK RH</v>
          </cell>
          <cell r="F1116" t="str">
            <v>DG-HOLSTER-RDS</v>
          </cell>
          <cell r="G1116" t="str">
            <v>1420-210-FG</v>
          </cell>
          <cell r="H1116" t="str">
            <v>F</v>
          </cell>
          <cell r="I1116" t="str">
            <v>06/13/2024</v>
          </cell>
          <cell r="J1116" t="str">
            <v>06/13/2024</v>
          </cell>
          <cell r="K1116" t="str">
            <v>06/20/2024</v>
          </cell>
          <cell r="L1116">
            <v>50</v>
          </cell>
          <cell r="M1116" t="str">
            <v/>
          </cell>
          <cell r="N1116" t="str">
            <v>25</v>
          </cell>
          <cell r="O1116">
            <v>50</v>
          </cell>
          <cell r="P1116">
            <v>20</v>
          </cell>
        </row>
        <row r="1117">
          <cell r="A1117" t="str">
            <v>6728863</v>
          </cell>
          <cell r="B1117" t="str">
            <v>1208570</v>
          </cell>
          <cell r="C1117" t="str">
            <v>6390-8325-131</v>
          </cell>
          <cell r="D1117" t="str">
            <v>6390</v>
          </cell>
          <cell r="E1117" t="str">
            <v>6390 GLOCK 17 GEN5 X300U STX TAC BLK RH</v>
          </cell>
          <cell r="F1117" t="str">
            <v>DG-HOLSTER-DTC</v>
          </cell>
          <cell r="G1117" t="str">
            <v>1420-210-FG</v>
          </cell>
          <cell r="H1117" t="str">
            <v>F</v>
          </cell>
          <cell r="I1117" t="str">
            <v>06/13/2024</v>
          </cell>
          <cell r="J1117" t="str">
            <v>06/13/2024</v>
          </cell>
          <cell r="K1117" t="str">
            <v>06/20/2024</v>
          </cell>
          <cell r="L1117">
            <v>10</v>
          </cell>
          <cell r="M1117" t="str">
            <v/>
          </cell>
          <cell r="N1117" t="str">
            <v>25</v>
          </cell>
          <cell r="O1117">
            <v>10</v>
          </cell>
          <cell r="P1117">
            <v>3.23</v>
          </cell>
        </row>
        <row r="1118">
          <cell r="A1118" t="str">
            <v>6727619</v>
          </cell>
          <cell r="B1118" t="str">
            <v>1153240</v>
          </cell>
          <cell r="C1118" t="str">
            <v>6390-383-131</v>
          </cell>
          <cell r="D1118" t="str">
            <v>6390</v>
          </cell>
          <cell r="E1118" t="str">
            <v>6390 GLOCK 20/21 STX TAC BLK RH</v>
          </cell>
          <cell r="F1118" t="str">
            <v>DG-HOLSTER</v>
          </cell>
          <cell r="G1118" t="str">
            <v>1420-210-FG</v>
          </cell>
          <cell r="H1118" t="str">
            <v>F</v>
          </cell>
          <cell r="I1118" t="str">
            <v>06/11/2024</v>
          </cell>
          <cell r="J1118" t="str">
            <v>06/11/2024</v>
          </cell>
          <cell r="K1118" t="str">
            <v>06/20/2024</v>
          </cell>
          <cell r="L1118">
            <v>5</v>
          </cell>
          <cell r="M1118" t="str">
            <v/>
          </cell>
          <cell r="N1118" t="str">
            <v>25</v>
          </cell>
          <cell r="O1118">
            <v>5</v>
          </cell>
          <cell r="P1118">
            <v>0.89</v>
          </cell>
        </row>
        <row r="1119">
          <cell r="A1119" t="str">
            <v>6727618</v>
          </cell>
          <cell r="B1119" t="str">
            <v>1151561</v>
          </cell>
          <cell r="C1119" t="str">
            <v>6390-219-131</v>
          </cell>
          <cell r="D1119" t="str">
            <v>6390</v>
          </cell>
          <cell r="E1119" t="str">
            <v>6390 S&amp;W M&amp;P9/40 1.0 STX TAC BLK RH</v>
          </cell>
          <cell r="F1119" t="str">
            <v>DG-HOLSTER</v>
          </cell>
          <cell r="G1119" t="str">
            <v>1420-210-FG</v>
          </cell>
          <cell r="H1119" t="str">
            <v>F</v>
          </cell>
          <cell r="I1119" t="str">
            <v>06/11/2024</v>
          </cell>
          <cell r="J1119" t="str">
            <v>06/11/2024</v>
          </cell>
          <cell r="K1119" t="str">
            <v>06/20/2024</v>
          </cell>
          <cell r="L1119">
            <v>10</v>
          </cell>
          <cell r="M1119" t="str">
            <v/>
          </cell>
          <cell r="N1119" t="str">
            <v>25</v>
          </cell>
          <cell r="O1119">
            <v>10</v>
          </cell>
          <cell r="P1119">
            <v>1.81</v>
          </cell>
        </row>
        <row r="1120">
          <cell r="A1120" t="str">
            <v>6728875</v>
          </cell>
          <cell r="B1120" t="str">
            <v>1336673</v>
          </cell>
          <cell r="C1120" t="str">
            <v>6390RDSO-832-131-NH</v>
          </cell>
          <cell r="D1120" t="str">
            <v>6390RDSO</v>
          </cell>
          <cell r="E1120" t="str">
            <v>6390RDSO GLOCK 17MOS X300U STXTAC BLK RH</v>
          </cell>
          <cell r="F1120" t="str">
            <v>DG-HOLSTER-RDS-DTC</v>
          </cell>
          <cell r="G1120" t="str">
            <v>1420-210-FG</v>
          </cell>
          <cell r="H1120" t="str">
            <v>F</v>
          </cell>
          <cell r="I1120" t="str">
            <v>06/13/2024</v>
          </cell>
          <cell r="J1120" t="str">
            <v>06/13/2024</v>
          </cell>
          <cell r="K1120" t="str">
            <v>06/20/2024</v>
          </cell>
          <cell r="L1120">
            <v>2</v>
          </cell>
          <cell r="M1120" t="str">
            <v/>
          </cell>
          <cell r="N1120" t="str">
            <v>25</v>
          </cell>
          <cell r="O1120">
            <v>2</v>
          </cell>
          <cell r="P1120">
            <v>0.87</v>
          </cell>
        </row>
        <row r="1121">
          <cell r="A1121" t="str">
            <v>6727094</v>
          </cell>
          <cell r="B1121" t="str">
            <v>1333922</v>
          </cell>
          <cell r="C1121" t="str">
            <v>6390RDSO-6832-131</v>
          </cell>
          <cell r="D1121" t="str">
            <v>6390RDSO</v>
          </cell>
          <cell r="E1121" t="str">
            <v>6390RDSO GLOCK 34/35 X300U STXTAC BLK RH</v>
          </cell>
          <cell r="F1121" t="str">
            <v>DG-HOLSTER-RDS</v>
          </cell>
          <cell r="G1121" t="str">
            <v>1420-210-FG</v>
          </cell>
          <cell r="H1121" t="str">
            <v>F</v>
          </cell>
          <cell r="I1121" t="str">
            <v>06/10/2024</v>
          </cell>
          <cell r="J1121" t="str">
            <v>06/10/2024</v>
          </cell>
          <cell r="K1121" t="str">
            <v>06/20/2024</v>
          </cell>
          <cell r="L1121">
            <v>2</v>
          </cell>
          <cell r="M1121" t="str">
            <v/>
          </cell>
          <cell r="N1121" t="str">
            <v>25</v>
          </cell>
          <cell r="O1121">
            <v>2</v>
          </cell>
          <cell r="P1121">
            <v>0.8</v>
          </cell>
        </row>
        <row r="1122">
          <cell r="A1122" t="str">
            <v>6724410</v>
          </cell>
          <cell r="B1122" t="str">
            <v>1125204</v>
          </cell>
          <cell r="C1122" t="str">
            <v>72-83-4</v>
          </cell>
          <cell r="D1122" t="str">
            <v>72</v>
          </cell>
          <cell r="E1122" t="str">
            <v>72 GLOCK 17/22 BSK BLK</v>
          </cell>
          <cell r="F1122" t="str">
            <v>DG-POUCH-F1</v>
          </cell>
          <cell r="G1122" t="str">
            <v>1420-210-FG</v>
          </cell>
          <cell r="H1122" t="str">
            <v>R</v>
          </cell>
          <cell r="I1122" t="str">
            <v>06/04/2024</v>
          </cell>
          <cell r="J1122" t="str">
            <v>06/04/2024</v>
          </cell>
          <cell r="K1122" t="str">
            <v>06/20/2024</v>
          </cell>
          <cell r="L1122">
            <v>5</v>
          </cell>
          <cell r="M1122" t="str">
            <v>6/5/2024 3:03:18 PM</v>
          </cell>
          <cell r="N1122" t="str">
            <v>25</v>
          </cell>
          <cell r="O1122">
            <v>5</v>
          </cell>
          <cell r="P1122">
            <v>2.2000000000000002</v>
          </cell>
        </row>
        <row r="1123">
          <cell r="A1123" t="str">
            <v>6724471</v>
          </cell>
          <cell r="B1123" t="str">
            <v>1127582</v>
          </cell>
          <cell r="C1123" t="str">
            <v>72-83-9B</v>
          </cell>
          <cell r="D1123" t="str">
            <v>72</v>
          </cell>
          <cell r="E1123" t="str">
            <v>72 GLOCK 17/22 HI GLS BLK</v>
          </cell>
          <cell r="F1123" t="str">
            <v>DG-POUCH-F1</v>
          </cell>
          <cell r="G1123" t="str">
            <v>1420-210-FG</v>
          </cell>
          <cell r="H1123" t="str">
            <v>R</v>
          </cell>
          <cell r="I1123" t="str">
            <v>06/04/2024</v>
          </cell>
          <cell r="J1123" t="str">
            <v>06/05/2024</v>
          </cell>
          <cell r="K1123" t="str">
            <v>06/20/2024</v>
          </cell>
          <cell r="L1123">
            <v>5</v>
          </cell>
          <cell r="M1123" t="str">
            <v>6/5/2024 3:03:18 PM</v>
          </cell>
          <cell r="N1123" t="str">
            <v>25</v>
          </cell>
          <cell r="O1123">
            <v>5</v>
          </cell>
          <cell r="P1123">
            <v>2.5099999999999998</v>
          </cell>
        </row>
        <row r="1124">
          <cell r="A1124" t="str">
            <v>6724737</v>
          </cell>
          <cell r="B1124" t="str">
            <v>1323220</v>
          </cell>
          <cell r="C1124" t="str">
            <v>76-83-13PBL-NP</v>
          </cell>
          <cell r="D1124" t="str">
            <v>76</v>
          </cell>
          <cell r="E1124" t="str">
            <v>76 GLOCK 17/22 STX BLK</v>
          </cell>
          <cell r="F1124" t="str">
            <v>DG-POUCH-F1</v>
          </cell>
          <cell r="G1124" t="str">
            <v>1420-210-FG</v>
          </cell>
          <cell r="H1124" t="str">
            <v>R</v>
          </cell>
          <cell r="I1124" t="str">
            <v>06/04/2024</v>
          </cell>
          <cell r="J1124" t="str">
            <v>06/05/2024</v>
          </cell>
          <cell r="K1124" t="str">
            <v>06/20/2024</v>
          </cell>
          <cell r="L1124">
            <v>2</v>
          </cell>
          <cell r="M1124" t="str">
            <v>6/6/2024 11:36:48 AM</v>
          </cell>
          <cell r="N1124" t="str">
            <v>25</v>
          </cell>
          <cell r="O1124">
            <v>2</v>
          </cell>
          <cell r="P1124">
            <v>0.34</v>
          </cell>
        </row>
        <row r="1125">
          <cell r="A1125" t="str">
            <v>6724528</v>
          </cell>
          <cell r="B1125" t="str">
            <v>1131603</v>
          </cell>
          <cell r="C1125" t="str">
            <v>76-91-2</v>
          </cell>
          <cell r="D1125" t="str">
            <v>76</v>
          </cell>
          <cell r="E1125" t="str">
            <v>76 H&amp;K USP9/40 PLN BLK</v>
          </cell>
          <cell r="F1125" t="str">
            <v>DG-POUCH-F1</v>
          </cell>
          <cell r="G1125" t="str">
            <v>1420-210-FG</v>
          </cell>
          <cell r="H1125" t="str">
            <v>R</v>
          </cell>
          <cell r="I1125" t="str">
            <v>06/04/2024</v>
          </cell>
          <cell r="J1125" t="str">
            <v>06/05/2024</v>
          </cell>
          <cell r="K1125" t="str">
            <v>06/20/2024</v>
          </cell>
          <cell r="L1125">
            <v>1</v>
          </cell>
          <cell r="M1125" t="str">
            <v>6/4/2024 2:10:53 PM</v>
          </cell>
          <cell r="N1125" t="str">
            <v>25</v>
          </cell>
          <cell r="O1125">
            <v>1</v>
          </cell>
          <cell r="P1125">
            <v>0.31</v>
          </cell>
        </row>
        <row r="1126">
          <cell r="A1126" t="str">
            <v>6724733</v>
          </cell>
          <cell r="B1126" t="str">
            <v>1198455</v>
          </cell>
          <cell r="C1126" t="str">
            <v>761-8-9</v>
          </cell>
          <cell r="D1126" t="str">
            <v>761</v>
          </cell>
          <cell r="E1126" t="str">
            <v>761 APX 6000 HI GLS BLK</v>
          </cell>
          <cell r="F1126" t="str">
            <v>DG-POUCH-F1</v>
          </cell>
          <cell r="G1126" t="str">
            <v>1420-210-FG</v>
          </cell>
          <cell r="H1126" t="str">
            <v>R</v>
          </cell>
          <cell r="I1126" t="str">
            <v>06/04/2024</v>
          </cell>
          <cell r="J1126" t="str">
            <v>06/05/2024</v>
          </cell>
          <cell r="K1126" t="str">
            <v>06/20/2024</v>
          </cell>
          <cell r="L1126">
            <v>2</v>
          </cell>
          <cell r="M1126" t="str">
            <v>6/5/2024 3:03:18 PM</v>
          </cell>
          <cell r="N1126" t="str">
            <v>25</v>
          </cell>
          <cell r="O1126">
            <v>2</v>
          </cell>
          <cell r="P1126">
            <v>0.37</v>
          </cell>
        </row>
        <row r="1127">
          <cell r="A1127" t="str">
            <v>6724435</v>
          </cell>
          <cell r="B1127" t="str">
            <v>1113812</v>
          </cell>
          <cell r="C1127" t="str">
            <v>77-83-13HS</v>
          </cell>
          <cell r="D1127" t="str">
            <v>77</v>
          </cell>
          <cell r="E1127" t="str">
            <v>77 GLOCK 17/22 STX TAC BLK</v>
          </cell>
          <cell r="F1127" t="str">
            <v>DG-POUCH-F1</v>
          </cell>
          <cell r="G1127" t="str">
            <v>1420-210-FG</v>
          </cell>
          <cell r="H1127" t="str">
            <v>R</v>
          </cell>
          <cell r="I1127" t="str">
            <v>06/04/2024</v>
          </cell>
          <cell r="J1127" t="str">
            <v>06/05/2024</v>
          </cell>
          <cell r="K1127" t="str">
            <v>06/20/2024</v>
          </cell>
          <cell r="L1127">
            <v>30</v>
          </cell>
          <cell r="M1127" t="str">
            <v>6/5/2024 3:08:12 PM</v>
          </cell>
          <cell r="N1127" t="str">
            <v>25</v>
          </cell>
          <cell r="O1127">
            <v>30</v>
          </cell>
          <cell r="P1127">
            <v>12.4</v>
          </cell>
        </row>
        <row r="1128">
          <cell r="A1128" t="str">
            <v>6727694</v>
          </cell>
          <cell r="B1128" t="str">
            <v>1137628</v>
          </cell>
          <cell r="C1128" t="str">
            <v>775-83-4</v>
          </cell>
          <cell r="D1128" t="str">
            <v>775</v>
          </cell>
          <cell r="E1128" t="str">
            <v>775 GLOCK 17/22 BSK BLK</v>
          </cell>
          <cell r="F1128" t="str">
            <v>DG-POUCH-F1</v>
          </cell>
          <cell r="G1128" t="str">
            <v>1420-210-FG</v>
          </cell>
          <cell r="H1128" t="str">
            <v>R</v>
          </cell>
          <cell r="I1128" t="str">
            <v>06/11/2024</v>
          </cell>
          <cell r="J1128" t="str">
            <v>06/11/2024</v>
          </cell>
          <cell r="K1128" t="str">
            <v>06/20/2024</v>
          </cell>
          <cell r="L1128">
            <v>75</v>
          </cell>
          <cell r="M1128" t="str">
            <v>6/11/2024 3:28:28 PM</v>
          </cell>
          <cell r="N1128" t="str">
            <v>25</v>
          </cell>
          <cell r="O1128">
            <v>75</v>
          </cell>
          <cell r="P1128">
            <v>27.47</v>
          </cell>
        </row>
        <row r="1129">
          <cell r="A1129" t="str">
            <v>6724553</v>
          </cell>
          <cell r="B1129" t="str">
            <v>1137630</v>
          </cell>
          <cell r="C1129" t="str">
            <v>775-83-23</v>
          </cell>
          <cell r="D1129" t="str">
            <v>775</v>
          </cell>
          <cell r="E1129" t="str">
            <v>775 GLOCK 17/22 STX TAC BLK</v>
          </cell>
          <cell r="F1129" t="str">
            <v>DG-POUCH-F1</v>
          </cell>
          <cell r="G1129" t="str">
            <v>1420-210-FG</v>
          </cell>
          <cell r="H1129" t="str">
            <v>R</v>
          </cell>
          <cell r="I1129" t="str">
            <v>06/04/2024</v>
          </cell>
          <cell r="J1129" t="str">
            <v>06/05/2024</v>
          </cell>
          <cell r="K1129" t="str">
            <v>06/20/2024</v>
          </cell>
          <cell r="L1129">
            <v>10</v>
          </cell>
          <cell r="M1129" t="str">
            <v>6/5/2024 3:08:12 PM</v>
          </cell>
          <cell r="N1129" t="str">
            <v>25</v>
          </cell>
          <cell r="O1129">
            <v>10</v>
          </cell>
          <cell r="P1129">
            <v>3.66</v>
          </cell>
        </row>
        <row r="1130">
          <cell r="A1130" t="str">
            <v>6724606</v>
          </cell>
          <cell r="B1130" t="str">
            <v>1137885</v>
          </cell>
          <cell r="C1130" t="str">
            <v>775-383-4</v>
          </cell>
          <cell r="D1130" t="str">
            <v>775</v>
          </cell>
          <cell r="E1130" t="str">
            <v>775 GLOCK 20/21 BSK BLK</v>
          </cell>
          <cell r="F1130" t="str">
            <v>DG-POUCH-F1</v>
          </cell>
          <cell r="G1130" t="str">
            <v>1420-210-FG</v>
          </cell>
          <cell r="H1130" t="str">
            <v>R</v>
          </cell>
          <cell r="I1130" t="str">
            <v>06/04/2024</v>
          </cell>
          <cell r="J1130" t="str">
            <v>06/05/2024</v>
          </cell>
          <cell r="K1130" t="str">
            <v>06/20/2024</v>
          </cell>
          <cell r="L1130">
            <v>10</v>
          </cell>
          <cell r="M1130" t="str">
            <v>6/5/2024 3:03:18 PM</v>
          </cell>
          <cell r="N1130" t="str">
            <v>25</v>
          </cell>
          <cell r="O1130">
            <v>10</v>
          </cell>
          <cell r="P1130">
            <v>3.66</v>
          </cell>
        </row>
        <row r="1131">
          <cell r="A1131" t="str">
            <v>6724775</v>
          </cell>
          <cell r="B1131" t="str">
            <v>1326856</v>
          </cell>
          <cell r="C1131" t="str">
            <v>775-058-2</v>
          </cell>
          <cell r="D1131" t="str">
            <v>775</v>
          </cell>
          <cell r="E1131" t="str">
            <v>775 STI 2011 17/21 ROUND PLN BLK</v>
          </cell>
          <cell r="F1131" t="str">
            <v>DG-POUCH-F1</v>
          </cell>
          <cell r="G1131" t="str">
            <v>1420-210-FG</v>
          </cell>
          <cell r="H1131" t="str">
            <v>R</v>
          </cell>
          <cell r="I1131" t="str">
            <v>06/04/2024</v>
          </cell>
          <cell r="J1131" t="str">
            <v>06/05/2024</v>
          </cell>
          <cell r="K1131" t="str">
            <v>06/20/2024</v>
          </cell>
          <cell r="L1131">
            <v>1</v>
          </cell>
          <cell r="M1131" t="str">
            <v>6/5/2024 3:03:18 PM</v>
          </cell>
          <cell r="N1131" t="str">
            <v>25</v>
          </cell>
          <cell r="O1131">
            <v>1</v>
          </cell>
          <cell r="P1131">
            <v>0.3</v>
          </cell>
        </row>
        <row r="1132">
          <cell r="A1132" t="str">
            <v>6724780</v>
          </cell>
          <cell r="B1132" t="str">
            <v>1326856</v>
          </cell>
          <cell r="C1132" t="str">
            <v>775-058-2</v>
          </cell>
          <cell r="D1132" t="str">
            <v>775</v>
          </cell>
          <cell r="E1132" t="str">
            <v>775 STI 2011 17/21 ROUND PLN BLK</v>
          </cell>
          <cell r="F1132" t="str">
            <v>DG-POUCH-F1</v>
          </cell>
          <cell r="G1132" t="str">
            <v>1420-210-FG</v>
          </cell>
          <cell r="H1132" t="str">
            <v>R</v>
          </cell>
          <cell r="I1132" t="str">
            <v>06/04/2024</v>
          </cell>
          <cell r="J1132" t="str">
            <v>06/05/2024</v>
          </cell>
          <cell r="K1132" t="str">
            <v>06/20/2024</v>
          </cell>
          <cell r="L1132">
            <v>1</v>
          </cell>
          <cell r="M1132" t="str">
            <v>6/5/2024 3:03:18 PM</v>
          </cell>
          <cell r="N1132" t="str">
            <v>25</v>
          </cell>
          <cell r="O1132">
            <v>1</v>
          </cell>
          <cell r="P1132">
            <v>0.3</v>
          </cell>
        </row>
        <row r="1133">
          <cell r="A1133" t="str">
            <v>6724607</v>
          </cell>
          <cell r="B1133" t="str">
            <v>1138060</v>
          </cell>
          <cell r="C1133" t="str">
            <v>78-383-13PBL</v>
          </cell>
          <cell r="D1133" t="str">
            <v>78</v>
          </cell>
          <cell r="E1133" t="str">
            <v>78 GLOCK 20/21 STX TAC BLK</v>
          </cell>
          <cell r="F1133" t="str">
            <v>DG-POUCH-F1</v>
          </cell>
          <cell r="G1133" t="str">
            <v>1420-210-FG</v>
          </cell>
          <cell r="H1133" t="str">
            <v>R</v>
          </cell>
          <cell r="I1133" t="str">
            <v>06/04/2024</v>
          </cell>
          <cell r="J1133" t="str">
            <v>06/05/2024</v>
          </cell>
          <cell r="K1133" t="str">
            <v>06/20/2024</v>
          </cell>
          <cell r="L1133">
            <v>1</v>
          </cell>
          <cell r="M1133" t="str">
            <v>6/5/2024 2:59:33 PM</v>
          </cell>
          <cell r="N1133" t="str">
            <v>25</v>
          </cell>
          <cell r="O1133">
            <v>1</v>
          </cell>
          <cell r="P1133">
            <v>0.41</v>
          </cell>
        </row>
        <row r="1134">
          <cell r="A1134" t="str">
            <v>6724656</v>
          </cell>
          <cell r="B1134" t="str">
            <v>1141940</v>
          </cell>
          <cell r="C1134" t="str">
            <v>79-83-23</v>
          </cell>
          <cell r="D1134" t="str">
            <v>79</v>
          </cell>
          <cell r="E1134" t="str">
            <v>79 GLOCK 17/22 STX TAC BLK</v>
          </cell>
          <cell r="F1134" t="str">
            <v>DG-POUCH-F1</v>
          </cell>
          <cell r="G1134" t="str">
            <v>1420-210-FG</v>
          </cell>
          <cell r="H1134" t="str">
            <v>R</v>
          </cell>
          <cell r="I1134" t="str">
            <v>06/04/2024</v>
          </cell>
          <cell r="J1134" t="str">
            <v>06/05/2024</v>
          </cell>
          <cell r="K1134" t="str">
            <v>06/20/2024</v>
          </cell>
          <cell r="L1134">
            <v>10</v>
          </cell>
          <cell r="M1134" t="str">
            <v>6/5/2024 3:08:12 PM</v>
          </cell>
          <cell r="N1134" t="str">
            <v>25</v>
          </cell>
          <cell r="O1134">
            <v>10</v>
          </cell>
          <cell r="P1134">
            <v>3.2</v>
          </cell>
        </row>
        <row r="1135">
          <cell r="A1135" t="str">
            <v>6726678</v>
          </cell>
          <cell r="B1135" t="str">
            <v>1016892</v>
          </cell>
          <cell r="C1135" t="str">
            <v>22186</v>
          </cell>
          <cell r="D1135" t="str">
            <v>7906</v>
          </cell>
          <cell r="E1135" t="str">
            <v>7906 BLT KPR ACE 4PK BLK PLN BR 2.25IN</v>
          </cell>
          <cell r="F1135" t="str">
            <v>BN-KEEPER</v>
          </cell>
          <cell r="G1135" t="str">
            <v>1420-210-FG</v>
          </cell>
          <cell r="H1135" t="str">
            <v>R</v>
          </cell>
          <cell r="I1135" t="str">
            <v>06/10/2024</v>
          </cell>
          <cell r="J1135" t="str">
            <v>06/10/2024</v>
          </cell>
          <cell r="K1135" t="str">
            <v>06/20/2024</v>
          </cell>
          <cell r="L1135">
            <v>25</v>
          </cell>
          <cell r="M1135" t="str">
            <v>6/11/2024 2:48:28 PM</v>
          </cell>
          <cell r="N1135" t="str">
            <v>25</v>
          </cell>
          <cell r="O1135">
            <v>25</v>
          </cell>
          <cell r="P1135">
            <v>2.76</v>
          </cell>
        </row>
        <row r="1136">
          <cell r="A1136" t="str">
            <v>6724969</v>
          </cell>
          <cell r="B1136" t="str">
            <v>1102680</v>
          </cell>
          <cell r="C1136" t="str">
            <v>87-40-6</v>
          </cell>
          <cell r="D1136" t="str">
            <v>87</v>
          </cell>
          <cell r="E1136" t="str">
            <v>87 SZ40 PLN BLK</v>
          </cell>
          <cell r="F1136" t="str">
            <v>DG-BELT</v>
          </cell>
          <cell r="G1136" t="str">
            <v>1420-210-FG</v>
          </cell>
          <cell r="H1136" t="str">
            <v>R</v>
          </cell>
          <cell r="I1136" t="str">
            <v>06/04/2024</v>
          </cell>
          <cell r="J1136" t="str">
            <v>06/05/2024</v>
          </cell>
          <cell r="K1136" t="str">
            <v>06/20/2024</v>
          </cell>
          <cell r="L1136">
            <v>20</v>
          </cell>
          <cell r="M1136" t="str">
            <v>6/5/2024 2:55:33 PM</v>
          </cell>
          <cell r="N1136" t="str">
            <v>25</v>
          </cell>
          <cell r="O1136">
            <v>20</v>
          </cell>
          <cell r="P1136">
            <v>7.68</v>
          </cell>
        </row>
        <row r="1137">
          <cell r="A1137" t="str">
            <v>6724966</v>
          </cell>
          <cell r="B1137" t="str">
            <v>1102307</v>
          </cell>
          <cell r="C1137" t="str">
            <v>875-36-8</v>
          </cell>
          <cell r="D1137" t="str">
            <v>875</v>
          </cell>
          <cell r="E1137" t="str">
            <v>875 SZ36 BSK BLK</v>
          </cell>
          <cell r="F1137" t="str">
            <v>DG-BELT</v>
          </cell>
          <cell r="G1137" t="str">
            <v>1420-210-FG</v>
          </cell>
          <cell r="H1137" t="str">
            <v>R</v>
          </cell>
          <cell r="I1137" t="str">
            <v>06/04/2024</v>
          </cell>
          <cell r="J1137" t="str">
            <v>06/05/2024</v>
          </cell>
          <cell r="K1137" t="str">
            <v>06/20/2024</v>
          </cell>
          <cell r="L1137">
            <v>5</v>
          </cell>
          <cell r="M1137" t="str">
            <v>6/5/2024 2:55:33 PM</v>
          </cell>
          <cell r="N1137" t="str">
            <v>25</v>
          </cell>
          <cell r="O1137">
            <v>5</v>
          </cell>
          <cell r="P1137">
            <v>2.2799999999999998</v>
          </cell>
        </row>
        <row r="1138">
          <cell r="A1138" t="str">
            <v>6724967</v>
          </cell>
          <cell r="B1138" t="str">
            <v>1102465</v>
          </cell>
          <cell r="C1138" t="str">
            <v>875-46-8</v>
          </cell>
          <cell r="D1138" t="str">
            <v>875</v>
          </cell>
          <cell r="E1138" t="str">
            <v>875 SZ46 BSK BLK</v>
          </cell>
          <cell r="F1138" t="str">
            <v>DG-BELT</v>
          </cell>
          <cell r="G1138" t="str">
            <v>1420-210-FG</v>
          </cell>
          <cell r="H1138" t="str">
            <v>R</v>
          </cell>
          <cell r="I1138" t="str">
            <v>06/04/2024</v>
          </cell>
          <cell r="J1138" t="str">
            <v>06/05/2024</v>
          </cell>
          <cell r="K1138" t="str">
            <v>06/20/2024</v>
          </cell>
          <cell r="L1138">
            <v>1</v>
          </cell>
          <cell r="M1138" t="str">
            <v>6/5/2024 2:55:33 PM</v>
          </cell>
          <cell r="N1138" t="str">
            <v>25</v>
          </cell>
          <cell r="O1138">
            <v>1</v>
          </cell>
          <cell r="P1138">
            <v>0.47</v>
          </cell>
        </row>
        <row r="1139">
          <cell r="A1139" t="str">
            <v>6726745</v>
          </cell>
          <cell r="B1139" t="str">
            <v>1101891</v>
          </cell>
          <cell r="C1139" t="str">
            <v>87V-44-8</v>
          </cell>
          <cell r="D1139" t="str">
            <v>87V</v>
          </cell>
          <cell r="E1139" t="str">
            <v>87V SZ44 BSK BLK</v>
          </cell>
          <cell r="F1139" t="str">
            <v>DG-BELT</v>
          </cell>
          <cell r="G1139" t="str">
            <v>1420-210-FG</v>
          </cell>
          <cell r="H1139" t="str">
            <v>R</v>
          </cell>
          <cell r="I1139" t="str">
            <v>06/10/2024</v>
          </cell>
          <cell r="J1139" t="str">
            <v>06/10/2024</v>
          </cell>
          <cell r="K1139" t="str">
            <v>06/20/2024</v>
          </cell>
          <cell r="L1139">
            <v>5</v>
          </cell>
          <cell r="M1139" t="str">
            <v>6/11/2024 3:02:21 PM</v>
          </cell>
          <cell r="N1139" t="str">
            <v>25</v>
          </cell>
          <cell r="O1139">
            <v>5</v>
          </cell>
          <cell r="P1139">
            <v>1.89</v>
          </cell>
        </row>
        <row r="1140">
          <cell r="A1140" t="str">
            <v>6724407</v>
          </cell>
          <cell r="B1140" t="str">
            <v>1103428</v>
          </cell>
          <cell r="C1140" t="str">
            <v>94-38-4</v>
          </cell>
          <cell r="D1140" t="str">
            <v>94</v>
          </cell>
          <cell r="E1140" t="str">
            <v>94 SZ38 BSK BLK</v>
          </cell>
          <cell r="F1140" t="str">
            <v>DG-BELT</v>
          </cell>
          <cell r="G1140" t="str">
            <v>1420-210-FG</v>
          </cell>
          <cell r="H1140" t="str">
            <v>R</v>
          </cell>
          <cell r="I1140" t="str">
            <v>06/04/2024</v>
          </cell>
          <cell r="J1140" t="str">
            <v>06/05/2024</v>
          </cell>
          <cell r="K1140" t="str">
            <v>06/20/2024</v>
          </cell>
          <cell r="L1140">
            <v>25</v>
          </cell>
          <cell r="M1140" t="str">
            <v>6/5/2024 2:55:33 PM</v>
          </cell>
          <cell r="N1140" t="str">
            <v>25</v>
          </cell>
          <cell r="O1140">
            <v>25</v>
          </cell>
          <cell r="P1140">
            <v>13.35</v>
          </cell>
        </row>
        <row r="1141">
          <cell r="A1141" t="str">
            <v>6724404</v>
          </cell>
          <cell r="B1141" t="str">
            <v>1103423</v>
          </cell>
          <cell r="C1141" t="str">
            <v>94-38-03</v>
          </cell>
          <cell r="D1141" t="str">
            <v>94</v>
          </cell>
          <cell r="E1141" t="str">
            <v>94 SZ38 BSK COR</v>
          </cell>
          <cell r="F1141" t="str">
            <v>DG-BELT</v>
          </cell>
          <cell r="G1141" t="str">
            <v>1420-210-FG</v>
          </cell>
          <cell r="H1141" t="str">
            <v>R</v>
          </cell>
          <cell r="I1141" t="str">
            <v>06/04/2024</v>
          </cell>
          <cell r="J1141" t="str">
            <v>06/05/2024</v>
          </cell>
          <cell r="K1141" t="str">
            <v>06/20/2024</v>
          </cell>
          <cell r="L1141">
            <v>1</v>
          </cell>
          <cell r="M1141" t="str">
            <v>6/5/2024 2:55:33 PM</v>
          </cell>
          <cell r="N1141" t="str">
            <v>25</v>
          </cell>
          <cell r="O1141">
            <v>1</v>
          </cell>
          <cell r="P1141">
            <v>0.54</v>
          </cell>
        </row>
        <row r="1142">
          <cell r="A1142" t="str">
            <v>6724414</v>
          </cell>
          <cell r="B1142" t="str">
            <v>1103431</v>
          </cell>
          <cell r="C1142" t="str">
            <v>94-40-03</v>
          </cell>
          <cell r="D1142" t="str">
            <v>94</v>
          </cell>
          <cell r="E1142" t="str">
            <v>94 SZ40 BSK COR</v>
          </cell>
          <cell r="F1142" t="str">
            <v>DG-BELT</v>
          </cell>
          <cell r="G1142" t="str">
            <v>1420-210-FG</v>
          </cell>
          <cell r="H1142" t="str">
            <v>R</v>
          </cell>
          <cell r="I1142" t="str">
            <v>06/04/2024</v>
          </cell>
          <cell r="J1142" t="str">
            <v>06/05/2024</v>
          </cell>
          <cell r="K1142" t="str">
            <v>06/20/2024</v>
          </cell>
          <cell r="L1142">
            <v>1</v>
          </cell>
          <cell r="M1142" t="str">
            <v>6/5/2024 2:55:33 PM</v>
          </cell>
          <cell r="N1142" t="str">
            <v>25</v>
          </cell>
          <cell r="O1142">
            <v>1</v>
          </cell>
          <cell r="P1142">
            <v>0.54</v>
          </cell>
        </row>
        <row r="1143">
          <cell r="A1143" t="str">
            <v>6724738</v>
          </cell>
          <cell r="B1143" t="str">
            <v>1099131</v>
          </cell>
          <cell r="C1143" t="str">
            <v>35-F21-13</v>
          </cell>
          <cell r="D1143" t="str">
            <v>35</v>
          </cell>
          <cell r="E1143" t="str">
            <v>BATON HOLDER</v>
          </cell>
          <cell r="F1143" t="str">
            <v>DG-POUCH-F1</v>
          </cell>
          <cell r="G1143" t="str">
            <v>1420-210-FG</v>
          </cell>
          <cell r="H1143" t="str">
            <v>R</v>
          </cell>
          <cell r="I1143" t="str">
            <v>06/04/2024</v>
          </cell>
          <cell r="J1143" t="str">
            <v>06/05/2024</v>
          </cell>
          <cell r="K1143" t="str">
            <v>06/20/2024</v>
          </cell>
          <cell r="L1143">
            <v>30</v>
          </cell>
          <cell r="M1143" t="str">
            <v>6/5/2024 2:59:33 PM</v>
          </cell>
          <cell r="N1143" t="str">
            <v>25</v>
          </cell>
          <cell r="O1143">
            <v>30</v>
          </cell>
          <cell r="P1143">
            <v>13.45</v>
          </cell>
        </row>
        <row r="1144">
          <cell r="A1144" t="str">
            <v>6724759</v>
          </cell>
          <cell r="B1144" t="str">
            <v>1099134</v>
          </cell>
          <cell r="C1144" t="str">
            <v>35-F21-23</v>
          </cell>
          <cell r="D1144" t="str">
            <v>35</v>
          </cell>
          <cell r="E1144" t="str">
            <v>BATON HOLDER</v>
          </cell>
          <cell r="F1144" t="str">
            <v>DG-POUCH-F1</v>
          </cell>
          <cell r="G1144" t="str">
            <v>1420-210-FG</v>
          </cell>
          <cell r="H1144" t="str">
            <v>R</v>
          </cell>
          <cell r="I1144" t="str">
            <v>06/04/2024</v>
          </cell>
          <cell r="J1144" t="str">
            <v>06/05/2024</v>
          </cell>
          <cell r="K1144" t="str">
            <v>06/20/2024</v>
          </cell>
          <cell r="L1144">
            <v>15</v>
          </cell>
          <cell r="M1144" t="str">
            <v>6/5/2024 2:59:33 PM</v>
          </cell>
          <cell r="N1144" t="str">
            <v>25</v>
          </cell>
          <cell r="O1144">
            <v>15</v>
          </cell>
          <cell r="P1144">
            <v>6.9</v>
          </cell>
        </row>
        <row r="1145">
          <cell r="A1145" t="str">
            <v>6724686</v>
          </cell>
          <cell r="B1145" t="str">
            <v>1155414</v>
          </cell>
          <cell r="C1145" t="str">
            <v>35-F26-23-MS36</v>
          </cell>
          <cell r="D1145" t="str">
            <v>35</v>
          </cell>
          <cell r="E1145" t="str">
            <v>BATON HOLDER</v>
          </cell>
          <cell r="F1145" t="str">
            <v>DG-POUCH-F1</v>
          </cell>
          <cell r="G1145" t="str">
            <v>1420-210-FG</v>
          </cell>
          <cell r="H1145" t="str">
            <v>R</v>
          </cell>
          <cell r="I1145" t="str">
            <v>06/04/2024</v>
          </cell>
          <cell r="J1145" t="str">
            <v>06/05/2024</v>
          </cell>
          <cell r="K1145" t="str">
            <v>06/20/2024</v>
          </cell>
          <cell r="L1145">
            <v>1</v>
          </cell>
          <cell r="M1145" t="str">
            <v>6/5/2024 3:03:18 PM</v>
          </cell>
          <cell r="N1145" t="str">
            <v>25</v>
          </cell>
          <cell r="O1145">
            <v>1</v>
          </cell>
          <cell r="P1145">
            <v>0.48</v>
          </cell>
        </row>
        <row r="1146">
          <cell r="A1146" t="str">
            <v>6724440</v>
          </cell>
          <cell r="B1146" t="str">
            <v>1117950</v>
          </cell>
          <cell r="C1146" t="str">
            <v>35-F26-41</v>
          </cell>
          <cell r="D1146" t="str">
            <v>35</v>
          </cell>
          <cell r="E1146" t="str">
            <v>BATON HOLDER</v>
          </cell>
          <cell r="F1146" t="str">
            <v>DG-POUCH-F1</v>
          </cell>
          <cell r="G1146" t="str">
            <v>1420-210-FG</v>
          </cell>
          <cell r="H1146" t="str">
            <v>R</v>
          </cell>
          <cell r="I1146" t="str">
            <v>06/04/2024</v>
          </cell>
          <cell r="J1146" t="str">
            <v>06/05/2024</v>
          </cell>
          <cell r="K1146" t="str">
            <v>06/20/2024</v>
          </cell>
          <cell r="L1146">
            <v>10</v>
          </cell>
          <cell r="M1146" t="str">
            <v>6/5/2024 3:03:18 PM</v>
          </cell>
          <cell r="N1146" t="str">
            <v>25</v>
          </cell>
          <cell r="O1146">
            <v>10</v>
          </cell>
          <cell r="P1146">
            <v>3.27</v>
          </cell>
        </row>
        <row r="1147">
          <cell r="A1147" t="str">
            <v>6724791</v>
          </cell>
          <cell r="B1147" t="str">
            <v>1099202</v>
          </cell>
          <cell r="C1147" t="str">
            <v>35-F26-9</v>
          </cell>
          <cell r="D1147" t="str">
            <v>35</v>
          </cell>
          <cell r="E1147" t="str">
            <v>BATON HOLDER</v>
          </cell>
          <cell r="F1147" t="str">
            <v>DG-POUCH-F1</v>
          </cell>
          <cell r="G1147" t="str">
            <v>1420-210-FG</v>
          </cell>
          <cell r="H1147" t="str">
            <v>R</v>
          </cell>
          <cell r="I1147" t="str">
            <v>06/04/2024</v>
          </cell>
          <cell r="J1147" t="str">
            <v>06/05/2024</v>
          </cell>
          <cell r="K1147" t="str">
            <v>06/20/2024</v>
          </cell>
          <cell r="L1147">
            <v>5</v>
          </cell>
          <cell r="M1147" t="str">
            <v>6/5/2024 3:03:18 PM</v>
          </cell>
          <cell r="N1147" t="str">
            <v>25</v>
          </cell>
          <cell r="O1147">
            <v>5</v>
          </cell>
          <cell r="P1147">
            <v>1.93</v>
          </cell>
        </row>
        <row r="1148">
          <cell r="A1148" t="str">
            <v>6724431</v>
          </cell>
          <cell r="B1148" t="str">
            <v>1103609</v>
          </cell>
          <cell r="C1148" t="str">
            <v>P-2200</v>
          </cell>
          <cell r="D1148" t="str">
            <v>P</v>
          </cell>
          <cell r="E1148" t="str">
            <v>BELT LOOP INSERT ADAPTER</v>
          </cell>
          <cell r="F1148" t="str">
            <v>DG-MISC</v>
          </cell>
          <cell r="G1148" t="str">
            <v>1420-210-FG</v>
          </cell>
          <cell r="H1148" t="str">
            <v>R</v>
          </cell>
          <cell r="I1148" t="str">
            <v>06/04/2024</v>
          </cell>
          <cell r="J1148" t="str">
            <v>06/05/2024</v>
          </cell>
          <cell r="K1148" t="str">
            <v>06/20/2024</v>
          </cell>
          <cell r="L1148">
            <v>30</v>
          </cell>
          <cell r="M1148" t="str">
            <v>6/5/2024 2:57:25 PM</v>
          </cell>
          <cell r="N1148" t="str">
            <v>25</v>
          </cell>
          <cell r="O1148">
            <v>30</v>
          </cell>
          <cell r="P1148">
            <v>0.19</v>
          </cell>
        </row>
        <row r="1149">
          <cell r="A1149" t="str">
            <v>6728606</v>
          </cell>
          <cell r="B1149" t="str">
            <v>1015414</v>
          </cell>
          <cell r="C1149" t="str">
            <v>12839</v>
          </cell>
          <cell r="D1149" t="str">
            <v>5</v>
          </cell>
          <cell r="E1149" t="str">
            <v>BLACK WIDOW TAN RH S-W 19IN KIN 2-4IN</v>
          </cell>
          <cell r="F1149" t="str">
            <v>BN-LEATHER</v>
          </cell>
          <cell r="G1149" t="str">
            <v>1420-210-FG</v>
          </cell>
          <cell r="H1149" t="str">
            <v>R</v>
          </cell>
          <cell r="I1149" t="str">
            <v>06/12/2024</v>
          </cell>
          <cell r="J1149" t="str">
            <v>06/12/2024</v>
          </cell>
          <cell r="K1149" t="str">
            <v>06/20/2024</v>
          </cell>
          <cell r="L1149">
            <v>5</v>
          </cell>
          <cell r="M1149" t="str">
            <v>6/12/2024 11:10:24 AM</v>
          </cell>
          <cell r="N1149" t="str">
            <v>25</v>
          </cell>
          <cell r="O1149">
            <v>5</v>
          </cell>
          <cell r="P1149">
            <v>1.98</v>
          </cell>
        </row>
        <row r="1150">
          <cell r="A1150" t="str">
            <v>6724970</v>
          </cell>
          <cell r="B1150" t="str">
            <v>1103072</v>
          </cell>
          <cell r="C1150" t="str">
            <v>B-602B</v>
          </cell>
          <cell r="D1150" t="str">
            <v>BUCKLE</v>
          </cell>
          <cell r="E1150" t="str">
            <v>BUCKLE SAM 2.25 BRASS</v>
          </cell>
          <cell r="F1150" t="str">
            <v>DG-MISC</v>
          </cell>
          <cell r="G1150" t="str">
            <v>1420-210-FG</v>
          </cell>
          <cell r="H1150" t="str">
            <v>R</v>
          </cell>
          <cell r="I1150" t="str">
            <v>06/04/2024</v>
          </cell>
          <cell r="J1150" t="str">
            <v>06/05/2024</v>
          </cell>
          <cell r="K1150" t="str">
            <v>06/20/2024</v>
          </cell>
          <cell r="L1150">
            <v>100</v>
          </cell>
          <cell r="M1150" t="str">
            <v>6/5/2024 2:57:25 PM</v>
          </cell>
          <cell r="N1150" t="str">
            <v>25</v>
          </cell>
          <cell r="O1150">
            <v>100</v>
          </cell>
          <cell r="P1150">
            <v>1.24</v>
          </cell>
        </row>
        <row r="1151">
          <cell r="A1151" t="str">
            <v>6724450</v>
          </cell>
          <cell r="B1151" t="str">
            <v>1020932</v>
          </cell>
          <cell r="C1151" t="str">
            <v>90087</v>
          </cell>
          <cell r="D1151" t="str">
            <v>BUCKLE</v>
          </cell>
          <cell r="E1151" t="str">
            <v>BUCKLE SAM BROWNE CHROME179702A</v>
          </cell>
          <cell r="F1151" t="str">
            <v>DG-MISC</v>
          </cell>
          <cell r="G1151" t="str">
            <v>1420-210-FG</v>
          </cell>
          <cell r="H1151" t="str">
            <v>R</v>
          </cell>
          <cell r="I1151" t="str">
            <v>06/04/2024</v>
          </cell>
          <cell r="J1151" t="str">
            <v>06/05/2024</v>
          </cell>
          <cell r="K1151" t="str">
            <v>06/20/2024</v>
          </cell>
          <cell r="L1151">
            <v>5</v>
          </cell>
          <cell r="M1151" t="str">
            <v>6/5/2024 2:57:25 PM</v>
          </cell>
          <cell r="N1151" t="str">
            <v>25</v>
          </cell>
          <cell r="O1151">
            <v>5</v>
          </cell>
          <cell r="P1151">
            <v>0.04</v>
          </cell>
        </row>
        <row r="1152">
          <cell r="A1152" t="str">
            <v>6724438</v>
          </cell>
          <cell r="B1152" t="str">
            <v>1020928</v>
          </cell>
          <cell r="C1152" t="str">
            <v>90081</v>
          </cell>
          <cell r="D1152" t="str">
            <v>BUCKLE</v>
          </cell>
          <cell r="E1152" t="str">
            <v>BUCKLE SAM BROWNE ELITE BRASS (179721)</v>
          </cell>
          <cell r="F1152" t="str">
            <v>DG-MISC</v>
          </cell>
          <cell r="G1152" t="str">
            <v>1420-210-FG</v>
          </cell>
          <cell r="H1152" t="str">
            <v>R</v>
          </cell>
          <cell r="I1152" t="str">
            <v>06/04/2024</v>
          </cell>
          <cell r="J1152" t="str">
            <v>06/05/2024</v>
          </cell>
          <cell r="K1152" t="str">
            <v>06/20/2024</v>
          </cell>
          <cell r="L1152">
            <v>10</v>
          </cell>
          <cell r="M1152" t="str">
            <v>6/5/2024 2:57:25 PM</v>
          </cell>
          <cell r="N1152" t="str">
            <v>25</v>
          </cell>
          <cell r="O1152">
            <v>10</v>
          </cell>
          <cell r="P1152">
            <v>0.08</v>
          </cell>
        </row>
        <row r="1153">
          <cell r="A1153" t="str">
            <v>6724443</v>
          </cell>
          <cell r="B1153" t="str">
            <v>1020929</v>
          </cell>
          <cell r="C1153" t="str">
            <v>90082</v>
          </cell>
          <cell r="D1153" t="str">
            <v>BUCKLE</v>
          </cell>
          <cell r="E1153" t="str">
            <v>BUCKLE SAM BROWNE ELITE CHROME (179720)</v>
          </cell>
          <cell r="F1153" t="str">
            <v>DG-MISC</v>
          </cell>
          <cell r="G1153" t="str">
            <v>1420-210-FG</v>
          </cell>
          <cell r="H1153" t="str">
            <v>R</v>
          </cell>
          <cell r="I1153" t="str">
            <v>06/04/2024</v>
          </cell>
          <cell r="J1153" t="str">
            <v>06/05/2024</v>
          </cell>
          <cell r="K1153" t="str">
            <v>06/20/2024</v>
          </cell>
          <cell r="L1153">
            <v>6</v>
          </cell>
          <cell r="M1153" t="str">
            <v>6/5/2024 2:57:25 PM</v>
          </cell>
          <cell r="N1153" t="str">
            <v>25</v>
          </cell>
          <cell r="O1153">
            <v>6</v>
          </cell>
          <cell r="P1153">
            <v>0.05</v>
          </cell>
        </row>
        <row r="1154">
          <cell r="A1154" t="str">
            <v>6724368</v>
          </cell>
          <cell r="B1154" t="str">
            <v>1103416</v>
          </cell>
          <cell r="C1154" t="str">
            <v>J-GL8C</v>
          </cell>
          <cell r="D1154" t="str">
            <v>J</v>
          </cell>
          <cell r="E1154" t="str">
            <v>COMP II SPEEDLOADER</v>
          </cell>
          <cell r="F1154" t="str">
            <v>DG-MISC</v>
          </cell>
          <cell r="G1154" t="str">
            <v>1420-210-FG</v>
          </cell>
          <cell r="H1154" t="str">
            <v>R</v>
          </cell>
          <cell r="I1154" t="str">
            <v>06/04/2024</v>
          </cell>
          <cell r="J1154" t="str">
            <v>06/05/2024</v>
          </cell>
          <cell r="K1154" t="str">
            <v>06/20/2024</v>
          </cell>
          <cell r="L1154">
            <v>100</v>
          </cell>
          <cell r="M1154" t="str">
            <v>6/5/2024 2:57:25 PM</v>
          </cell>
          <cell r="N1154" t="str">
            <v>25</v>
          </cell>
          <cell r="O1154">
            <v>100</v>
          </cell>
          <cell r="P1154">
            <v>1.67</v>
          </cell>
        </row>
        <row r="1155">
          <cell r="A1155" t="str">
            <v>6724395</v>
          </cell>
          <cell r="B1155" t="str">
            <v>1103418</v>
          </cell>
          <cell r="C1155" t="str">
            <v>J-K2C</v>
          </cell>
          <cell r="D1155" t="str">
            <v>J</v>
          </cell>
          <cell r="E1155" t="str">
            <v>COMP II SPEEDLOADER</v>
          </cell>
          <cell r="F1155" t="str">
            <v>DG-MISC</v>
          </cell>
          <cell r="G1155" t="str">
            <v>1420-210-FG</v>
          </cell>
          <cell r="H1155" t="str">
            <v>R</v>
          </cell>
          <cell r="I1155" t="str">
            <v>06/04/2024</v>
          </cell>
          <cell r="J1155" t="str">
            <v>06/05/2024</v>
          </cell>
          <cell r="K1155" t="str">
            <v>06/20/2024</v>
          </cell>
          <cell r="L1155">
            <v>175</v>
          </cell>
          <cell r="M1155" t="str">
            <v>6/5/2024 2:57:25 PM</v>
          </cell>
          <cell r="N1155" t="str">
            <v>25</v>
          </cell>
          <cell r="O1155">
            <v>175</v>
          </cell>
          <cell r="P1155">
            <v>2.92</v>
          </cell>
        </row>
        <row r="1156">
          <cell r="A1156" t="str">
            <v>6724396</v>
          </cell>
          <cell r="B1156" t="str">
            <v>1103418</v>
          </cell>
          <cell r="C1156" t="str">
            <v>J-K2C</v>
          </cell>
          <cell r="D1156" t="str">
            <v>J</v>
          </cell>
          <cell r="E1156" t="str">
            <v>COMP II SPEEDLOADER</v>
          </cell>
          <cell r="F1156" t="str">
            <v>DG-MISC</v>
          </cell>
          <cell r="G1156" t="str">
            <v>1420-210-FG</v>
          </cell>
          <cell r="H1156" t="str">
            <v>R</v>
          </cell>
          <cell r="I1156" t="str">
            <v>06/04/2024</v>
          </cell>
          <cell r="J1156" t="str">
            <v>06/05/2024</v>
          </cell>
          <cell r="K1156" t="str">
            <v>06/20/2024</v>
          </cell>
          <cell r="L1156">
            <v>175</v>
          </cell>
          <cell r="M1156" t="str">
            <v>6/5/2024 2:57:25 PM</v>
          </cell>
          <cell r="N1156" t="str">
            <v>25</v>
          </cell>
          <cell r="O1156">
            <v>175</v>
          </cell>
          <cell r="P1156">
            <v>2.92</v>
          </cell>
        </row>
        <row r="1157">
          <cell r="A1157" t="str">
            <v>6724397</v>
          </cell>
          <cell r="B1157" t="str">
            <v>1103418</v>
          </cell>
          <cell r="C1157" t="str">
            <v>J-K2C</v>
          </cell>
          <cell r="D1157" t="str">
            <v>J</v>
          </cell>
          <cell r="E1157" t="str">
            <v>COMP II SPEEDLOADER</v>
          </cell>
          <cell r="F1157" t="str">
            <v>DG-MISC</v>
          </cell>
          <cell r="G1157" t="str">
            <v>1420-210-FG</v>
          </cell>
          <cell r="H1157" t="str">
            <v>R</v>
          </cell>
          <cell r="I1157" t="str">
            <v>06/04/2024</v>
          </cell>
          <cell r="J1157" t="str">
            <v>06/05/2024</v>
          </cell>
          <cell r="K1157" t="str">
            <v>06/20/2024</v>
          </cell>
          <cell r="L1157">
            <v>175</v>
          </cell>
          <cell r="M1157" t="str">
            <v>6/5/2024 2:57:25 PM</v>
          </cell>
          <cell r="N1157" t="str">
            <v>25</v>
          </cell>
          <cell r="O1157">
            <v>175</v>
          </cell>
          <cell r="P1157">
            <v>2.92</v>
          </cell>
        </row>
        <row r="1158">
          <cell r="A1158" t="str">
            <v>6724398</v>
          </cell>
          <cell r="B1158" t="str">
            <v>1103418</v>
          </cell>
          <cell r="C1158" t="str">
            <v>J-K2C</v>
          </cell>
          <cell r="D1158" t="str">
            <v>J</v>
          </cell>
          <cell r="E1158" t="str">
            <v>COMP II SPEEDLOADER</v>
          </cell>
          <cell r="F1158" t="str">
            <v>DG-MISC</v>
          </cell>
          <cell r="G1158" t="str">
            <v>1420-210-FG</v>
          </cell>
          <cell r="H1158" t="str">
            <v>R</v>
          </cell>
          <cell r="I1158" t="str">
            <v>06/04/2024</v>
          </cell>
          <cell r="J1158" t="str">
            <v>06/05/2024</v>
          </cell>
          <cell r="K1158" t="str">
            <v>06/20/2024</v>
          </cell>
          <cell r="L1158">
            <v>175</v>
          </cell>
          <cell r="M1158" t="str">
            <v>6/5/2024 2:57:25 PM</v>
          </cell>
          <cell r="N1158" t="str">
            <v>25</v>
          </cell>
          <cell r="O1158">
            <v>175</v>
          </cell>
          <cell r="P1158">
            <v>2.92</v>
          </cell>
        </row>
        <row r="1159">
          <cell r="A1159" t="str">
            <v>6724402</v>
          </cell>
          <cell r="B1159" t="str">
            <v>1103418</v>
          </cell>
          <cell r="C1159" t="str">
            <v>J-K2C</v>
          </cell>
          <cell r="D1159" t="str">
            <v>J</v>
          </cell>
          <cell r="E1159" t="str">
            <v>COMP II SPEEDLOADER</v>
          </cell>
          <cell r="F1159" t="str">
            <v>DG-MISC</v>
          </cell>
          <cell r="G1159" t="str">
            <v>1420-210-FG</v>
          </cell>
          <cell r="H1159" t="str">
            <v>R</v>
          </cell>
          <cell r="I1159" t="str">
            <v>06/04/2024</v>
          </cell>
          <cell r="J1159" t="str">
            <v>06/05/2024</v>
          </cell>
          <cell r="K1159" t="str">
            <v>06/20/2024</v>
          </cell>
          <cell r="L1159">
            <v>175</v>
          </cell>
          <cell r="M1159" t="str">
            <v>6/5/2024 2:57:25 PM</v>
          </cell>
          <cell r="N1159" t="str">
            <v>25</v>
          </cell>
          <cell r="O1159">
            <v>175</v>
          </cell>
          <cell r="P1159">
            <v>2.92</v>
          </cell>
        </row>
        <row r="1160">
          <cell r="A1160" t="str">
            <v>6724374</v>
          </cell>
          <cell r="B1160" t="str">
            <v>1103417</v>
          </cell>
          <cell r="C1160" t="str">
            <v>J-GL8S</v>
          </cell>
          <cell r="D1160" t="str">
            <v>J</v>
          </cell>
          <cell r="E1160" t="str">
            <v>COMP III SPEEDLOADER</v>
          </cell>
          <cell r="F1160" t="str">
            <v>DG-MISC</v>
          </cell>
          <cell r="G1160" t="str">
            <v>1420-210-FG</v>
          </cell>
          <cell r="H1160" t="str">
            <v>R</v>
          </cell>
          <cell r="I1160" t="str">
            <v>06/04/2024</v>
          </cell>
          <cell r="J1160" t="str">
            <v>06/05/2024</v>
          </cell>
          <cell r="K1160" t="str">
            <v>06/20/2024</v>
          </cell>
          <cell r="L1160">
            <v>50</v>
          </cell>
          <cell r="M1160" t="str">
            <v>6/5/2024 2:57:25 PM</v>
          </cell>
          <cell r="N1160" t="str">
            <v>25</v>
          </cell>
          <cell r="O1160">
            <v>50</v>
          </cell>
          <cell r="P1160">
            <v>0.84</v>
          </cell>
        </row>
        <row r="1161">
          <cell r="A1161" t="str">
            <v>6724748</v>
          </cell>
          <cell r="B1161" t="str">
            <v>1323421</v>
          </cell>
          <cell r="C1161" t="str">
            <v>J-GL8S-NP</v>
          </cell>
          <cell r="D1161" t="str">
            <v>J</v>
          </cell>
          <cell r="E1161" t="str">
            <v>COMP III SPEEDLOADER</v>
          </cell>
          <cell r="F1161" t="str">
            <v>DG-MISC</v>
          </cell>
          <cell r="G1161" t="str">
            <v>1420-210-FG</v>
          </cell>
          <cell r="H1161" t="str">
            <v>R</v>
          </cell>
          <cell r="I1161" t="str">
            <v>06/04/2024</v>
          </cell>
          <cell r="J1161" t="str">
            <v>06/05/2024</v>
          </cell>
          <cell r="K1161" t="str">
            <v>06/20/2024</v>
          </cell>
          <cell r="L1161">
            <v>10</v>
          </cell>
          <cell r="M1161" t="str">
            <v>6/5/2024 2:57:25 PM</v>
          </cell>
          <cell r="N1161" t="str">
            <v>25</v>
          </cell>
          <cell r="O1161">
            <v>10</v>
          </cell>
          <cell r="P1161">
            <v>0.17</v>
          </cell>
        </row>
        <row r="1162">
          <cell r="A1162" t="str">
            <v>6728610</v>
          </cell>
          <cell r="B1162" t="str">
            <v>1015705</v>
          </cell>
          <cell r="C1162" t="str">
            <v>12674</v>
          </cell>
          <cell r="D1162" t="str">
            <v>111</v>
          </cell>
          <cell r="E1162" t="str">
            <v>CYCLONE TAN RH S-W 36 2INREV</v>
          </cell>
          <cell r="F1162" t="str">
            <v>BN-LEATHER</v>
          </cell>
          <cell r="G1162" t="str">
            <v>1420-210-FG</v>
          </cell>
          <cell r="H1162" t="str">
            <v>R</v>
          </cell>
          <cell r="I1162" t="str">
            <v>06/12/2024</v>
          </cell>
          <cell r="J1162" t="str">
            <v>06/12/2024</v>
          </cell>
          <cell r="K1162" t="str">
            <v>06/20/2024</v>
          </cell>
          <cell r="L1162">
            <v>5</v>
          </cell>
          <cell r="M1162" t="str">
            <v>6/12/2024 11:10:36 AM</v>
          </cell>
          <cell r="N1162" t="str">
            <v>25</v>
          </cell>
          <cell r="O1162">
            <v>5</v>
          </cell>
          <cell r="P1162">
            <v>3.8</v>
          </cell>
        </row>
        <row r="1163">
          <cell r="A1163" t="str">
            <v>6727558</v>
          </cell>
          <cell r="B1163" t="str">
            <v>1029251</v>
          </cell>
          <cell r="C1163" t="str">
            <v>12680</v>
          </cell>
          <cell r="D1163" t="str">
            <v>111</v>
          </cell>
          <cell r="E1163" t="str">
            <v>CYCLONE TAN RH S-W IN KIN 6IN REV</v>
          </cell>
          <cell r="F1163" t="str">
            <v>BN-LEATHER</v>
          </cell>
          <cell r="G1163" t="str">
            <v>1420-210-FG</v>
          </cell>
          <cell r="H1163" t="str">
            <v>R</v>
          </cell>
          <cell r="I1163" t="str">
            <v>06/11/2024</v>
          </cell>
          <cell r="J1163" t="str">
            <v>06/11/2024</v>
          </cell>
          <cell r="K1163" t="str">
            <v>06/20/2024</v>
          </cell>
          <cell r="L1163">
            <v>10</v>
          </cell>
          <cell r="M1163" t="str">
            <v>6/11/2024 2:54:07 PM</v>
          </cell>
          <cell r="N1163" t="str">
            <v>25</v>
          </cell>
          <cell r="O1163">
            <v>10</v>
          </cell>
          <cell r="P1163">
            <v>7.61</v>
          </cell>
        </row>
        <row r="1164">
          <cell r="A1164" t="str">
            <v>6724630</v>
          </cell>
          <cell r="B1164" t="str">
            <v>1139607</v>
          </cell>
          <cell r="C1164" t="str">
            <v>290H-1-2HS</v>
          </cell>
          <cell r="D1164" t="str">
            <v>290H</v>
          </cell>
          <cell r="E1164" t="str">
            <v>DOUBLE HANDCUFF POUCH</v>
          </cell>
          <cell r="F1164" t="str">
            <v>DG-POUCH-F1</v>
          </cell>
          <cell r="G1164" t="str">
            <v>1420-210-FG</v>
          </cell>
          <cell r="H1164" t="str">
            <v>R</v>
          </cell>
          <cell r="I1164" t="str">
            <v>06/04/2024</v>
          </cell>
          <cell r="J1164" t="str">
            <v>06/05/2024</v>
          </cell>
          <cell r="K1164" t="str">
            <v>06/20/2024</v>
          </cell>
          <cell r="L1164">
            <v>5</v>
          </cell>
          <cell r="M1164" t="str">
            <v>6/5/2024 3:03:18 PM</v>
          </cell>
          <cell r="N1164" t="str">
            <v>25</v>
          </cell>
          <cell r="O1164">
            <v>5</v>
          </cell>
          <cell r="P1164">
            <v>2.11</v>
          </cell>
        </row>
        <row r="1165">
          <cell r="A1165" t="str">
            <v>6728880</v>
          </cell>
          <cell r="B1165" t="str">
            <v>1167165</v>
          </cell>
          <cell r="C1165" t="str">
            <v>MH6005-10-BLK</v>
          </cell>
          <cell r="D1165" t="str">
            <v>MH6005</v>
          </cell>
          <cell r="E1165" t="str">
            <v>DTCBL HRNSS /SNGL ELSTC FOR 6005-10 BKA</v>
          </cell>
          <cell r="F1165" t="str">
            <v>DG-HARNESS</v>
          </cell>
          <cell r="G1165" t="str">
            <v>1420-210-SB</v>
          </cell>
          <cell r="H1165" t="str">
            <v>R</v>
          </cell>
          <cell r="I1165" t="str">
            <v>06/13/2024</v>
          </cell>
          <cell r="J1165" t="str">
            <v>06/13/2024</v>
          </cell>
          <cell r="K1165" t="str">
            <v>06/20/2024</v>
          </cell>
          <cell r="L1165">
            <v>6</v>
          </cell>
          <cell r="M1165" t="str">
            <v>6/13/2024 8:41:11 AM</v>
          </cell>
          <cell r="N1165" t="str">
            <v>25</v>
          </cell>
          <cell r="O1165">
            <v>6</v>
          </cell>
          <cell r="P1165">
            <v>0.85</v>
          </cell>
        </row>
        <row r="1166">
          <cell r="A1166" t="str">
            <v>6728882</v>
          </cell>
          <cell r="B1166" t="str">
            <v>1167165</v>
          </cell>
          <cell r="C1166" t="str">
            <v>MH6005-10-BLK</v>
          </cell>
          <cell r="D1166" t="str">
            <v>MH6005</v>
          </cell>
          <cell r="E1166" t="str">
            <v>DTCBL HRNSS /SNGL ELSTC FOR 6005-10 BKA</v>
          </cell>
          <cell r="F1166" t="str">
            <v>DG-HARNESS</v>
          </cell>
          <cell r="G1166" t="str">
            <v>1420-210-SB</v>
          </cell>
          <cell r="H1166" t="str">
            <v>R</v>
          </cell>
          <cell r="I1166" t="str">
            <v>06/13/2024</v>
          </cell>
          <cell r="J1166" t="str">
            <v>06/13/2024</v>
          </cell>
          <cell r="K1166" t="str">
            <v>06/20/2024</v>
          </cell>
          <cell r="L1166">
            <v>94</v>
          </cell>
          <cell r="M1166" t="str">
            <v>6/13/2024 8:41:26 AM</v>
          </cell>
          <cell r="N1166" t="str">
            <v>25</v>
          </cell>
          <cell r="O1166">
            <v>94</v>
          </cell>
          <cell r="P1166">
            <v>13.34</v>
          </cell>
        </row>
        <row r="1167">
          <cell r="A1167" t="str">
            <v>6724366</v>
          </cell>
          <cell r="B1167" t="str">
            <v>1103353</v>
          </cell>
          <cell r="C1167" t="str">
            <v>99-3-22</v>
          </cell>
          <cell r="D1167" t="str">
            <v>99</v>
          </cell>
          <cell r="E1167" t="str">
            <v>DUTY BELTBUCKLELESS</v>
          </cell>
          <cell r="F1167" t="str">
            <v>DG-BELT</v>
          </cell>
          <cell r="G1167" t="str">
            <v>1420-210-FG</v>
          </cell>
          <cell r="H1167" t="str">
            <v>R</v>
          </cell>
          <cell r="I1167" t="str">
            <v>06/04/2024</v>
          </cell>
          <cell r="J1167" t="str">
            <v>06/05/2024</v>
          </cell>
          <cell r="K1167" t="str">
            <v>06/20/2024</v>
          </cell>
          <cell r="L1167">
            <v>10</v>
          </cell>
          <cell r="M1167" t="str">
            <v>6/5/2024 2:55:33 PM</v>
          </cell>
          <cell r="N1167" t="str">
            <v>25</v>
          </cell>
          <cell r="O1167">
            <v>10</v>
          </cell>
          <cell r="P1167">
            <v>2.92</v>
          </cell>
        </row>
        <row r="1168">
          <cell r="A1168" t="str">
            <v>6724701</v>
          </cell>
          <cell r="B1168" t="str">
            <v>1155790</v>
          </cell>
          <cell r="C1168" t="str">
            <v>35-F21-23-MS36</v>
          </cell>
          <cell r="D1168" t="str">
            <v>35</v>
          </cell>
          <cell r="E1168" t="str">
            <v>EXPANDLE BATON</v>
          </cell>
          <cell r="F1168" t="str">
            <v>DG-POUCH-F1</v>
          </cell>
          <cell r="G1168" t="str">
            <v>1420-210-FG</v>
          </cell>
          <cell r="H1168" t="str">
            <v>R</v>
          </cell>
          <cell r="I1168" t="str">
            <v>06/04/2024</v>
          </cell>
          <cell r="J1168" t="str">
            <v>06/05/2024</v>
          </cell>
          <cell r="K1168" t="str">
            <v>06/20/2024</v>
          </cell>
          <cell r="L1168">
            <v>1</v>
          </cell>
          <cell r="M1168" t="str">
            <v>6/6/2024 11:35:24 AM</v>
          </cell>
          <cell r="N1168" t="str">
            <v>25</v>
          </cell>
          <cell r="O1168">
            <v>1</v>
          </cell>
          <cell r="P1168">
            <v>0.48</v>
          </cell>
        </row>
        <row r="1169">
          <cell r="A1169" t="str">
            <v>6724426</v>
          </cell>
          <cell r="B1169" t="str">
            <v>1015834</v>
          </cell>
          <cell r="C1169" t="str">
            <v>15306-NP</v>
          </cell>
          <cell r="D1169" t="str">
            <v>15306</v>
          </cell>
          <cell r="E1169" t="str">
            <v>GUN ROD BLACK SZ MED 2-5IN GUNS MIL-SPEC</v>
          </cell>
          <cell r="F1169" t="str">
            <v>DG-MISC</v>
          </cell>
          <cell r="G1169" t="str">
            <v>1420-210-FG</v>
          </cell>
          <cell r="H1169" t="str">
            <v>R</v>
          </cell>
          <cell r="I1169" t="str">
            <v>06/04/2024</v>
          </cell>
          <cell r="J1169" t="str">
            <v>06/05/2024</v>
          </cell>
          <cell r="K1169" t="str">
            <v>06/20/2024</v>
          </cell>
          <cell r="L1169">
            <v>2</v>
          </cell>
          <cell r="M1169" t="str">
            <v>6/5/2024 2:57:25 PM</v>
          </cell>
          <cell r="N1169" t="str">
            <v>25</v>
          </cell>
          <cell r="O1169">
            <v>2</v>
          </cell>
          <cell r="P1169">
            <v>0.02</v>
          </cell>
        </row>
        <row r="1170">
          <cell r="A1170" t="str">
            <v>6724466</v>
          </cell>
          <cell r="B1170" t="str">
            <v>1125401</v>
          </cell>
          <cell r="C1170" t="str">
            <v>190-13HS</v>
          </cell>
          <cell r="D1170" t="str">
            <v>190</v>
          </cell>
          <cell r="E1170" t="str">
            <v>HANDCUFF POUCH TOP FLAP</v>
          </cell>
          <cell r="F1170" t="str">
            <v>DG-POUCH-F1</v>
          </cell>
          <cell r="G1170" t="str">
            <v>1420-210-FG</v>
          </cell>
          <cell r="H1170" t="str">
            <v>R</v>
          </cell>
          <cell r="I1170" t="str">
            <v>06/04/2024</v>
          </cell>
          <cell r="J1170" t="str">
            <v>06/05/2024</v>
          </cell>
          <cell r="K1170" t="str">
            <v>06/20/2024</v>
          </cell>
          <cell r="L1170">
            <v>20</v>
          </cell>
          <cell r="M1170" t="str">
            <v>6/5/2024 3:08:12 PM</v>
          </cell>
          <cell r="N1170" t="str">
            <v>25</v>
          </cell>
          <cell r="O1170">
            <v>20</v>
          </cell>
          <cell r="P1170">
            <v>7.42</v>
          </cell>
        </row>
        <row r="1171">
          <cell r="A1171" t="str">
            <v>6724457</v>
          </cell>
          <cell r="B1171" t="str">
            <v>1122297</v>
          </cell>
          <cell r="C1171" t="str">
            <v>190-2-2HS</v>
          </cell>
          <cell r="D1171" t="str">
            <v>190</v>
          </cell>
          <cell r="E1171" t="str">
            <v>HANDCUFF POUCH TOP FLAP</v>
          </cell>
          <cell r="F1171" t="str">
            <v>DG-POUCH-F1</v>
          </cell>
          <cell r="G1171" t="str">
            <v>1420-210-FG</v>
          </cell>
          <cell r="H1171" t="str">
            <v>R</v>
          </cell>
          <cell r="I1171" t="str">
            <v>06/04/2024</v>
          </cell>
          <cell r="J1171" t="str">
            <v>06/05/2024</v>
          </cell>
          <cell r="K1171" t="str">
            <v>06/20/2024</v>
          </cell>
          <cell r="L1171">
            <v>1</v>
          </cell>
          <cell r="M1171" t="str">
            <v>6/12/2024 4:34:07 PM</v>
          </cell>
          <cell r="N1171" t="str">
            <v>25</v>
          </cell>
          <cell r="O1171">
            <v>1</v>
          </cell>
          <cell r="P1171">
            <v>0.39</v>
          </cell>
        </row>
        <row r="1172">
          <cell r="A1172" t="str">
            <v>6724460</v>
          </cell>
          <cell r="B1172" t="str">
            <v>1096545</v>
          </cell>
          <cell r="C1172" t="str">
            <v>090-22</v>
          </cell>
          <cell r="D1172" t="str">
            <v>090</v>
          </cell>
          <cell r="E1172" t="str">
            <v>HANDCUFF POUCHOPEN TOP</v>
          </cell>
          <cell r="F1172" t="str">
            <v>DG-POUCH-F2-F3</v>
          </cell>
          <cell r="G1172" t="str">
            <v>1420-210-FG</v>
          </cell>
          <cell r="H1172" t="str">
            <v>R</v>
          </cell>
          <cell r="I1172" t="str">
            <v>06/04/2024</v>
          </cell>
          <cell r="J1172" t="str">
            <v>06/05/2024</v>
          </cell>
          <cell r="K1172" t="str">
            <v>06/20/2024</v>
          </cell>
          <cell r="L1172">
            <v>40</v>
          </cell>
          <cell r="M1172" t="str">
            <v>6/4/2024 2:21:04 PM</v>
          </cell>
          <cell r="N1172" t="str">
            <v>25</v>
          </cell>
          <cell r="O1172">
            <v>40</v>
          </cell>
          <cell r="P1172">
            <v>11.42</v>
          </cell>
        </row>
        <row r="1173">
          <cell r="A1173" t="str">
            <v>6724971</v>
          </cell>
          <cell r="B1173" t="str">
            <v>1103249</v>
          </cell>
          <cell r="C1173" t="str">
            <v>90-4</v>
          </cell>
          <cell r="D1173" t="str">
            <v>90</v>
          </cell>
          <cell r="E1173" t="str">
            <v>HANDCUFF POUCHTOP FLAP</v>
          </cell>
          <cell r="F1173" t="str">
            <v>DG-POUCH-F1</v>
          </cell>
          <cell r="G1173" t="str">
            <v>1420-210-FG</v>
          </cell>
          <cell r="H1173" t="str">
            <v>R</v>
          </cell>
          <cell r="I1173" t="str">
            <v>06/04/2024</v>
          </cell>
          <cell r="J1173" t="str">
            <v>06/05/2024</v>
          </cell>
          <cell r="K1173" t="str">
            <v>06/20/2024</v>
          </cell>
          <cell r="L1173">
            <v>40</v>
          </cell>
          <cell r="M1173" t="str">
            <v>6/5/2024 3:03:18 PM</v>
          </cell>
          <cell r="N1173" t="str">
            <v>25</v>
          </cell>
          <cell r="O1173">
            <v>40</v>
          </cell>
          <cell r="P1173">
            <v>14.96</v>
          </cell>
        </row>
        <row r="1174">
          <cell r="A1174" t="str">
            <v>6724972</v>
          </cell>
          <cell r="B1174" t="str">
            <v>1103276</v>
          </cell>
          <cell r="C1174" t="str">
            <v>90H-4</v>
          </cell>
          <cell r="D1174" t="str">
            <v>90H</v>
          </cell>
          <cell r="E1174" t="str">
            <v>HANDCUFF POUCHTOP FLAP</v>
          </cell>
          <cell r="F1174" t="str">
            <v>DG-POUCH-F1</v>
          </cell>
          <cell r="G1174" t="str">
            <v>1420-210-FG</v>
          </cell>
          <cell r="H1174" t="str">
            <v>R</v>
          </cell>
          <cell r="I1174" t="str">
            <v>06/04/2024</v>
          </cell>
          <cell r="J1174" t="str">
            <v>06/05/2024</v>
          </cell>
          <cell r="K1174" t="str">
            <v>06/20/2024</v>
          </cell>
          <cell r="L1174">
            <v>10</v>
          </cell>
          <cell r="M1174" t="str">
            <v>6/5/2024 3:03:18 PM</v>
          </cell>
          <cell r="N1174" t="str">
            <v>25</v>
          </cell>
          <cell r="O1174">
            <v>10</v>
          </cell>
          <cell r="P1174">
            <v>3.56</v>
          </cell>
        </row>
        <row r="1175">
          <cell r="A1175" t="str">
            <v>6710571</v>
          </cell>
          <cell r="B1175" t="str">
            <v>1115025</v>
          </cell>
          <cell r="C1175" t="str">
            <v>HARDWARE KIT</v>
          </cell>
          <cell r="D1175" t="str">
            <v>HARDWARE KIT</v>
          </cell>
          <cell r="E1175" t="str">
            <v>HARDWARE KIT</v>
          </cell>
          <cell r="F1175" t="str">
            <v>DG-MISC</v>
          </cell>
          <cell r="G1175" t="str">
            <v>1420-210-FG</v>
          </cell>
          <cell r="H1175" t="str">
            <v>R</v>
          </cell>
          <cell r="I1175" t="str">
            <v>05/07/2024</v>
          </cell>
          <cell r="J1175" t="str">
            <v>06/06/2024</v>
          </cell>
          <cell r="K1175" t="str">
            <v>06/20/2024</v>
          </cell>
          <cell r="L1175">
            <v>20</v>
          </cell>
          <cell r="M1175" t="str">
            <v>5/17/2024 2:09:45 PM</v>
          </cell>
          <cell r="N1175" t="str">
            <v>25</v>
          </cell>
          <cell r="O1175">
            <v>20</v>
          </cell>
          <cell r="P1175">
            <v>1.51</v>
          </cell>
        </row>
        <row r="1176">
          <cell r="A1176" t="str">
            <v>6728837</v>
          </cell>
          <cell r="B1176" t="str">
            <v>1192866</v>
          </cell>
          <cell r="C1176" t="str">
            <v>MH6004-10-FGR</v>
          </cell>
          <cell r="D1176" t="str">
            <v>MH6004</v>
          </cell>
          <cell r="E1176" t="str">
            <v>HARNESS W/SINGLE ELASTIC FOR 6004-10 FGR</v>
          </cell>
          <cell r="F1176" t="str">
            <v>DG-HARNESS</v>
          </cell>
          <cell r="G1176" t="str">
            <v>1420-210-SB</v>
          </cell>
          <cell r="H1176" t="str">
            <v>F</v>
          </cell>
          <cell r="I1176" t="str">
            <v>06/13/2024</v>
          </cell>
          <cell r="J1176" t="str">
            <v>06/13/2024</v>
          </cell>
          <cell r="K1176" t="str">
            <v>06/20/2024</v>
          </cell>
          <cell r="L1176">
            <v>1</v>
          </cell>
          <cell r="M1176" t="str">
            <v/>
          </cell>
          <cell r="N1176" t="str">
            <v>25</v>
          </cell>
          <cell r="O1176">
            <v>1</v>
          </cell>
          <cell r="P1176">
            <v>0.13</v>
          </cell>
        </row>
        <row r="1177">
          <cell r="A1177" t="str">
            <v>6724786</v>
          </cell>
          <cell r="B1177" t="str">
            <v>1327081</v>
          </cell>
          <cell r="C1177" t="str">
            <v>L830-38-2-NP</v>
          </cell>
          <cell r="D1177" t="str">
            <v>L830</v>
          </cell>
          <cell r="E1177" t="str">
            <v>L830 PLNCLTH BLT LTHR SZ38 PLN BLK BR</v>
          </cell>
          <cell r="F1177" t="str">
            <v>DG-BELT</v>
          </cell>
          <cell r="G1177" t="str">
            <v>1420-210-FG</v>
          </cell>
          <cell r="H1177" t="str">
            <v>R</v>
          </cell>
          <cell r="I1177" t="str">
            <v>06/04/2024</v>
          </cell>
          <cell r="J1177" t="str">
            <v>06/05/2024</v>
          </cell>
          <cell r="K1177" t="str">
            <v>06/20/2024</v>
          </cell>
          <cell r="L1177">
            <v>1</v>
          </cell>
          <cell r="M1177" t="str">
            <v>6/5/2024 2:55:33 PM</v>
          </cell>
          <cell r="N1177" t="str">
            <v>25</v>
          </cell>
          <cell r="O1177">
            <v>1</v>
          </cell>
          <cell r="P1177">
            <v>0.39</v>
          </cell>
        </row>
        <row r="1178">
          <cell r="A1178" t="str">
            <v>6724444</v>
          </cell>
          <cell r="B1178" t="str">
            <v>1119045</v>
          </cell>
          <cell r="C1178" t="str">
            <v>L830-42-2C</v>
          </cell>
          <cell r="D1178" t="str">
            <v>L830</v>
          </cell>
          <cell r="E1178" t="str">
            <v>L830 PLNCLTH BLT LTHR SZ42 PLN BLK CH</v>
          </cell>
          <cell r="F1178" t="str">
            <v>DG-BELT</v>
          </cell>
          <cell r="G1178" t="str">
            <v>1420-210-FG</v>
          </cell>
          <cell r="H1178" t="str">
            <v>R</v>
          </cell>
          <cell r="I1178" t="str">
            <v>06/04/2024</v>
          </cell>
          <cell r="J1178" t="str">
            <v>06/05/2024</v>
          </cell>
          <cell r="K1178" t="str">
            <v>06/20/2024</v>
          </cell>
          <cell r="L1178">
            <v>5</v>
          </cell>
          <cell r="M1178" t="str">
            <v>6/5/2024 2:55:33 PM</v>
          </cell>
          <cell r="N1178" t="str">
            <v>25</v>
          </cell>
          <cell r="O1178">
            <v>5</v>
          </cell>
          <cell r="P1178">
            <v>1.94</v>
          </cell>
        </row>
        <row r="1179">
          <cell r="A1179" t="str">
            <v>6724425</v>
          </cell>
          <cell r="B1179" t="str">
            <v>1103549</v>
          </cell>
          <cell r="C1179" t="str">
            <v>L830-46-2</v>
          </cell>
          <cell r="D1179" t="str">
            <v>L830</v>
          </cell>
          <cell r="E1179" t="str">
            <v>L830 PLNCLTH BLT LTHR SZ46 PLN BLK BR</v>
          </cell>
          <cell r="F1179" t="str">
            <v>DG-BELT</v>
          </cell>
          <cell r="G1179" t="str">
            <v>1420-210-FG</v>
          </cell>
          <cell r="H1179" t="str">
            <v>R</v>
          </cell>
          <cell r="I1179" t="str">
            <v>06/04/2024</v>
          </cell>
          <cell r="J1179" t="str">
            <v>06/05/2024</v>
          </cell>
          <cell r="K1179" t="str">
            <v>06/20/2024</v>
          </cell>
          <cell r="L1179">
            <v>1</v>
          </cell>
          <cell r="M1179" t="str">
            <v>6/5/2024 2:55:33 PM</v>
          </cell>
          <cell r="N1179" t="str">
            <v>25</v>
          </cell>
          <cell r="O1179">
            <v>1</v>
          </cell>
          <cell r="P1179">
            <v>0.39</v>
          </cell>
        </row>
        <row r="1180">
          <cell r="A1180" t="str">
            <v>6728607</v>
          </cell>
          <cell r="B1180" t="str">
            <v>1015460</v>
          </cell>
          <cell r="C1180" t="str">
            <v>10066</v>
          </cell>
          <cell r="D1180" t="str">
            <v>1L</v>
          </cell>
          <cell r="E1180" t="str">
            <v>LAWMAN TAN RH LG SNGL ACT 7 1/2IN</v>
          </cell>
          <cell r="F1180" t="str">
            <v>BN-LEATHER</v>
          </cell>
          <cell r="G1180" t="str">
            <v>1420-210-FG</v>
          </cell>
          <cell r="H1180" t="str">
            <v>R</v>
          </cell>
          <cell r="I1180" t="str">
            <v>06/12/2024</v>
          </cell>
          <cell r="J1180" t="str">
            <v>06/12/2024</v>
          </cell>
          <cell r="K1180" t="str">
            <v>06/20/2024</v>
          </cell>
          <cell r="L1180">
            <v>5</v>
          </cell>
          <cell r="M1180" t="str">
            <v>6/12/2024 11:10:49 AM</v>
          </cell>
          <cell r="N1180" t="str">
            <v>25</v>
          </cell>
          <cell r="O1180">
            <v>5</v>
          </cell>
          <cell r="P1180">
            <v>2.91</v>
          </cell>
        </row>
        <row r="1181">
          <cell r="A1181" t="str">
            <v>6724537</v>
          </cell>
          <cell r="B1181" t="str">
            <v>1131708</v>
          </cell>
          <cell r="C1181" t="str">
            <v>37-4-22</v>
          </cell>
          <cell r="D1181" t="str">
            <v>37</v>
          </cell>
          <cell r="E1181" t="str">
            <v>MACE HOLDER OPEN TOP</v>
          </cell>
          <cell r="F1181" t="str">
            <v>DG-POUCH-F1</v>
          </cell>
          <cell r="G1181" t="str">
            <v>1420-210-FG</v>
          </cell>
          <cell r="H1181" t="str">
            <v>R</v>
          </cell>
          <cell r="I1181" t="str">
            <v>06/04/2024</v>
          </cell>
          <cell r="J1181" t="str">
            <v>06/05/2024</v>
          </cell>
          <cell r="K1181" t="str">
            <v>06/20/2024</v>
          </cell>
          <cell r="L1181">
            <v>1</v>
          </cell>
          <cell r="M1181" t="str">
            <v>6/5/2024 3:03:18 PM</v>
          </cell>
          <cell r="N1181" t="str">
            <v>25</v>
          </cell>
          <cell r="O1181">
            <v>1</v>
          </cell>
          <cell r="P1181">
            <v>0.28000000000000003</v>
          </cell>
        </row>
        <row r="1182">
          <cell r="A1182" t="str">
            <v>6724740</v>
          </cell>
          <cell r="B1182" t="str">
            <v>1323241</v>
          </cell>
          <cell r="C1182" t="str">
            <v>38-4-13PBL-NP</v>
          </cell>
          <cell r="D1182" t="str">
            <v>38</v>
          </cell>
          <cell r="E1182" t="str">
            <v>MACE HOLDERTOP FLAP</v>
          </cell>
          <cell r="F1182" t="str">
            <v>DG-POUCH-F1</v>
          </cell>
          <cell r="G1182" t="str">
            <v>1420-210-FG</v>
          </cell>
          <cell r="H1182" t="str">
            <v>R</v>
          </cell>
          <cell r="I1182" t="str">
            <v>06/04/2024</v>
          </cell>
          <cell r="J1182" t="str">
            <v>06/05/2024</v>
          </cell>
          <cell r="K1182" t="str">
            <v>06/20/2024</v>
          </cell>
          <cell r="L1182">
            <v>6</v>
          </cell>
          <cell r="M1182" t="str">
            <v>6/5/2024 3:08:12 PM</v>
          </cell>
          <cell r="N1182" t="str">
            <v>25</v>
          </cell>
          <cell r="O1182">
            <v>6</v>
          </cell>
          <cell r="P1182">
            <v>0.92</v>
          </cell>
        </row>
        <row r="1183">
          <cell r="A1183" t="str">
            <v>6724694</v>
          </cell>
          <cell r="B1183" t="str">
            <v>1155789</v>
          </cell>
          <cell r="C1183" t="str">
            <v>38-4-23PBL-MS36</v>
          </cell>
          <cell r="D1183" t="str">
            <v>38</v>
          </cell>
          <cell r="E1183" t="str">
            <v>MACE HOLDERTOP FLAP</v>
          </cell>
          <cell r="F1183" t="str">
            <v>DG-POUCH-F1</v>
          </cell>
          <cell r="G1183" t="str">
            <v>1420-210-FG</v>
          </cell>
          <cell r="H1183" t="str">
            <v>R</v>
          </cell>
          <cell r="I1183" t="str">
            <v>06/04/2024</v>
          </cell>
          <cell r="J1183" t="str">
            <v>06/05/2024</v>
          </cell>
          <cell r="K1183" t="str">
            <v>06/20/2024</v>
          </cell>
          <cell r="L1183">
            <v>1</v>
          </cell>
          <cell r="M1183" t="str">
            <v>6/6/2024 11:36:37 AM</v>
          </cell>
          <cell r="N1183" t="str">
            <v>25</v>
          </cell>
          <cell r="O1183">
            <v>1</v>
          </cell>
          <cell r="P1183">
            <v>0.37</v>
          </cell>
        </row>
        <row r="1184">
          <cell r="A1184" t="str">
            <v>6724447</v>
          </cell>
          <cell r="B1184" t="str">
            <v>1121714</v>
          </cell>
          <cell r="C1184" t="str">
            <v>38-4-41PBL</v>
          </cell>
          <cell r="D1184" t="str">
            <v>38</v>
          </cell>
          <cell r="E1184" t="str">
            <v>MACE HOLDERTOP FLAP</v>
          </cell>
          <cell r="F1184" t="str">
            <v>DG-POUCH-F1</v>
          </cell>
          <cell r="G1184" t="str">
            <v>1420-210-FG</v>
          </cell>
          <cell r="H1184" t="str">
            <v>R</v>
          </cell>
          <cell r="I1184" t="str">
            <v>06/04/2024</v>
          </cell>
          <cell r="J1184" t="str">
            <v>06/05/2024</v>
          </cell>
          <cell r="K1184" t="str">
            <v>06/20/2024</v>
          </cell>
          <cell r="L1184">
            <v>50</v>
          </cell>
          <cell r="M1184" t="str">
            <v>6/13/2024 12:44:46 PM</v>
          </cell>
          <cell r="N1184" t="str">
            <v>25</v>
          </cell>
          <cell r="O1184">
            <v>50</v>
          </cell>
          <cell r="P1184">
            <v>14.31</v>
          </cell>
        </row>
        <row r="1185">
          <cell r="A1185" t="str">
            <v>6724448</v>
          </cell>
          <cell r="B1185" t="str">
            <v>1121714</v>
          </cell>
          <cell r="C1185" t="str">
            <v>38-4-41PBL</v>
          </cell>
          <cell r="D1185" t="str">
            <v>38</v>
          </cell>
          <cell r="E1185" t="str">
            <v>MACE HOLDERTOP FLAP</v>
          </cell>
          <cell r="F1185" t="str">
            <v>DG-POUCH-F1</v>
          </cell>
          <cell r="G1185" t="str">
            <v>1420-210-FG</v>
          </cell>
          <cell r="H1185" t="str">
            <v>R</v>
          </cell>
          <cell r="I1185" t="str">
            <v>06/04/2024</v>
          </cell>
          <cell r="J1185" t="str">
            <v>06/05/2024</v>
          </cell>
          <cell r="K1185" t="str">
            <v>06/20/2024</v>
          </cell>
          <cell r="L1185">
            <v>100</v>
          </cell>
          <cell r="M1185" t="str">
            <v>6/5/2024 3:06:21 PM</v>
          </cell>
          <cell r="N1185" t="str">
            <v>25</v>
          </cell>
          <cell r="O1185">
            <v>100</v>
          </cell>
          <cell r="P1185">
            <v>28.62</v>
          </cell>
        </row>
        <row r="1186">
          <cell r="A1186" t="str">
            <v>6724434</v>
          </cell>
          <cell r="B1186" t="str">
            <v>1112867</v>
          </cell>
          <cell r="C1186" t="str">
            <v>38-4-48PBL</v>
          </cell>
          <cell r="D1186" t="str">
            <v>38</v>
          </cell>
          <cell r="E1186" t="str">
            <v>MACE HOLDERTOP FLAP</v>
          </cell>
          <cell r="F1186" t="str">
            <v>DG-POUCH-F1</v>
          </cell>
          <cell r="G1186" t="str">
            <v>1420-210-FG</v>
          </cell>
          <cell r="H1186" t="str">
            <v>R</v>
          </cell>
          <cell r="I1186" t="str">
            <v>06/04/2024</v>
          </cell>
          <cell r="J1186" t="str">
            <v>06/05/2024</v>
          </cell>
          <cell r="K1186" t="str">
            <v>06/20/2024</v>
          </cell>
          <cell r="L1186">
            <v>3</v>
          </cell>
          <cell r="M1186" t="str">
            <v>6/5/2024 3:06:21 PM</v>
          </cell>
          <cell r="N1186" t="str">
            <v>25</v>
          </cell>
          <cell r="O1186">
            <v>3</v>
          </cell>
          <cell r="P1186">
            <v>0.96</v>
          </cell>
        </row>
        <row r="1187">
          <cell r="A1187" t="str">
            <v>6724642</v>
          </cell>
          <cell r="B1187" t="str">
            <v>1140437</v>
          </cell>
          <cell r="C1187" t="str">
            <v>77-419-23-HS</v>
          </cell>
          <cell r="D1187" t="str">
            <v>77</v>
          </cell>
          <cell r="E1187" t="str">
            <v>MAGAZINE HOLDER DOUBLE</v>
          </cell>
          <cell r="F1187" t="str">
            <v>DG-POUCH-F1</v>
          </cell>
          <cell r="G1187" t="str">
            <v>1420-210-FG</v>
          </cell>
          <cell r="H1187" t="str">
            <v>R</v>
          </cell>
          <cell r="I1187" t="str">
            <v>06/04/2024</v>
          </cell>
          <cell r="J1187" t="str">
            <v>06/05/2024</v>
          </cell>
          <cell r="K1187" t="str">
            <v>06/20/2024</v>
          </cell>
          <cell r="L1187">
            <v>1</v>
          </cell>
          <cell r="M1187" t="str">
            <v>6/5/2024 3:03:18 PM</v>
          </cell>
          <cell r="N1187" t="str">
            <v>25</v>
          </cell>
          <cell r="O1187">
            <v>1</v>
          </cell>
          <cell r="P1187">
            <v>0.38</v>
          </cell>
        </row>
        <row r="1188">
          <cell r="A1188" t="str">
            <v>6728567</v>
          </cell>
          <cell r="B1188" t="str">
            <v>1317752</v>
          </cell>
          <cell r="C1188" t="str">
            <v>MH6004-25-FDE</v>
          </cell>
          <cell r="D1188" t="str">
            <v>MH6004-25</v>
          </cell>
          <cell r="E1188" t="str">
            <v>MH6004-25 W/ELAST/FEMALE BCKLE/WRPV FDE</v>
          </cell>
          <cell r="F1188" t="str">
            <v>DG-HARNESS</v>
          </cell>
          <cell r="G1188" t="str">
            <v>1420-210-SB</v>
          </cell>
          <cell r="H1188" t="str">
            <v>F</v>
          </cell>
          <cell r="I1188" t="str">
            <v>06/12/2024</v>
          </cell>
          <cell r="J1188" t="str">
            <v>06/12/2024</v>
          </cell>
          <cell r="K1188" t="str">
            <v>06/20/2024</v>
          </cell>
          <cell r="L1188">
            <v>128</v>
          </cell>
          <cell r="M1188" t="str">
            <v/>
          </cell>
          <cell r="N1188" t="str">
            <v>25</v>
          </cell>
          <cell r="O1188">
            <v>128</v>
          </cell>
          <cell r="P1188">
            <v>2.84</v>
          </cell>
        </row>
        <row r="1189">
          <cell r="A1189" t="str">
            <v>6728840</v>
          </cell>
          <cell r="B1189" t="str">
            <v>1183296</v>
          </cell>
          <cell r="C1189" t="str">
            <v>MH6004-8-FGR</v>
          </cell>
          <cell r="D1189" t="str">
            <v>MH6004</v>
          </cell>
          <cell r="E1189" t="str">
            <v>MH6004-8 HARNESS FOLIAGE GREEN</v>
          </cell>
          <cell r="F1189" t="str">
            <v>DG-POUCH-F2-F3</v>
          </cell>
          <cell r="G1189" t="str">
            <v>1420-210-SB</v>
          </cell>
          <cell r="H1189" t="str">
            <v>F</v>
          </cell>
          <cell r="I1189" t="str">
            <v>06/13/2024</v>
          </cell>
          <cell r="J1189" t="str">
            <v>06/13/2024</v>
          </cell>
          <cell r="K1189" t="str">
            <v>06/20/2024</v>
          </cell>
          <cell r="L1189">
            <v>28</v>
          </cell>
          <cell r="M1189" t="str">
            <v/>
          </cell>
          <cell r="N1189" t="str">
            <v>25</v>
          </cell>
          <cell r="O1189">
            <v>28</v>
          </cell>
          <cell r="P1189">
            <v>1.1000000000000001</v>
          </cell>
        </row>
        <row r="1190">
          <cell r="A1190" t="str">
            <v>6726641</v>
          </cell>
          <cell r="B1190" t="str">
            <v>1329803</v>
          </cell>
          <cell r="C1190" t="str">
            <v>24056</v>
          </cell>
          <cell r="D1190" t="str">
            <v>7206</v>
          </cell>
          <cell r="E1190" t="str">
            <v>NYLON LINER BELT BLK SZ XLG 46-52IN LOOP</v>
          </cell>
          <cell r="F1190" t="str">
            <v>BN-BELT</v>
          </cell>
          <cell r="G1190" t="str">
            <v>1420-210-FG</v>
          </cell>
          <cell r="H1190" t="str">
            <v>R</v>
          </cell>
          <cell r="I1190" t="str">
            <v>06/10/2024</v>
          </cell>
          <cell r="J1190" t="str">
            <v>06/10/2024</v>
          </cell>
          <cell r="K1190" t="str">
            <v>06/20/2024</v>
          </cell>
          <cell r="L1190">
            <v>20</v>
          </cell>
          <cell r="M1190" t="str">
            <v>6/11/2024 3:24:45 PM</v>
          </cell>
          <cell r="N1190" t="str">
            <v>25</v>
          </cell>
          <cell r="O1190">
            <v>20</v>
          </cell>
          <cell r="P1190">
            <v>2.4</v>
          </cell>
        </row>
        <row r="1191">
          <cell r="A1191" t="str">
            <v>6728611</v>
          </cell>
          <cell r="B1191" t="str">
            <v>1016287</v>
          </cell>
          <cell r="C1191" t="str">
            <v>18056</v>
          </cell>
          <cell r="D1191" t="str">
            <v>20A</v>
          </cell>
          <cell r="E1191" t="str">
            <v>OPEN TOP MAG POUCH BLK SZ03</v>
          </cell>
          <cell r="F1191" t="str">
            <v>BN-LEATHER</v>
          </cell>
          <cell r="G1191" t="str">
            <v>1420-210-FG</v>
          </cell>
          <cell r="H1191" t="str">
            <v>R</v>
          </cell>
          <cell r="I1191" t="str">
            <v>06/12/2024</v>
          </cell>
          <cell r="J1191" t="str">
            <v>06/12/2024</v>
          </cell>
          <cell r="K1191" t="str">
            <v>06/20/2024</v>
          </cell>
          <cell r="L1191">
            <v>5</v>
          </cell>
          <cell r="M1191" t="str">
            <v>6/12/2024 11:11:07 AM</v>
          </cell>
          <cell r="N1191" t="str">
            <v>25</v>
          </cell>
          <cell r="O1191">
            <v>5</v>
          </cell>
          <cell r="P1191">
            <v>1.93</v>
          </cell>
        </row>
        <row r="1192">
          <cell r="A1192" t="str">
            <v>6727565</v>
          </cell>
          <cell r="B1192" t="str">
            <v>1185129</v>
          </cell>
          <cell r="C1192" t="str">
            <v>26824</v>
          </cell>
          <cell r="D1192" t="str">
            <v>100</v>
          </cell>
          <cell r="E1192" t="str">
            <v>PROFESSIONAL HOLSTER BLK RH SZ 12</v>
          </cell>
          <cell r="F1192" t="str">
            <v>BN-LEATHER</v>
          </cell>
          <cell r="G1192" t="str">
            <v>1420-210-FG</v>
          </cell>
          <cell r="H1192" t="str">
            <v>R</v>
          </cell>
          <cell r="I1192" t="str">
            <v>06/11/2024</v>
          </cell>
          <cell r="J1192" t="str">
            <v>06/11/2024</v>
          </cell>
          <cell r="K1192" t="str">
            <v>06/20/2024</v>
          </cell>
          <cell r="L1192">
            <v>5</v>
          </cell>
          <cell r="M1192" t="str">
            <v>6/11/2024 2:54:07 PM</v>
          </cell>
          <cell r="N1192" t="str">
            <v>25</v>
          </cell>
          <cell r="O1192">
            <v>5</v>
          </cell>
          <cell r="P1192">
            <v>2.0099999999999998</v>
          </cell>
        </row>
        <row r="1193">
          <cell r="A1193" t="str">
            <v>6727561</v>
          </cell>
          <cell r="B1193" t="str">
            <v>1178271</v>
          </cell>
          <cell r="C1193" t="str">
            <v>23998</v>
          </cell>
          <cell r="D1193" t="str">
            <v>57</v>
          </cell>
          <cell r="E1193" t="str">
            <v>REMEDY BLK RH SZ15 S&amp;W M&amp;P SHIELD</v>
          </cell>
          <cell r="F1193" t="str">
            <v>BN-LEATHER</v>
          </cell>
          <cell r="G1193" t="str">
            <v>1420-210-FG</v>
          </cell>
          <cell r="H1193" t="str">
            <v>R</v>
          </cell>
          <cell r="I1193" t="str">
            <v>06/11/2024</v>
          </cell>
          <cell r="J1193" t="str">
            <v>06/11/2024</v>
          </cell>
          <cell r="K1193" t="str">
            <v>06/20/2024</v>
          </cell>
          <cell r="L1193">
            <v>15</v>
          </cell>
          <cell r="M1193" t="str">
            <v>6/11/2024 2:54:07 PM</v>
          </cell>
          <cell r="N1193" t="str">
            <v>25</v>
          </cell>
          <cell r="O1193">
            <v>15</v>
          </cell>
          <cell r="P1193">
            <v>4.3899999999999997</v>
          </cell>
        </row>
        <row r="1194">
          <cell r="A1194" t="str">
            <v>6727559</v>
          </cell>
          <cell r="B1194" t="str">
            <v>1091449</v>
          </cell>
          <cell r="C1194" t="str">
            <v>25044</v>
          </cell>
          <cell r="D1194" t="str">
            <v>57</v>
          </cell>
          <cell r="E1194" t="str">
            <v>REMEDY TAN RH S-W M-P 9MM/.40/.45 -4IN</v>
          </cell>
          <cell r="F1194" t="str">
            <v>BN-LEATHER</v>
          </cell>
          <cell r="G1194" t="str">
            <v>1420-210-FG</v>
          </cell>
          <cell r="H1194" t="str">
            <v>R</v>
          </cell>
          <cell r="I1194" t="str">
            <v>06/11/2024</v>
          </cell>
          <cell r="J1194" t="str">
            <v>06/11/2024</v>
          </cell>
          <cell r="K1194" t="str">
            <v>06/20/2024</v>
          </cell>
          <cell r="L1194">
            <v>15</v>
          </cell>
          <cell r="M1194" t="str">
            <v>6/11/2024 2:54:07 PM</v>
          </cell>
          <cell r="N1194" t="str">
            <v>25</v>
          </cell>
          <cell r="O1194">
            <v>15</v>
          </cell>
          <cell r="P1194">
            <v>4.3899999999999997</v>
          </cell>
        </row>
        <row r="1195">
          <cell r="A1195" t="str">
            <v>6727553</v>
          </cell>
          <cell r="B1195" t="str">
            <v>1015418</v>
          </cell>
          <cell r="C1195" t="str">
            <v>12868</v>
          </cell>
          <cell r="D1195" t="str">
            <v>B12</v>
          </cell>
          <cell r="E1195" t="str">
            <v>REVERSIBLE SPORT STITCH BELT TAN SZ 32</v>
          </cell>
          <cell r="F1195" t="str">
            <v>BN-LEATHER</v>
          </cell>
          <cell r="G1195" t="str">
            <v>1420-210-FG</v>
          </cell>
          <cell r="H1195" t="str">
            <v>R</v>
          </cell>
          <cell r="I1195" t="str">
            <v>06/11/2024</v>
          </cell>
          <cell r="J1195" t="str">
            <v>06/11/2024</v>
          </cell>
          <cell r="K1195" t="str">
            <v>06/20/2024</v>
          </cell>
          <cell r="L1195">
            <v>5</v>
          </cell>
          <cell r="M1195" t="str">
            <v>6/11/2024 2:54:07 PM</v>
          </cell>
          <cell r="N1195" t="str">
            <v>25</v>
          </cell>
          <cell r="O1195">
            <v>5</v>
          </cell>
          <cell r="P1195">
            <v>2.81</v>
          </cell>
        </row>
        <row r="1196">
          <cell r="A1196" t="str">
            <v>6727560</v>
          </cell>
          <cell r="B1196" t="str">
            <v>1093900</v>
          </cell>
          <cell r="C1196" t="str">
            <v>25058</v>
          </cell>
          <cell r="D1196" t="str">
            <v>56</v>
          </cell>
          <cell r="E1196" t="str">
            <v>SERPENT BLK RH SZ10 COLT 1911</v>
          </cell>
          <cell r="F1196" t="str">
            <v>BN-LEATHER</v>
          </cell>
          <cell r="G1196" t="str">
            <v>1420-210-FG</v>
          </cell>
          <cell r="H1196" t="str">
            <v>R</v>
          </cell>
          <cell r="I1196" t="str">
            <v>06/11/2024</v>
          </cell>
          <cell r="J1196" t="str">
            <v>06/11/2024</v>
          </cell>
          <cell r="K1196" t="str">
            <v>06/20/2024</v>
          </cell>
          <cell r="L1196">
            <v>5</v>
          </cell>
          <cell r="M1196" t="str">
            <v>6/11/2024 2:54:07 PM</v>
          </cell>
          <cell r="N1196" t="str">
            <v>25</v>
          </cell>
          <cell r="O1196">
            <v>5</v>
          </cell>
          <cell r="P1196">
            <v>1.49</v>
          </cell>
        </row>
        <row r="1197">
          <cell r="A1197" t="str">
            <v>6727584</v>
          </cell>
          <cell r="B1197" t="str">
            <v>1017867</v>
          </cell>
          <cell r="C1197" t="str">
            <v>22931</v>
          </cell>
          <cell r="D1197" t="str">
            <v>7903</v>
          </cell>
          <cell r="E1197" t="str">
            <v>SINGLE MAG/KNIFE POUCH BSK SZ 1 HIDDEN</v>
          </cell>
          <cell r="F1197" t="str">
            <v>BN-POUCH</v>
          </cell>
          <cell r="G1197" t="str">
            <v>1420-210-FG</v>
          </cell>
          <cell r="H1197" t="str">
            <v>R</v>
          </cell>
          <cell r="I1197" t="str">
            <v>06/11/2024</v>
          </cell>
          <cell r="J1197" t="str">
            <v>06/11/2024</v>
          </cell>
          <cell r="K1197" t="str">
            <v>06/20/2024</v>
          </cell>
          <cell r="L1197">
            <v>5</v>
          </cell>
          <cell r="M1197" t="str">
            <v>6/11/2024 2:58:28 PM</v>
          </cell>
          <cell r="N1197" t="str">
            <v>25</v>
          </cell>
          <cell r="O1197">
            <v>5</v>
          </cell>
          <cell r="P1197">
            <v>1.4</v>
          </cell>
        </row>
        <row r="1198">
          <cell r="A1198" t="str">
            <v>6724706</v>
          </cell>
          <cell r="B1198" t="str">
            <v>1161896</v>
          </cell>
          <cell r="C1198" t="str">
            <v>775-53-763</v>
          </cell>
          <cell r="D1198" t="str">
            <v>775</v>
          </cell>
          <cell r="E1198" t="str">
            <v>SLIMLINE OPEN-TOP TRIPLE MAGAZINE POUCH</v>
          </cell>
          <cell r="F1198" t="str">
            <v>DG-POUCH-F1</v>
          </cell>
          <cell r="G1198" t="str">
            <v>1420-210-FG</v>
          </cell>
          <cell r="H1198" t="str">
            <v>R</v>
          </cell>
          <cell r="I1198" t="str">
            <v>06/04/2024</v>
          </cell>
          <cell r="J1198" t="str">
            <v>06/05/2024</v>
          </cell>
          <cell r="K1198" t="str">
            <v>06/20/2024</v>
          </cell>
          <cell r="L1198">
            <v>1</v>
          </cell>
          <cell r="M1198" t="str">
            <v>6/4/2024 2:10:53 PM</v>
          </cell>
          <cell r="N1198" t="str">
            <v>25</v>
          </cell>
          <cell r="O1198">
            <v>1</v>
          </cell>
          <cell r="P1198">
            <v>0.4</v>
          </cell>
        </row>
        <row r="1199">
          <cell r="A1199" t="str">
            <v>6724549</v>
          </cell>
          <cell r="B1199" t="str">
            <v>1137598</v>
          </cell>
          <cell r="C1199" t="str">
            <v>775-76-13</v>
          </cell>
          <cell r="D1199" t="str">
            <v>775</v>
          </cell>
          <cell r="E1199" t="str">
            <v>SLIMLINE OPEN-TOP TRIPLE MAGAZINE POUCH</v>
          </cell>
          <cell r="F1199" t="str">
            <v>DG-POUCH-F1</v>
          </cell>
          <cell r="G1199" t="str">
            <v>1420-210-FG</v>
          </cell>
          <cell r="H1199" t="str">
            <v>R</v>
          </cell>
          <cell r="I1199" t="str">
            <v>06/04/2024</v>
          </cell>
          <cell r="J1199" t="str">
            <v>06/05/2024</v>
          </cell>
          <cell r="K1199" t="str">
            <v>06/20/2024</v>
          </cell>
          <cell r="L1199">
            <v>8</v>
          </cell>
          <cell r="M1199" t="str">
            <v>6/6/2024 11:35:13 AM</v>
          </cell>
          <cell r="N1199" t="str">
            <v>25</v>
          </cell>
          <cell r="O1199">
            <v>8</v>
          </cell>
          <cell r="P1199">
            <v>2.9</v>
          </cell>
        </row>
        <row r="1200">
          <cell r="A1200" t="str">
            <v>6726166</v>
          </cell>
          <cell r="B1200" t="str">
            <v>1137598</v>
          </cell>
          <cell r="C1200" t="str">
            <v>775-76-13</v>
          </cell>
          <cell r="D1200" t="str">
            <v>775</v>
          </cell>
          <cell r="E1200" t="str">
            <v>SLIMLINE OPEN-TOP TRIPLE MAGAZINE POUCH</v>
          </cell>
          <cell r="F1200" t="str">
            <v>DG-POUCH-F1</v>
          </cell>
          <cell r="G1200" t="str">
            <v>1420-210-FG</v>
          </cell>
          <cell r="H1200" t="str">
            <v>R</v>
          </cell>
          <cell r="I1200" t="str">
            <v>06/07/2024</v>
          </cell>
          <cell r="J1200" t="str">
            <v>06/07/2024</v>
          </cell>
          <cell r="K1200" t="str">
            <v>06/20/2024</v>
          </cell>
          <cell r="L1200">
            <v>19</v>
          </cell>
          <cell r="M1200" t="str">
            <v>6/7/2024 11:41:41 AM</v>
          </cell>
          <cell r="N1200" t="str">
            <v>25</v>
          </cell>
          <cell r="O1200">
            <v>19</v>
          </cell>
          <cell r="P1200">
            <v>6.91</v>
          </cell>
        </row>
        <row r="1201">
          <cell r="A1201" t="str">
            <v>6727698</v>
          </cell>
          <cell r="B1201" t="str">
            <v>1137980</v>
          </cell>
          <cell r="C1201" t="str">
            <v>775-76-4</v>
          </cell>
          <cell r="D1201" t="str">
            <v>775</v>
          </cell>
          <cell r="E1201" t="str">
            <v>SLIMLINE OPEN-TOP TRIPLE MAGAZINE POUCH</v>
          </cell>
          <cell r="F1201" t="str">
            <v>DG-POUCH-F1</v>
          </cell>
          <cell r="G1201" t="str">
            <v>1420-210-FG</v>
          </cell>
          <cell r="H1201" t="str">
            <v>R</v>
          </cell>
          <cell r="I1201" t="str">
            <v>06/11/2024</v>
          </cell>
          <cell r="J1201" t="str">
            <v>06/11/2024</v>
          </cell>
          <cell r="K1201" t="str">
            <v>06/20/2024</v>
          </cell>
          <cell r="L1201">
            <v>20</v>
          </cell>
          <cell r="M1201" t="str">
            <v>6/11/2024 3:25:01 PM</v>
          </cell>
          <cell r="N1201" t="str">
            <v>25</v>
          </cell>
          <cell r="O1201">
            <v>20</v>
          </cell>
          <cell r="P1201">
            <v>7.25</v>
          </cell>
        </row>
        <row r="1202">
          <cell r="A1202" t="str">
            <v>6724548</v>
          </cell>
          <cell r="B1202" t="str">
            <v>1137592</v>
          </cell>
          <cell r="C1202" t="str">
            <v>777-76-4</v>
          </cell>
          <cell r="D1202" t="str">
            <v>777</v>
          </cell>
          <cell r="E1202" t="str">
            <v>SLIMLINE TRIPLE MAGAZINE POUCH</v>
          </cell>
          <cell r="F1202" t="str">
            <v>DG-POUCH-F1</v>
          </cell>
          <cell r="G1202" t="str">
            <v>1420-210-FG</v>
          </cell>
          <cell r="H1202" t="str">
            <v>R</v>
          </cell>
          <cell r="I1202" t="str">
            <v>06/04/2024</v>
          </cell>
          <cell r="J1202" t="str">
            <v>06/05/2024</v>
          </cell>
          <cell r="K1202" t="str">
            <v>06/20/2024</v>
          </cell>
          <cell r="L1202">
            <v>1</v>
          </cell>
          <cell r="M1202" t="str">
            <v>6/5/2024 3:03:18 PM</v>
          </cell>
          <cell r="N1202" t="str">
            <v>25</v>
          </cell>
          <cell r="O1202">
            <v>1</v>
          </cell>
          <cell r="P1202">
            <v>0.54</v>
          </cell>
        </row>
        <row r="1203">
          <cell r="A1203" t="str">
            <v>6727258</v>
          </cell>
          <cell r="B1203" t="str">
            <v>1018448</v>
          </cell>
          <cell r="C1203" t="str">
            <v>20058</v>
          </cell>
          <cell r="D1203" t="str">
            <v>585</v>
          </cell>
          <cell r="E1203" t="str">
            <v>SPEED STRIP PAIR  .44/.45</v>
          </cell>
          <cell r="F1203" t="str">
            <v>DG-MISC</v>
          </cell>
          <cell r="G1203" t="str">
            <v>1420-210-FG</v>
          </cell>
          <cell r="H1203" t="str">
            <v>F</v>
          </cell>
          <cell r="I1203" t="str">
            <v>06/10/2024</v>
          </cell>
          <cell r="J1203" t="str">
            <v>06/10/2024</v>
          </cell>
          <cell r="K1203" t="str">
            <v>06/20/2024</v>
          </cell>
          <cell r="L1203">
            <v>100</v>
          </cell>
          <cell r="M1203" t="str">
            <v/>
          </cell>
          <cell r="N1203" t="str">
            <v>25</v>
          </cell>
          <cell r="O1203">
            <v>100</v>
          </cell>
          <cell r="P1203">
            <v>1.43</v>
          </cell>
        </row>
        <row r="1204">
          <cell r="A1204" t="str">
            <v>6724365</v>
          </cell>
          <cell r="B1204" t="str">
            <v>1014010</v>
          </cell>
          <cell r="C1204" t="str">
            <v>20054</v>
          </cell>
          <cell r="D1204" t="str">
            <v>580</v>
          </cell>
          <cell r="E1204" t="str">
            <v>SPEED STRIP PAIR .38/.357</v>
          </cell>
          <cell r="F1204" t="str">
            <v>DG-MISC</v>
          </cell>
          <cell r="G1204" t="str">
            <v>1420-210-FG</v>
          </cell>
          <cell r="H1204" t="str">
            <v>R</v>
          </cell>
          <cell r="I1204" t="str">
            <v>06/04/2024</v>
          </cell>
          <cell r="J1204" t="str">
            <v>06/05/2024</v>
          </cell>
          <cell r="K1204" t="str">
            <v>06/20/2024</v>
          </cell>
          <cell r="L1204">
            <v>100</v>
          </cell>
          <cell r="M1204" t="str">
            <v>6/5/2024 2:57:25 PM</v>
          </cell>
          <cell r="N1204" t="str">
            <v>25</v>
          </cell>
          <cell r="O1204">
            <v>100</v>
          </cell>
          <cell r="P1204">
            <v>0.73</v>
          </cell>
        </row>
        <row r="1205">
          <cell r="A1205" t="str">
            <v>6727534</v>
          </cell>
          <cell r="B1205" t="str">
            <v>1015988</v>
          </cell>
          <cell r="C1205" t="str">
            <v>17743</v>
          </cell>
          <cell r="D1205" t="str">
            <v>7001</v>
          </cell>
          <cell r="E1205" t="str">
            <v>THUMBSNAP BLK RH SZ _4 S-W K FRAME 4IN</v>
          </cell>
          <cell r="F1205" t="str">
            <v>BN-HOLSTER</v>
          </cell>
          <cell r="G1205" t="str">
            <v>1420-210-FG</v>
          </cell>
          <cell r="H1205" t="str">
            <v>R</v>
          </cell>
          <cell r="I1205" t="str">
            <v>06/11/2024</v>
          </cell>
          <cell r="J1205" t="str">
            <v>06/11/2024</v>
          </cell>
          <cell r="K1205" t="str">
            <v>06/20/2024</v>
          </cell>
          <cell r="L1205">
            <v>20</v>
          </cell>
          <cell r="M1205" t="str">
            <v>6/11/2024 2:44:48 PM</v>
          </cell>
          <cell r="N1205" t="str">
            <v>25</v>
          </cell>
          <cell r="O1205">
            <v>20</v>
          </cell>
          <cell r="P1205">
            <v>8.01</v>
          </cell>
        </row>
        <row r="1206">
          <cell r="A1206" t="str">
            <v>6728609</v>
          </cell>
          <cell r="B1206" t="str">
            <v>1015657</v>
          </cell>
          <cell r="C1206" t="str">
            <v>13652</v>
          </cell>
          <cell r="D1206" t="str">
            <v>5BHL</v>
          </cell>
          <cell r="E1206" t="str">
            <v>THUMBSNAP TAN RH DW 44 6IN</v>
          </cell>
          <cell r="F1206" t="str">
            <v>BN-LEATHER</v>
          </cell>
          <cell r="G1206" t="str">
            <v>1420-210-FG</v>
          </cell>
          <cell r="H1206" t="str">
            <v>R</v>
          </cell>
          <cell r="I1206" t="str">
            <v>06/12/2024</v>
          </cell>
          <cell r="J1206" t="str">
            <v>06/12/2024</v>
          </cell>
          <cell r="K1206" t="str">
            <v>06/20/2024</v>
          </cell>
          <cell r="L1206">
            <v>5</v>
          </cell>
          <cell r="M1206" t="str">
            <v>6/12/2024 11:11:21 AM</v>
          </cell>
          <cell r="N1206" t="str">
            <v>25</v>
          </cell>
          <cell r="O1206">
            <v>5</v>
          </cell>
          <cell r="P1206">
            <v>2.2999999999999998</v>
          </cell>
        </row>
        <row r="1207">
          <cell r="A1207" t="str">
            <v>6727550</v>
          </cell>
          <cell r="B1207" t="str">
            <v>1015518</v>
          </cell>
          <cell r="C1207" t="str">
            <v>10237</v>
          </cell>
          <cell r="D1207" t="str">
            <v>5BHL</v>
          </cell>
          <cell r="E1207" t="str">
            <v>THUMBSNAP TAN RH RUGER GP100 4IN</v>
          </cell>
          <cell r="F1207" t="str">
            <v>BN-LEATHER</v>
          </cell>
          <cell r="G1207" t="str">
            <v>1420-210-FG</v>
          </cell>
          <cell r="H1207" t="str">
            <v>R</v>
          </cell>
          <cell r="I1207" t="str">
            <v>06/11/2024</v>
          </cell>
          <cell r="J1207" t="str">
            <v>06/11/2024</v>
          </cell>
          <cell r="K1207" t="str">
            <v>06/20/2024</v>
          </cell>
          <cell r="L1207">
            <v>20</v>
          </cell>
          <cell r="M1207" t="str">
            <v>6/11/2024 2:54:07 PM</v>
          </cell>
          <cell r="N1207" t="str">
            <v>25</v>
          </cell>
          <cell r="O1207">
            <v>20</v>
          </cell>
          <cell r="P1207">
            <v>12.86</v>
          </cell>
        </row>
        <row r="1208">
          <cell r="A1208" t="str">
            <v>6728608</v>
          </cell>
          <cell r="B1208" t="str">
            <v>1015541</v>
          </cell>
          <cell r="C1208" t="str">
            <v>10277</v>
          </cell>
          <cell r="D1208" t="str">
            <v>5BHL</v>
          </cell>
          <cell r="E1208" t="str">
            <v>THUMBSNAP TAN RH S-W 19 IN KIN 2 1/2IN</v>
          </cell>
          <cell r="F1208" t="str">
            <v>BN-LEATHER</v>
          </cell>
          <cell r="G1208" t="str">
            <v>1420-210-FG</v>
          </cell>
          <cell r="H1208" t="str">
            <v>R</v>
          </cell>
          <cell r="I1208" t="str">
            <v>06/12/2024</v>
          </cell>
          <cell r="J1208" t="str">
            <v>06/12/2024</v>
          </cell>
          <cell r="K1208" t="str">
            <v>06/20/2024</v>
          </cell>
          <cell r="L1208">
            <v>5</v>
          </cell>
          <cell r="M1208" t="str">
            <v>6/12/2024 11:11:38 AM</v>
          </cell>
          <cell r="N1208" t="str">
            <v>25</v>
          </cell>
          <cell r="O1208">
            <v>5</v>
          </cell>
          <cell r="P1208">
            <v>2.2999999999999998</v>
          </cell>
        </row>
        <row r="1209">
          <cell r="A1209" t="str">
            <v>6724679</v>
          </cell>
          <cell r="B1209" t="str">
            <v>1151070</v>
          </cell>
          <cell r="C1209" t="str">
            <v>775-419-48</v>
          </cell>
          <cell r="D1209" t="str">
            <v>775</v>
          </cell>
          <cell r="E1209" t="str">
            <v>TRIPLE MAG PCH OPEN TOP S W M P</v>
          </cell>
          <cell r="F1209" t="str">
            <v>DG-POUCH-F1</v>
          </cell>
          <cell r="G1209" t="str">
            <v>1420-210-FG</v>
          </cell>
          <cell r="H1209" t="str">
            <v>R</v>
          </cell>
          <cell r="I1209" t="str">
            <v>06/04/2024</v>
          </cell>
          <cell r="J1209" t="str">
            <v>06/05/2024</v>
          </cell>
          <cell r="K1209" t="str">
            <v>06/20/2024</v>
          </cell>
          <cell r="L1209">
            <v>10</v>
          </cell>
          <cell r="M1209" t="str">
            <v>6/5/2024 3:03:18 PM</v>
          </cell>
          <cell r="N1209" t="str">
            <v>25</v>
          </cell>
          <cell r="O1209">
            <v>10</v>
          </cell>
          <cell r="P1209">
            <v>3.66</v>
          </cell>
        </row>
        <row r="1210">
          <cell r="A1210" t="str">
            <v>6724715</v>
          </cell>
          <cell r="B1210" t="str">
            <v>1163143</v>
          </cell>
          <cell r="C1210" t="str">
            <v>775-419-76</v>
          </cell>
          <cell r="D1210" t="str">
            <v>775</v>
          </cell>
          <cell r="E1210" t="str">
            <v>TRIPLE MAG PCH OPEN TOP S W M P</v>
          </cell>
          <cell r="F1210" t="str">
            <v>DG-POUCH-F1</v>
          </cell>
          <cell r="G1210" t="str">
            <v>1420-210-FG</v>
          </cell>
          <cell r="H1210" t="str">
            <v>R</v>
          </cell>
          <cell r="I1210" t="str">
            <v>06/04/2024</v>
          </cell>
          <cell r="J1210" t="str">
            <v>06/05/2024</v>
          </cell>
          <cell r="K1210" t="str">
            <v>06/20/2024</v>
          </cell>
          <cell r="L1210">
            <v>1</v>
          </cell>
          <cell r="M1210" t="str">
            <v>6/5/2024 3:03:18 PM</v>
          </cell>
          <cell r="N1210" t="str">
            <v>25</v>
          </cell>
          <cell r="O1210">
            <v>1</v>
          </cell>
          <cell r="P1210">
            <v>0.38</v>
          </cell>
        </row>
        <row r="1211">
          <cell r="A1211" t="str">
            <v>6726735</v>
          </cell>
          <cell r="B1211" t="str">
            <v>1097209</v>
          </cell>
          <cell r="C1211" t="str">
            <v>146-42-4</v>
          </cell>
          <cell r="D1211" t="str">
            <v>146</v>
          </cell>
          <cell r="E1211" t="str">
            <v>146 BORDER PATROL BLT BSK BLK SZ42 CH</v>
          </cell>
          <cell r="F1211" t="str">
            <v>DG-BELT</v>
          </cell>
          <cell r="G1211" t="str">
            <v>1420-210-FG</v>
          </cell>
          <cell r="H1211" t="str">
            <v>F</v>
          </cell>
          <cell r="I1211" t="str">
            <v>06/10/2024</v>
          </cell>
          <cell r="J1211" t="str">
            <v>06/10/2024</v>
          </cell>
          <cell r="K1211" t="str">
            <v>06/21/2024</v>
          </cell>
          <cell r="L1211">
            <v>5</v>
          </cell>
          <cell r="M1211" t="str">
            <v/>
          </cell>
          <cell r="N1211" t="str">
            <v>25</v>
          </cell>
          <cell r="O1211">
            <v>5</v>
          </cell>
          <cell r="P1211">
            <v>2.6</v>
          </cell>
        </row>
        <row r="1212">
          <cell r="A1212" t="str">
            <v>6726731</v>
          </cell>
          <cell r="B1212" t="str">
            <v>1097192</v>
          </cell>
          <cell r="C1212" t="str">
            <v>146-40-2</v>
          </cell>
          <cell r="D1212" t="str">
            <v>146</v>
          </cell>
          <cell r="E1212" t="str">
            <v>146 BORDER PATROL BLT PLN BLK SZ40 CH</v>
          </cell>
          <cell r="F1212" t="str">
            <v>DG-BELT</v>
          </cell>
          <cell r="G1212" t="str">
            <v>1420-210-FG</v>
          </cell>
          <cell r="H1212" t="str">
            <v>R</v>
          </cell>
          <cell r="I1212" t="str">
            <v>06/10/2024</v>
          </cell>
          <cell r="J1212" t="str">
            <v>06/10/2024</v>
          </cell>
          <cell r="K1212" t="str">
            <v>06/21/2024</v>
          </cell>
          <cell r="L1212">
            <v>5</v>
          </cell>
          <cell r="M1212" t="str">
            <v>6/11/2024 3:02:21 PM</v>
          </cell>
          <cell r="N1212" t="str">
            <v>25</v>
          </cell>
          <cell r="O1212">
            <v>5</v>
          </cell>
          <cell r="P1212">
            <v>2.4300000000000002</v>
          </cell>
        </row>
        <row r="1213">
          <cell r="A1213" t="str">
            <v>6728293</v>
          </cell>
          <cell r="B1213" t="str">
            <v>1208712</v>
          </cell>
          <cell r="C1213" t="str">
            <v>17-450-131</v>
          </cell>
          <cell r="D1213" t="str">
            <v>17</v>
          </cell>
          <cell r="E1213" t="str">
            <v>17 SIG P320 STX TAC BLK RH</v>
          </cell>
          <cell r="F1213" t="str">
            <v>DG-HOLSTER-SEW-DTC</v>
          </cell>
          <cell r="G1213" t="str">
            <v>1420-210-FG</v>
          </cell>
          <cell r="H1213" t="str">
            <v>R</v>
          </cell>
          <cell r="I1213" t="str">
            <v>06/11/2024</v>
          </cell>
          <cell r="J1213" t="str">
            <v>06/12/2024</v>
          </cell>
          <cell r="K1213" t="str">
            <v>06/21/2024</v>
          </cell>
          <cell r="L1213">
            <v>11</v>
          </cell>
          <cell r="M1213" t="str">
            <v>6/12/2024 4:11:23 PM</v>
          </cell>
          <cell r="N1213" t="str">
            <v>25</v>
          </cell>
          <cell r="O1213">
            <v>11</v>
          </cell>
          <cell r="P1213">
            <v>2.0499999999999998</v>
          </cell>
        </row>
        <row r="1214">
          <cell r="A1214" t="str">
            <v>6728289</v>
          </cell>
          <cell r="B1214" t="str">
            <v>1177344</v>
          </cell>
          <cell r="C1214" t="str">
            <v>25-894-21</v>
          </cell>
          <cell r="D1214" t="str">
            <v>25</v>
          </cell>
          <cell r="E1214" t="str">
            <v>25 GLOCK 42 SIG 365 PLN BLK RH</v>
          </cell>
          <cell r="F1214" t="str">
            <v>DG-HOLSTER-SEW-DTC</v>
          </cell>
          <cell r="G1214" t="str">
            <v>1420-210-FG</v>
          </cell>
          <cell r="H1214" t="str">
            <v>R</v>
          </cell>
          <cell r="I1214" t="str">
            <v>06/11/2024</v>
          </cell>
          <cell r="J1214" t="str">
            <v>06/17/2024</v>
          </cell>
          <cell r="K1214" t="str">
            <v>06/21/2024</v>
          </cell>
          <cell r="L1214">
            <v>5</v>
          </cell>
          <cell r="M1214" t="str">
            <v>6/12/2024 4:11:09 PM</v>
          </cell>
          <cell r="N1214" t="str">
            <v>25</v>
          </cell>
          <cell r="O1214">
            <v>5</v>
          </cell>
          <cell r="P1214">
            <v>1.78</v>
          </cell>
        </row>
        <row r="1215">
          <cell r="A1215" t="str">
            <v>6728123</v>
          </cell>
          <cell r="B1215" t="str">
            <v>1316520</v>
          </cell>
          <cell r="C1215" t="str">
            <v>36-8-762</v>
          </cell>
          <cell r="D1215" t="str">
            <v>36</v>
          </cell>
          <cell r="E1215" t="str">
            <v>36 MK9 STX TAC CYB LH</v>
          </cell>
          <cell r="F1215" t="str">
            <v>DG-HOLSTER-H-DTC</v>
          </cell>
          <cell r="G1215" t="str">
            <v>1420-210-FG</v>
          </cell>
          <cell r="H1215" t="str">
            <v>R</v>
          </cell>
          <cell r="I1215" t="str">
            <v>06/11/2024</v>
          </cell>
          <cell r="J1215" t="str">
            <v>06/17/2024</v>
          </cell>
          <cell r="K1215" t="str">
            <v>06/21/2024</v>
          </cell>
          <cell r="L1215">
            <v>2</v>
          </cell>
          <cell r="M1215" t="str">
            <v>6/12/2024 4:23:35 PM</v>
          </cell>
          <cell r="N1215" t="str">
            <v>25</v>
          </cell>
          <cell r="O1215">
            <v>2</v>
          </cell>
          <cell r="P1215">
            <v>0.28000000000000003</v>
          </cell>
        </row>
        <row r="1216">
          <cell r="A1216" t="str">
            <v>6728286</v>
          </cell>
          <cell r="B1216" t="str">
            <v>1155458</v>
          </cell>
          <cell r="C1216" t="str">
            <v>5198-53-132</v>
          </cell>
          <cell r="D1216" t="str">
            <v>5198</v>
          </cell>
          <cell r="E1216" t="str">
            <v>5198 COLT 1911 STX TAC BLK LH</v>
          </cell>
          <cell r="F1216" t="str">
            <v>DG-HOLSTER-SEW-DTC</v>
          </cell>
          <cell r="G1216" t="str">
            <v>1420-210-FG</v>
          </cell>
          <cell r="H1216" t="str">
            <v>R</v>
          </cell>
          <cell r="I1216" t="str">
            <v>06/11/2024</v>
          </cell>
          <cell r="J1216" t="str">
            <v>06/17/2024</v>
          </cell>
          <cell r="K1216" t="str">
            <v>06/21/2024</v>
          </cell>
          <cell r="L1216">
            <v>1</v>
          </cell>
          <cell r="M1216" t="str">
            <v>6/12/2024 4:13:49 PM</v>
          </cell>
          <cell r="N1216" t="str">
            <v>25</v>
          </cell>
          <cell r="O1216">
            <v>1</v>
          </cell>
          <cell r="P1216">
            <v>0.28000000000000003</v>
          </cell>
        </row>
        <row r="1217">
          <cell r="A1217" t="str">
            <v>6728287</v>
          </cell>
          <cell r="B1217" t="str">
            <v>1159291</v>
          </cell>
          <cell r="C1217" t="str">
            <v>5198-83-481</v>
          </cell>
          <cell r="D1217" t="str">
            <v>5198</v>
          </cell>
          <cell r="E1217" t="str">
            <v>5198 GLOCK 17/22 STX BSK BLK RH</v>
          </cell>
          <cell r="F1217" t="str">
            <v>DG-HOLSTER-SEW-DTC</v>
          </cell>
          <cell r="G1217" t="str">
            <v>1420-210-FG</v>
          </cell>
          <cell r="H1217" t="str">
            <v>R</v>
          </cell>
          <cell r="I1217" t="str">
            <v>06/11/2024</v>
          </cell>
          <cell r="J1217" t="str">
            <v>06/13/2024</v>
          </cell>
          <cell r="K1217" t="str">
            <v>06/21/2024</v>
          </cell>
          <cell r="L1217">
            <v>2</v>
          </cell>
          <cell r="M1217" t="str">
            <v>6/12/2024 4:20:37 PM</v>
          </cell>
          <cell r="N1217" t="str">
            <v>25</v>
          </cell>
          <cell r="O1217">
            <v>2</v>
          </cell>
          <cell r="P1217">
            <v>0.65</v>
          </cell>
        </row>
        <row r="1218">
          <cell r="A1218" t="str">
            <v>6728290</v>
          </cell>
          <cell r="B1218" t="str">
            <v>1200733</v>
          </cell>
          <cell r="C1218" t="str">
            <v>5198-593-132</v>
          </cell>
          <cell r="D1218" t="str">
            <v>5198</v>
          </cell>
          <cell r="E1218" t="str">
            <v>5198 H&amp;K VP9 STX TAC BLK LH</v>
          </cell>
          <cell r="F1218" t="str">
            <v>DG-HOLSTER-SEW-DTC</v>
          </cell>
          <cell r="G1218" t="str">
            <v>1420-210-FG</v>
          </cell>
          <cell r="H1218" t="str">
            <v>R</v>
          </cell>
          <cell r="I1218" t="str">
            <v>06/11/2024</v>
          </cell>
          <cell r="J1218" t="str">
            <v>06/14/2024</v>
          </cell>
          <cell r="K1218" t="str">
            <v>06/21/2024</v>
          </cell>
          <cell r="L1218">
            <v>1</v>
          </cell>
          <cell r="M1218" t="str">
            <v>6/12/2024 4:13:49 PM</v>
          </cell>
          <cell r="N1218" t="str">
            <v>25</v>
          </cell>
          <cell r="O1218">
            <v>1</v>
          </cell>
          <cell r="P1218">
            <v>0.15</v>
          </cell>
        </row>
        <row r="1219">
          <cell r="A1219" t="str">
            <v>6728028</v>
          </cell>
          <cell r="B1219" t="str">
            <v>1324615</v>
          </cell>
          <cell r="C1219" t="str">
            <v>537-750-61-NP</v>
          </cell>
          <cell r="D1219" t="str">
            <v>537</v>
          </cell>
          <cell r="E1219" t="str">
            <v>537 SIG P320C 9/40 PLN BLK RH</v>
          </cell>
          <cell r="F1219" t="str">
            <v>DG-HOLSTER-DTC</v>
          </cell>
          <cell r="G1219" t="str">
            <v>1420-210-FG</v>
          </cell>
          <cell r="H1219" t="str">
            <v>R</v>
          </cell>
          <cell r="I1219" t="str">
            <v>06/11/2024</v>
          </cell>
          <cell r="J1219" t="str">
            <v>06/14/2024</v>
          </cell>
          <cell r="K1219" t="str">
            <v>06/21/2024</v>
          </cell>
          <cell r="L1219">
            <v>30</v>
          </cell>
          <cell r="M1219" t="str">
            <v>6/12/2024 4:11:44 PM</v>
          </cell>
          <cell r="N1219" t="str">
            <v>25</v>
          </cell>
          <cell r="O1219">
            <v>30</v>
          </cell>
          <cell r="P1219">
            <v>13.29</v>
          </cell>
        </row>
        <row r="1220">
          <cell r="A1220" t="str">
            <v>6728877</v>
          </cell>
          <cell r="B1220" t="str">
            <v>1198594</v>
          </cell>
          <cell r="C1220" t="str">
            <v>537-750-61</v>
          </cell>
          <cell r="D1220" t="str">
            <v>537</v>
          </cell>
          <cell r="E1220" t="str">
            <v>537 SIG P320C 9/40 PLN BLK RH</v>
          </cell>
          <cell r="F1220" t="str">
            <v>DG-HOLSTER-SEW-DTC</v>
          </cell>
          <cell r="G1220" t="str">
            <v>1420-210-FG</v>
          </cell>
          <cell r="H1220" t="str">
            <v>F</v>
          </cell>
          <cell r="I1220" t="str">
            <v>06/13/2024</v>
          </cell>
          <cell r="J1220" t="str">
            <v>06/13/2024</v>
          </cell>
          <cell r="K1220" t="str">
            <v>06/21/2024</v>
          </cell>
          <cell r="L1220">
            <v>5</v>
          </cell>
          <cell r="M1220" t="str">
            <v/>
          </cell>
          <cell r="N1220" t="str">
            <v>25</v>
          </cell>
          <cell r="O1220">
            <v>5</v>
          </cell>
          <cell r="P1220">
            <v>2.2200000000000002</v>
          </cell>
        </row>
        <row r="1221">
          <cell r="A1221" t="str">
            <v>6728118</v>
          </cell>
          <cell r="B1221" t="str">
            <v>1116951</v>
          </cell>
          <cell r="C1221" t="str">
            <v>6004-8310-122</v>
          </cell>
          <cell r="D1221" t="str">
            <v>6004</v>
          </cell>
          <cell r="E1221" t="str">
            <v>6004 GLOCK 17/22 GTL10 STX TAC BLK LH</v>
          </cell>
          <cell r="F1221" t="str">
            <v>DG-HOLSTER-H-DTC</v>
          </cell>
          <cell r="G1221" t="str">
            <v>1420-210-FG</v>
          </cell>
          <cell r="H1221" t="str">
            <v>R</v>
          </cell>
          <cell r="I1221" t="str">
            <v>06/11/2024</v>
          </cell>
          <cell r="J1221" t="str">
            <v>06/18/2024</v>
          </cell>
          <cell r="K1221" t="str">
            <v>06/21/2024</v>
          </cell>
          <cell r="L1221">
            <v>5</v>
          </cell>
          <cell r="M1221" t="str">
            <v>6/12/2024 4:13:49 PM</v>
          </cell>
          <cell r="N1221" t="str">
            <v>25</v>
          </cell>
          <cell r="O1221">
            <v>5</v>
          </cell>
          <cell r="P1221">
            <v>3.13</v>
          </cell>
        </row>
        <row r="1222">
          <cell r="A1222" t="str">
            <v>6728697</v>
          </cell>
          <cell r="B1222" t="str">
            <v>1141582</v>
          </cell>
          <cell r="C1222" t="str">
            <v>6004-6832-121-SP10</v>
          </cell>
          <cell r="D1222" t="str">
            <v>6004</v>
          </cell>
          <cell r="E1222" t="str">
            <v>6004 GLOCK 34/35 X300 STX TAC BLK RH</v>
          </cell>
          <cell r="F1222" t="str">
            <v>DG-HOLSTER-H</v>
          </cell>
          <cell r="G1222" t="str">
            <v>1420-210-FG</v>
          </cell>
          <cell r="H1222" t="str">
            <v>R</v>
          </cell>
          <cell r="I1222" t="str">
            <v>06/12/2024</v>
          </cell>
          <cell r="J1222" t="str">
            <v>06/18/2024</v>
          </cell>
          <cell r="K1222" t="str">
            <v>06/21/2024</v>
          </cell>
          <cell r="L1222">
            <v>1</v>
          </cell>
          <cell r="M1222" t="str">
            <v>6/12/2024 4:13:49 PM</v>
          </cell>
          <cell r="N1222" t="str">
            <v>25</v>
          </cell>
          <cell r="O1222">
            <v>1</v>
          </cell>
          <cell r="P1222">
            <v>0.6</v>
          </cell>
        </row>
        <row r="1223">
          <cell r="A1223" t="str">
            <v>6727643</v>
          </cell>
          <cell r="B1223" t="str">
            <v>1129143</v>
          </cell>
          <cell r="C1223" t="str">
            <v>6004-14921-122-SP10</v>
          </cell>
          <cell r="D1223" t="str">
            <v>6004</v>
          </cell>
          <cell r="E1223" t="str">
            <v>6004 SPNGFLD XD 9/40 X300 STX TAC BLK LH</v>
          </cell>
          <cell r="F1223" t="str">
            <v>DG-HOLSTER-H</v>
          </cell>
          <cell r="G1223" t="str">
            <v>1420-210-FG</v>
          </cell>
          <cell r="H1223" t="str">
            <v>R</v>
          </cell>
          <cell r="I1223" t="str">
            <v>06/11/2024</v>
          </cell>
          <cell r="J1223" t="str">
            <v>06/11/2024</v>
          </cell>
          <cell r="K1223" t="str">
            <v>06/21/2024</v>
          </cell>
          <cell r="L1223">
            <v>1</v>
          </cell>
          <cell r="M1223" t="str">
            <v>6/12/2024 4:13:49 PM</v>
          </cell>
          <cell r="N1223" t="str">
            <v>25</v>
          </cell>
          <cell r="O1223">
            <v>1</v>
          </cell>
          <cell r="P1223">
            <v>0.6</v>
          </cell>
        </row>
        <row r="1224">
          <cell r="A1224" t="str">
            <v>6726950</v>
          </cell>
          <cell r="B1224" t="str">
            <v>1175355</v>
          </cell>
          <cell r="C1224" t="str">
            <v>6005-18021-121-SP10</v>
          </cell>
          <cell r="D1224" t="str">
            <v>6005</v>
          </cell>
          <cell r="E1224" t="str">
            <v>6005 BERETTA PX4 S300 STX TAC BLK RH</v>
          </cell>
          <cell r="F1224" t="str">
            <v>DG-HOLSTER-H</v>
          </cell>
          <cell r="G1224" t="str">
            <v>1420-210-FG</v>
          </cell>
          <cell r="H1224" t="str">
            <v>R</v>
          </cell>
          <cell r="I1224" t="str">
            <v>06/10/2024</v>
          </cell>
          <cell r="J1224" t="str">
            <v>06/10/2024</v>
          </cell>
          <cell r="K1224" t="str">
            <v>06/21/2024</v>
          </cell>
          <cell r="L1224">
            <v>1</v>
          </cell>
          <cell r="M1224" t="str">
            <v>6/11/2024 3:42:45 PM</v>
          </cell>
          <cell r="N1224" t="str">
            <v>25</v>
          </cell>
          <cell r="O1224">
            <v>1</v>
          </cell>
          <cell r="P1224">
            <v>0.6</v>
          </cell>
        </row>
        <row r="1225">
          <cell r="A1225" t="str">
            <v>6728121</v>
          </cell>
          <cell r="B1225" t="str">
            <v>1123256</v>
          </cell>
          <cell r="C1225" t="str">
            <v>6005-832-551</v>
          </cell>
          <cell r="D1225" t="str">
            <v>6005</v>
          </cell>
          <cell r="E1225" t="str">
            <v>6005 GLOCK 17/22 X300 STX TAC FDE RH</v>
          </cell>
          <cell r="F1225" t="str">
            <v>DG-HOLSTER-H-DTC</v>
          </cell>
          <cell r="G1225" t="str">
            <v>1420-210-FG</v>
          </cell>
          <cell r="H1225" t="str">
            <v>R</v>
          </cell>
          <cell r="I1225" t="str">
            <v>06/11/2024</v>
          </cell>
          <cell r="J1225" t="str">
            <v>06/14/2024</v>
          </cell>
          <cell r="K1225" t="str">
            <v>06/21/2024</v>
          </cell>
          <cell r="L1225">
            <v>1</v>
          </cell>
          <cell r="M1225" t="str">
            <v>6/12/2024 4:17:55 PM</v>
          </cell>
          <cell r="N1225" t="str">
            <v>25</v>
          </cell>
          <cell r="O1225">
            <v>1</v>
          </cell>
          <cell r="P1225">
            <v>0.63</v>
          </cell>
        </row>
        <row r="1226">
          <cell r="A1226" t="str">
            <v>6728120</v>
          </cell>
          <cell r="B1226" t="str">
            <v>1117762</v>
          </cell>
          <cell r="C1226" t="str">
            <v>6005-2832-122</v>
          </cell>
          <cell r="D1226" t="str">
            <v>6005</v>
          </cell>
          <cell r="E1226" t="str">
            <v>6005 GLOCK 19/23 X300 STX TAC BLK LH</v>
          </cell>
          <cell r="F1226" t="str">
            <v>DG-HOLSTER-H-DTC</v>
          </cell>
          <cell r="G1226" t="str">
            <v>1420-210-FG</v>
          </cell>
          <cell r="H1226" t="str">
            <v>R</v>
          </cell>
          <cell r="I1226" t="str">
            <v>06/11/2024</v>
          </cell>
          <cell r="J1226" t="str">
            <v>06/17/2024</v>
          </cell>
          <cell r="K1226" t="str">
            <v>06/21/2024</v>
          </cell>
          <cell r="L1226">
            <v>1</v>
          </cell>
          <cell r="M1226" t="str">
            <v>6/12/2024 4:13:49 PM</v>
          </cell>
          <cell r="N1226" t="str">
            <v>25</v>
          </cell>
          <cell r="O1226">
            <v>1</v>
          </cell>
          <cell r="P1226">
            <v>0.63</v>
          </cell>
        </row>
        <row r="1227">
          <cell r="A1227" t="str">
            <v>6728119</v>
          </cell>
          <cell r="B1227" t="str">
            <v>1117761</v>
          </cell>
          <cell r="C1227" t="str">
            <v>6005-2832-121</v>
          </cell>
          <cell r="D1227" t="str">
            <v>6005</v>
          </cell>
          <cell r="E1227" t="str">
            <v>6005 GLOCK 19/23 X300 STX TAC BLK RH</v>
          </cell>
          <cell r="F1227" t="str">
            <v>DG-HOLSTER-H-DTC</v>
          </cell>
          <cell r="G1227" t="str">
            <v>1420-210-FG</v>
          </cell>
          <cell r="H1227" t="str">
            <v>R</v>
          </cell>
          <cell r="I1227" t="str">
            <v>06/11/2024</v>
          </cell>
          <cell r="J1227" t="str">
            <v>06/17/2024</v>
          </cell>
          <cell r="K1227" t="str">
            <v>06/21/2024</v>
          </cell>
          <cell r="L1227">
            <v>34</v>
          </cell>
          <cell r="M1227" t="str">
            <v>6/12/2024 4:13:49 PM</v>
          </cell>
          <cell r="N1227" t="str">
            <v>25</v>
          </cell>
          <cell r="O1227">
            <v>34</v>
          </cell>
          <cell r="P1227">
            <v>21.19</v>
          </cell>
        </row>
        <row r="1228">
          <cell r="A1228" t="str">
            <v>6728114</v>
          </cell>
          <cell r="B1228" t="str">
            <v>1119898</v>
          </cell>
          <cell r="C1228" t="str">
            <v>6005-219-122</v>
          </cell>
          <cell r="D1228" t="str">
            <v>6005</v>
          </cell>
          <cell r="E1228" t="str">
            <v>6005 S&amp;W M&amp;P9/40 1.0 STX TAC BLK LH</v>
          </cell>
          <cell r="F1228" t="str">
            <v>DG-HOLSTER-H</v>
          </cell>
          <cell r="G1228" t="str">
            <v>1420-210-FG</v>
          </cell>
          <cell r="H1228" t="str">
            <v>R</v>
          </cell>
          <cell r="I1228" t="str">
            <v>06/11/2024</v>
          </cell>
          <cell r="J1228" t="str">
            <v>06/14/2024</v>
          </cell>
          <cell r="K1228" t="str">
            <v>06/21/2024</v>
          </cell>
          <cell r="L1228">
            <v>10</v>
          </cell>
          <cell r="M1228" t="str">
            <v>6/12/2024 4:13:49 PM</v>
          </cell>
          <cell r="N1228" t="str">
            <v>25</v>
          </cell>
          <cell r="O1228">
            <v>10</v>
          </cell>
          <cell r="P1228">
            <v>4.29</v>
          </cell>
        </row>
        <row r="1229">
          <cell r="A1229" t="str">
            <v>6728113</v>
          </cell>
          <cell r="B1229" t="str">
            <v>1119897</v>
          </cell>
          <cell r="C1229" t="str">
            <v>6005-219-121</v>
          </cell>
          <cell r="D1229" t="str">
            <v>6005</v>
          </cell>
          <cell r="E1229" t="str">
            <v>6005 S&amp;W M&amp;P9/40 1.0 STX TAC BLK RH</v>
          </cell>
          <cell r="F1229" t="str">
            <v>DG-HOLSTER-H</v>
          </cell>
          <cell r="G1229" t="str">
            <v>1420-210-FG</v>
          </cell>
          <cell r="H1229" t="str">
            <v>R</v>
          </cell>
          <cell r="I1229" t="str">
            <v>06/11/2024</v>
          </cell>
          <cell r="J1229" t="str">
            <v>06/14/2024</v>
          </cell>
          <cell r="K1229" t="str">
            <v>06/21/2024</v>
          </cell>
          <cell r="L1229">
            <v>10</v>
          </cell>
          <cell r="M1229" t="str">
            <v>6/12/2024 4:13:49 PM</v>
          </cell>
          <cell r="N1229" t="str">
            <v>25</v>
          </cell>
          <cell r="O1229">
            <v>10</v>
          </cell>
          <cell r="P1229">
            <v>4.29</v>
          </cell>
        </row>
        <row r="1230">
          <cell r="A1230" t="str">
            <v>6728116</v>
          </cell>
          <cell r="B1230" t="str">
            <v>1203605</v>
          </cell>
          <cell r="C1230" t="str">
            <v>6005-4502-761</v>
          </cell>
          <cell r="D1230" t="str">
            <v>6005</v>
          </cell>
          <cell r="E1230" t="str">
            <v>6005 SIG P320 X300U STX TAC CYB RH</v>
          </cell>
          <cell r="F1230" t="str">
            <v>DG-HOLSTER-H</v>
          </cell>
          <cell r="G1230" t="str">
            <v>1420-210-FG</v>
          </cell>
          <cell r="H1230" t="str">
            <v>R</v>
          </cell>
          <cell r="I1230" t="str">
            <v>06/11/2024</v>
          </cell>
          <cell r="J1230" t="str">
            <v>06/14/2024</v>
          </cell>
          <cell r="K1230" t="str">
            <v>06/21/2024</v>
          </cell>
          <cell r="L1230">
            <v>1</v>
          </cell>
          <cell r="M1230" t="str">
            <v>6/12/2024 4:23:22 PM</v>
          </cell>
          <cell r="N1230" t="str">
            <v>25</v>
          </cell>
          <cell r="O1230">
            <v>1</v>
          </cell>
          <cell r="P1230">
            <v>0.5</v>
          </cell>
        </row>
        <row r="1231">
          <cell r="A1231" t="str">
            <v>6726952</v>
          </cell>
          <cell r="B1231" t="str">
            <v>1187887</v>
          </cell>
          <cell r="C1231" t="str">
            <v>6005-364-122</v>
          </cell>
          <cell r="D1231" t="str">
            <v>6005</v>
          </cell>
          <cell r="E1231" t="str">
            <v>6005 X26P STX TAC BLK LH</v>
          </cell>
          <cell r="F1231" t="str">
            <v>DG-HOLSTER-H</v>
          </cell>
          <cell r="G1231" t="str">
            <v>1420-210-FG</v>
          </cell>
          <cell r="H1231" t="str">
            <v>R</v>
          </cell>
          <cell r="I1231" t="str">
            <v>06/10/2024</v>
          </cell>
          <cell r="J1231" t="str">
            <v>06/10/2024</v>
          </cell>
          <cell r="K1231" t="str">
            <v>06/21/2024</v>
          </cell>
          <cell r="L1231">
            <v>1</v>
          </cell>
          <cell r="M1231" t="str">
            <v>6/11/2024 3:43:03 PM</v>
          </cell>
          <cell r="N1231" t="str">
            <v>25</v>
          </cell>
          <cell r="O1231">
            <v>1</v>
          </cell>
          <cell r="P1231">
            <v>0.41</v>
          </cell>
        </row>
        <row r="1232">
          <cell r="A1232" t="str">
            <v>6728622</v>
          </cell>
          <cell r="B1232" t="str">
            <v>1100734</v>
          </cell>
          <cell r="C1232" t="str">
            <v>6280-173-81</v>
          </cell>
          <cell r="D1232" t="str">
            <v>6280</v>
          </cell>
          <cell r="E1232" t="str">
            <v>6280 BERETTA 92D BSK BLK RH</v>
          </cell>
          <cell r="F1232" t="str">
            <v>DG-HOLSTER</v>
          </cell>
          <cell r="G1232" t="str">
            <v>1420-210-FG</v>
          </cell>
          <cell r="H1232" t="str">
            <v>R</v>
          </cell>
          <cell r="I1232" t="str">
            <v>06/12/2024</v>
          </cell>
          <cell r="J1232" t="str">
            <v>06/12/2024</v>
          </cell>
          <cell r="K1232" t="str">
            <v>06/21/2024</v>
          </cell>
          <cell r="L1232">
            <v>1</v>
          </cell>
          <cell r="M1232" t="str">
            <v>6/12/2024 4:13:49 PM</v>
          </cell>
          <cell r="N1232" t="str">
            <v>25</v>
          </cell>
          <cell r="O1232">
            <v>1</v>
          </cell>
          <cell r="P1232">
            <v>0.38</v>
          </cell>
        </row>
        <row r="1233">
          <cell r="A1233" t="str">
            <v>6728623</v>
          </cell>
          <cell r="B1233" t="str">
            <v>1101246</v>
          </cell>
          <cell r="C1233" t="str">
            <v>6280-53-91</v>
          </cell>
          <cell r="D1233" t="str">
            <v>6280</v>
          </cell>
          <cell r="E1233" t="str">
            <v>6280 COLT 1911 HGS BLK RH</v>
          </cell>
          <cell r="F1233" t="str">
            <v>DG-HOLSTER</v>
          </cell>
          <cell r="G1233" t="str">
            <v>1420-210-FG</v>
          </cell>
          <cell r="H1233" t="str">
            <v>R</v>
          </cell>
          <cell r="I1233" t="str">
            <v>06/12/2024</v>
          </cell>
          <cell r="J1233" t="str">
            <v>06/12/2024</v>
          </cell>
          <cell r="K1233" t="str">
            <v>06/21/2024</v>
          </cell>
          <cell r="L1233">
            <v>3</v>
          </cell>
          <cell r="M1233" t="str">
            <v>6/12/2024 4:13:49 PM</v>
          </cell>
          <cell r="N1233" t="str">
            <v>25</v>
          </cell>
          <cell r="O1233">
            <v>3</v>
          </cell>
          <cell r="P1233">
            <v>1.1100000000000001</v>
          </cell>
        </row>
        <row r="1234">
          <cell r="A1234" t="str">
            <v>6728035</v>
          </cell>
          <cell r="B1234" t="str">
            <v>1116924</v>
          </cell>
          <cell r="C1234" t="str">
            <v>6280-836-62</v>
          </cell>
          <cell r="D1234" t="str">
            <v>6280</v>
          </cell>
          <cell r="E1234" t="str">
            <v>6280 GLOCK 17/22  X300U PLN BLK LH</v>
          </cell>
          <cell r="F1234" t="str">
            <v>DG-HOLSTER-DTC</v>
          </cell>
          <cell r="G1234" t="str">
            <v>1420-210-FG</v>
          </cell>
          <cell r="H1234" t="str">
            <v>R</v>
          </cell>
          <cell r="I1234" t="str">
            <v>06/11/2024</v>
          </cell>
          <cell r="J1234" t="str">
            <v>06/13/2024</v>
          </cell>
          <cell r="K1234" t="str">
            <v>06/21/2024</v>
          </cell>
          <cell r="L1234">
            <v>1</v>
          </cell>
          <cell r="M1234" t="str">
            <v>6/12/2024 4:13:49 PM</v>
          </cell>
          <cell r="N1234" t="str">
            <v>25</v>
          </cell>
          <cell r="O1234">
            <v>1</v>
          </cell>
          <cell r="P1234">
            <v>0.56999999999999995</v>
          </cell>
        </row>
        <row r="1235">
          <cell r="A1235" t="str">
            <v>6728034</v>
          </cell>
          <cell r="B1235" t="str">
            <v>1116922</v>
          </cell>
          <cell r="C1235" t="str">
            <v>6280-836-131</v>
          </cell>
          <cell r="D1235" t="str">
            <v>6280</v>
          </cell>
          <cell r="E1235" t="str">
            <v>6280 GLOCK 17/22  X300U STX TAC BLK RH</v>
          </cell>
          <cell r="F1235" t="str">
            <v>DG-HOLSTER-DTC</v>
          </cell>
          <cell r="G1235" t="str">
            <v>1420-210-FG</v>
          </cell>
          <cell r="H1235" t="str">
            <v>R</v>
          </cell>
          <cell r="I1235" t="str">
            <v>06/11/2024</v>
          </cell>
          <cell r="J1235" t="str">
            <v>06/14/2024</v>
          </cell>
          <cell r="K1235" t="str">
            <v>06/21/2024</v>
          </cell>
          <cell r="L1235">
            <v>4</v>
          </cell>
          <cell r="M1235" t="str">
            <v>6/12/2024 4:13:49 PM</v>
          </cell>
          <cell r="N1235" t="str">
            <v>25</v>
          </cell>
          <cell r="O1235">
            <v>4</v>
          </cell>
          <cell r="P1235">
            <v>3.74</v>
          </cell>
        </row>
        <row r="1236">
          <cell r="A1236" t="str">
            <v>6728038</v>
          </cell>
          <cell r="B1236" t="str">
            <v>1118441</v>
          </cell>
          <cell r="C1236" t="str">
            <v>6280-832-132-2</v>
          </cell>
          <cell r="D1236" t="str">
            <v>6280</v>
          </cell>
          <cell r="E1236" t="str">
            <v>6280 GLOCK 17/22 X300 STX TAC BLK LH</v>
          </cell>
          <cell r="F1236" t="str">
            <v>DG-HOLSTER-DTC</v>
          </cell>
          <cell r="G1236" t="str">
            <v>1420-210-FG</v>
          </cell>
          <cell r="H1236" t="str">
            <v>R</v>
          </cell>
          <cell r="I1236" t="str">
            <v>06/11/2024</v>
          </cell>
          <cell r="J1236" t="str">
            <v>06/14/2024</v>
          </cell>
          <cell r="K1236" t="str">
            <v>06/21/2024</v>
          </cell>
          <cell r="L1236">
            <v>2</v>
          </cell>
          <cell r="M1236" t="str">
            <v>6/12/2024 4:13:49 PM</v>
          </cell>
          <cell r="N1236" t="str">
            <v>25</v>
          </cell>
          <cell r="O1236">
            <v>2</v>
          </cell>
          <cell r="P1236">
            <v>0.92</v>
          </cell>
        </row>
        <row r="1237">
          <cell r="A1237" t="str">
            <v>6728699</v>
          </cell>
          <cell r="B1237" t="str">
            <v>1124624</v>
          </cell>
          <cell r="C1237" t="str">
            <v>6280-9321-81</v>
          </cell>
          <cell r="D1237" t="str">
            <v>6280</v>
          </cell>
          <cell r="E1237" t="str">
            <v>6280 H&amp;K USP45 X300 BSK BLK RH</v>
          </cell>
          <cell r="F1237" t="str">
            <v>DG-HOLSTER</v>
          </cell>
          <cell r="G1237" t="str">
            <v>1420-210-FG</v>
          </cell>
          <cell r="H1237" t="str">
            <v>R</v>
          </cell>
          <cell r="I1237" t="str">
            <v>06/12/2024</v>
          </cell>
          <cell r="J1237" t="str">
            <v>06/12/2024</v>
          </cell>
          <cell r="K1237" t="str">
            <v>06/21/2024</v>
          </cell>
          <cell r="L1237">
            <v>1</v>
          </cell>
          <cell r="M1237" t="str">
            <v>6/12/2024 4:13:49 PM</v>
          </cell>
          <cell r="N1237" t="str">
            <v>25</v>
          </cell>
          <cell r="O1237">
            <v>1</v>
          </cell>
          <cell r="P1237">
            <v>0.59</v>
          </cell>
        </row>
        <row r="1238">
          <cell r="A1238" t="str">
            <v>6726842</v>
          </cell>
          <cell r="B1238" t="str">
            <v>1130466</v>
          </cell>
          <cell r="C1238" t="str">
            <v>6280-5340-481</v>
          </cell>
          <cell r="D1238" t="str">
            <v>6280</v>
          </cell>
          <cell r="E1238" t="str">
            <v>6280 KIMBER X300 STX BSK BLK RH</v>
          </cell>
          <cell r="F1238" t="str">
            <v>DG-HOLSTER</v>
          </cell>
          <cell r="G1238" t="str">
            <v>1420-210-FG</v>
          </cell>
          <cell r="H1238" t="str">
            <v>R</v>
          </cell>
          <cell r="I1238" t="str">
            <v>06/10/2024</v>
          </cell>
          <cell r="J1238" t="str">
            <v>06/10/2024</v>
          </cell>
          <cell r="K1238" t="str">
            <v>06/21/2024</v>
          </cell>
          <cell r="L1238">
            <v>1</v>
          </cell>
          <cell r="M1238" t="str">
            <v>6/12/2024 4:19:52 PM</v>
          </cell>
          <cell r="N1238" t="str">
            <v>25</v>
          </cell>
          <cell r="O1238">
            <v>1</v>
          </cell>
          <cell r="P1238">
            <v>0.42</v>
          </cell>
        </row>
        <row r="1239">
          <cell r="A1239" t="str">
            <v>6727924</v>
          </cell>
          <cell r="B1239" t="str">
            <v>1119932</v>
          </cell>
          <cell r="C1239" t="str">
            <v>6280-219-82</v>
          </cell>
          <cell r="D1239" t="str">
            <v>6280</v>
          </cell>
          <cell r="E1239" t="str">
            <v>6280 S&amp;W M&amp;P9/40 1.0 BSK BLK LH</v>
          </cell>
          <cell r="F1239" t="str">
            <v>DG-HOLSTER</v>
          </cell>
          <cell r="G1239" t="str">
            <v>1420-210-FG</v>
          </cell>
          <cell r="H1239" t="str">
            <v>R</v>
          </cell>
          <cell r="I1239" t="str">
            <v>06/11/2024</v>
          </cell>
          <cell r="J1239" t="str">
            <v>06/17/2024</v>
          </cell>
          <cell r="K1239" t="str">
            <v>06/21/2024</v>
          </cell>
          <cell r="L1239">
            <v>4</v>
          </cell>
          <cell r="M1239" t="str">
            <v>6/12/2024 4:13:49 PM</v>
          </cell>
          <cell r="N1239" t="str">
            <v>25</v>
          </cell>
          <cell r="O1239">
            <v>4</v>
          </cell>
          <cell r="P1239">
            <v>1.52</v>
          </cell>
        </row>
        <row r="1240">
          <cell r="A1240" t="str">
            <v>6726810</v>
          </cell>
          <cell r="B1240" t="str">
            <v>1101474</v>
          </cell>
          <cell r="C1240" t="str">
            <v>6280-75-132</v>
          </cell>
          <cell r="D1240" t="str">
            <v>6280</v>
          </cell>
          <cell r="E1240" t="str">
            <v>6280 SIG P239 STX TAC BLK LH</v>
          </cell>
          <cell r="F1240" t="str">
            <v>DG-HOLSTER</v>
          </cell>
          <cell r="G1240" t="str">
            <v>1420-210-FG</v>
          </cell>
          <cell r="H1240" t="str">
            <v>R</v>
          </cell>
          <cell r="I1240" t="str">
            <v>06/10/2024</v>
          </cell>
          <cell r="J1240" t="str">
            <v>06/10/2024</v>
          </cell>
          <cell r="K1240" t="str">
            <v>06/21/2024</v>
          </cell>
          <cell r="L1240">
            <v>1</v>
          </cell>
          <cell r="M1240" t="str">
            <v>6/10/2024 12:38:19 PM</v>
          </cell>
          <cell r="N1240" t="str">
            <v>25</v>
          </cell>
          <cell r="O1240">
            <v>1</v>
          </cell>
          <cell r="P1240">
            <v>0.26</v>
          </cell>
        </row>
        <row r="1241">
          <cell r="A1241" t="str">
            <v>6727617</v>
          </cell>
          <cell r="B1241" t="str">
            <v>1139716</v>
          </cell>
          <cell r="C1241" t="str">
            <v>6285-5340-551</v>
          </cell>
          <cell r="D1241" t="str">
            <v>6285</v>
          </cell>
          <cell r="E1241" t="str">
            <v>6285 KIMBER X300 STX TAC FDE RH</v>
          </cell>
          <cell r="F1241" t="str">
            <v>DG-HOLSTER</v>
          </cell>
          <cell r="G1241" t="str">
            <v>1420-210-FG</v>
          </cell>
          <cell r="H1241" t="str">
            <v>R</v>
          </cell>
          <cell r="I1241" t="str">
            <v>06/11/2024</v>
          </cell>
          <cell r="J1241" t="str">
            <v>06/11/2024</v>
          </cell>
          <cell r="K1241" t="str">
            <v>06/21/2024</v>
          </cell>
          <cell r="L1241">
            <v>1</v>
          </cell>
          <cell r="M1241" t="str">
            <v>6/12/2024 4:17:55 PM</v>
          </cell>
          <cell r="N1241" t="str">
            <v>25</v>
          </cell>
          <cell r="O1241">
            <v>1</v>
          </cell>
          <cell r="P1241">
            <v>0.42</v>
          </cell>
        </row>
        <row r="1242">
          <cell r="A1242" t="str">
            <v>6727926</v>
          </cell>
          <cell r="B1242" t="str">
            <v>1119936</v>
          </cell>
          <cell r="C1242" t="str">
            <v>6285-219-132</v>
          </cell>
          <cell r="D1242" t="str">
            <v>6285</v>
          </cell>
          <cell r="E1242" t="str">
            <v>6285 S&amp;W M&amp;P9/40 1.0 STX TAC BLK LH</v>
          </cell>
          <cell r="F1242" t="str">
            <v>DG-HOLSTER</v>
          </cell>
          <cell r="G1242" t="str">
            <v>1420-210-FG</v>
          </cell>
          <cell r="H1242" t="str">
            <v>R</v>
          </cell>
          <cell r="I1242" t="str">
            <v>06/11/2024</v>
          </cell>
          <cell r="J1242" t="str">
            <v>06/14/2024</v>
          </cell>
          <cell r="K1242" t="str">
            <v>06/21/2024</v>
          </cell>
          <cell r="L1242">
            <v>2</v>
          </cell>
          <cell r="M1242" t="str">
            <v>6/12/2024 4:13:49 PM</v>
          </cell>
          <cell r="N1242" t="str">
            <v>25</v>
          </cell>
          <cell r="O1242">
            <v>2</v>
          </cell>
          <cell r="P1242">
            <v>0.53</v>
          </cell>
        </row>
        <row r="1243">
          <cell r="A1243" t="str">
            <v>6727958</v>
          </cell>
          <cell r="B1243" t="str">
            <v>1203557</v>
          </cell>
          <cell r="C1243" t="str">
            <v>6285-4502-131</v>
          </cell>
          <cell r="D1243" t="str">
            <v>6285</v>
          </cell>
          <cell r="E1243" t="str">
            <v>6285 SIG P320 X300U STX TAC BLK RH</v>
          </cell>
          <cell r="F1243" t="str">
            <v>DG-HOLSTER</v>
          </cell>
          <cell r="G1243" t="str">
            <v>1420-210-FG</v>
          </cell>
          <cell r="H1243" t="str">
            <v>R</v>
          </cell>
          <cell r="I1243" t="str">
            <v>06/11/2024</v>
          </cell>
          <cell r="J1243" t="str">
            <v>06/14/2024</v>
          </cell>
          <cell r="K1243" t="str">
            <v>06/21/2024</v>
          </cell>
          <cell r="L1243">
            <v>2</v>
          </cell>
          <cell r="M1243" t="str">
            <v>6/12/2024 4:13:49 PM</v>
          </cell>
          <cell r="N1243" t="str">
            <v>25</v>
          </cell>
          <cell r="O1243">
            <v>2</v>
          </cell>
          <cell r="P1243">
            <v>0.73</v>
          </cell>
        </row>
        <row r="1244">
          <cell r="A1244" t="str">
            <v>6728281</v>
          </cell>
          <cell r="B1244" t="str">
            <v>1128939</v>
          </cell>
          <cell r="C1244" t="str">
            <v>6287-83-131-50</v>
          </cell>
          <cell r="D1244" t="str">
            <v>6287</v>
          </cell>
          <cell r="E1244" t="str">
            <v>6287 GLOCK 17/22 STX TAC BLK RH</v>
          </cell>
          <cell r="F1244" t="str">
            <v>DG-HOLSTER-SEW</v>
          </cell>
          <cell r="G1244" t="str">
            <v>1420-210-FG</v>
          </cell>
          <cell r="H1244" t="str">
            <v>R</v>
          </cell>
          <cell r="I1244" t="str">
            <v>06/11/2024</v>
          </cell>
          <cell r="J1244" t="str">
            <v>06/14/2024</v>
          </cell>
          <cell r="K1244" t="str">
            <v>06/21/2024</v>
          </cell>
          <cell r="L1244">
            <v>1</v>
          </cell>
          <cell r="M1244" t="str">
            <v>6/12/2024 4:13:49 PM</v>
          </cell>
          <cell r="N1244" t="str">
            <v>25</v>
          </cell>
          <cell r="O1244">
            <v>1</v>
          </cell>
          <cell r="P1244">
            <v>0.28000000000000003</v>
          </cell>
        </row>
        <row r="1245">
          <cell r="A1245" t="str">
            <v>6727621</v>
          </cell>
          <cell r="B1245" t="str">
            <v>1323041</v>
          </cell>
          <cell r="C1245" t="str">
            <v>6304-151-552</v>
          </cell>
          <cell r="D1245" t="str">
            <v>6304</v>
          </cell>
          <cell r="E1245" t="str">
            <v>6304 CANIK TP9 SFx STX TAC FDE LH</v>
          </cell>
          <cell r="F1245" t="str">
            <v>DG-HOLSTER</v>
          </cell>
          <cell r="G1245" t="str">
            <v>1420-210-FG</v>
          </cell>
          <cell r="H1245" t="str">
            <v>R</v>
          </cell>
          <cell r="I1245" t="str">
            <v>06/11/2024</v>
          </cell>
          <cell r="J1245" t="str">
            <v>06/11/2024</v>
          </cell>
          <cell r="K1245" t="str">
            <v>06/21/2024</v>
          </cell>
          <cell r="L1245">
            <v>1</v>
          </cell>
          <cell r="M1245" t="str">
            <v>6/12/2024 3:58:25 PM</v>
          </cell>
          <cell r="N1245" t="str">
            <v>25</v>
          </cell>
          <cell r="O1245">
            <v>1</v>
          </cell>
          <cell r="P1245">
            <v>0.19</v>
          </cell>
        </row>
        <row r="1246">
          <cell r="A1246" t="str">
            <v>6728122</v>
          </cell>
          <cell r="B1246" t="str">
            <v>1125161</v>
          </cell>
          <cell r="C1246" t="str">
            <v>6304-832-551</v>
          </cell>
          <cell r="D1246" t="str">
            <v>6304</v>
          </cell>
          <cell r="E1246" t="str">
            <v>6304 GLOCK 17/22 X300U STX TAC FDE RH</v>
          </cell>
          <cell r="F1246" t="str">
            <v>DG-HOLSTER-H-DTC</v>
          </cell>
          <cell r="G1246" t="str">
            <v>1420-210-FG</v>
          </cell>
          <cell r="H1246" t="str">
            <v>R</v>
          </cell>
          <cell r="I1246" t="str">
            <v>06/11/2024</v>
          </cell>
          <cell r="J1246" t="str">
            <v>06/12/2024</v>
          </cell>
          <cell r="K1246" t="str">
            <v>06/21/2024</v>
          </cell>
          <cell r="L1246">
            <v>3</v>
          </cell>
          <cell r="M1246" t="str">
            <v>6/12/2024 4:17:55 PM</v>
          </cell>
          <cell r="N1246" t="str">
            <v>25</v>
          </cell>
          <cell r="O1246">
            <v>3</v>
          </cell>
          <cell r="P1246">
            <v>0.98</v>
          </cell>
        </row>
        <row r="1247">
          <cell r="A1247" t="str">
            <v>6724330</v>
          </cell>
          <cell r="B1247" t="str">
            <v>1328355</v>
          </cell>
          <cell r="C1247" t="str">
            <v>6304-8252-131-SP10</v>
          </cell>
          <cell r="D1247" t="str">
            <v>6304</v>
          </cell>
          <cell r="E1247" t="str">
            <v>6304 GLOCK 22 GEN 5 X300U STX TAC BLK RH</v>
          </cell>
          <cell r="F1247" t="str">
            <v>DG-HOLSTER-H</v>
          </cell>
          <cell r="G1247" t="str">
            <v>1420-210-FG</v>
          </cell>
          <cell r="H1247" t="str">
            <v>R</v>
          </cell>
          <cell r="I1247" t="str">
            <v>06/04/2024</v>
          </cell>
          <cell r="J1247" t="str">
            <v>06/04/2024</v>
          </cell>
          <cell r="K1247" t="str">
            <v>06/21/2024</v>
          </cell>
          <cell r="L1247">
            <v>1</v>
          </cell>
          <cell r="M1247" t="str">
            <v>6/12/2024 3:55:19 PM</v>
          </cell>
          <cell r="N1247" t="str">
            <v>25</v>
          </cell>
          <cell r="O1247">
            <v>1</v>
          </cell>
          <cell r="P1247">
            <v>0.3</v>
          </cell>
        </row>
        <row r="1248">
          <cell r="A1248" t="str">
            <v>6728258</v>
          </cell>
          <cell r="B1248" t="str">
            <v>1336615</v>
          </cell>
          <cell r="C1248" t="str">
            <v>6304RDS-2582-G991-MS19</v>
          </cell>
          <cell r="D1248" t="str">
            <v>6304RDS</v>
          </cell>
          <cell r="E1248" t="str">
            <v>6304RDS 2011 STCC 5" X300U SIXCLRDST RH</v>
          </cell>
          <cell r="F1248" t="str">
            <v>DG-HOLSTER-RDS-DTC</v>
          </cell>
          <cell r="G1248" t="str">
            <v>1420-210-FG</v>
          </cell>
          <cell r="H1248" t="str">
            <v>R</v>
          </cell>
          <cell r="I1248" t="str">
            <v>06/11/2024</v>
          </cell>
          <cell r="J1248" t="str">
            <v>06/17/2024</v>
          </cell>
          <cell r="K1248" t="str">
            <v>06/21/2024</v>
          </cell>
          <cell r="L1248">
            <v>1</v>
          </cell>
          <cell r="M1248" t="str">
            <v>6/13/2024 7:53:54 AM</v>
          </cell>
          <cell r="N1248" t="str">
            <v>25</v>
          </cell>
          <cell r="O1248">
            <v>1</v>
          </cell>
          <cell r="P1248">
            <v>0.43</v>
          </cell>
        </row>
        <row r="1249">
          <cell r="A1249" t="str">
            <v>6728596</v>
          </cell>
          <cell r="B1249" t="str">
            <v>1329133</v>
          </cell>
          <cell r="C1249" t="str">
            <v>6304RDS-2712-781</v>
          </cell>
          <cell r="D1249" t="str">
            <v>6304RDS</v>
          </cell>
          <cell r="E1249" t="str">
            <v>6304RDS FN509T 4.5IN X300U COR BLK RH</v>
          </cell>
          <cell r="F1249" t="str">
            <v>DG-HOLSTER-RDS</v>
          </cell>
          <cell r="G1249" t="str">
            <v>1420-210-FG</v>
          </cell>
          <cell r="H1249" t="str">
            <v>R</v>
          </cell>
          <cell r="I1249" t="str">
            <v>06/12/2024</v>
          </cell>
          <cell r="J1249" t="str">
            <v>06/12/2024</v>
          </cell>
          <cell r="K1249" t="str">
            <v>06/21/2024</v>
          </cell>
          <cell r="L1249">
            <v>1</v>
          </cell>
          <cell r="M1249" t="str">
            <v>6/13/2024 7:59:21 AM</v>
          </cell>
          <cell r="N1249" t="str">
            <v>25</v>
          </cell>
          <cell r="O1249">
            <v>1</v>
          </cell>
          <cell r="P1249">
            <v>0.4</v>
          </cell>
        </row>
        <row r="1250">
          <cell r="A1250" t="str">
            <v>6728257</v>
          </cell>
          <cell r="B1250" t="str">
            <v>1336605</v>
          </cell>
          <cell r="C1250" t="str">
            <v>6304RDS-2832-G991-MS19</v>
          </cell>
          <cell r="D1250" t="str">
            <v>6304RDS</v>
          </cell>
          <cell r="E1250" t="str">
            <v>6304RDS GLK 19MOS X300U SIX CLR DST RH</v>
          </cell>
          <cell r="F1250" t="str">
            <v>DG-HOLSTER-RDS-DTC</v>
          </cell>
          <cell r="G1250" t="str">
            <v>1420-210-FG</v>
          </cell>
          <cell r="H1250" t="str">
            <v>R</v>
          </cell>
          <cell r="I1250" t="str">
            <v>06/11/2024</v>
          </cell>
          <cell r="J1250" t="str">
            <v>06/13/2024</v>
          </cell>
          <cell r="K1250" t="str">
            <v>06/21/2024</v>
          </cell>
          <cell r="L1250">
            <v>5</v>
          </cell>
          <cell r="M1250" t="str">
            <v>6/12/2024 4:06:03 PM</v>
          </cell>
          <cell r="N1250" t="str">
            <v>25</v>
          </cell>
          <cell r="O1250">
            <v>5</v>
          </cell>
          <cell r="P1250">
            <v>2.17</v>
          </cell>
        </row>
        <row r="1251">
          <cell r="A1251" t="str">
            <v>6727683</v>
          </cell>
          <cell r="B1251" t="str">
            <v>1333298</v>
          </cell>
          <cell r="C1251" t="str">
            <v>6304RDS-6832-B991-MS19</v>
          </cell>
          <cell r="D1251" t="str">
            <v>6304RDS</v>
          </cell>
          <cell r="E1251" t="str">
            <v>6304RDS GLK34/35 X300U CORD TGR ST RH</v>
          </cell>
          <cell r="F1251" t="str">
            <v>DG-HOLSTER-RDS-OBS</v>
          </cell>
          <cell r="G1251" t="str">
            <v>1420-210-FG</v>
          </cell>
          <cell r="H1251" t="str">
            <v>R</v>
          </cell>
          <cell r="I1251" t="str">
            <v>06/11/2024</v>
          </cell>
          <cell r="J1251" t="str">
            <v>06/11/2024</v>
          </cell>
          <cell r="K1251" t="str">
            <v>06/21/2024</v>
          </cell>
          <cell r="L1251">
            <v>2</v>
          </cell>
          <cell r="M1251" t="str">
            <v>6/13/2024 8:03:10 AM</v>
          </cell>
          <cell r="N1251" t="str">
            <v>25</v>
          </cell>
          <cell r="O1251">
            <v>2</v>
          </cell>
          <cell r="P1251">
            <v>0.8</v>
          </cell>
        </row>
        <row r="1252">
          <cell r="A1252" t="str">
            <v>6728215</v>
          </cell>
          <cell r="B1252" t="str">
            <v>1321835</v>
          </cell>
          <cell r="C1252" t="str">
            <v>6304RDS-832-731</v>
          </cell>
          <cell r="D1252" t="str">
            <v>6304RDS</v>
          </cell>
          <cell r="E1252" t="str">
            <v>6304RDS GLOCK 17MOS X300U COR CAM GRN RH</v>
          </cell>
          <cell r="F1252" t="str">
            <v>DG-HOLSTER-RDS-DTC</v>
          </cell>
          <cell r="G1252" t="str">
            <v>1420-210-FG</v>
          </cell>
          <cell r="H1252" t="str">
            <v>R</v>
          </cell>
          <cell r="I1252" t="str">
            <v>06/11/2024</v>
          </cell>
          <cell r="J1252" t="str">
            <v>06/12/2024</v>
          </cell>
          <cell r="K1252" t="str">
            <v>06/21/2024</v>
          </cell>
          <cell r="L1252">
            <v>1</v>
          </cell>
          <cell r="M1252" t="str">
            <v>6/13/2024 7:59:21 AM</v>
          </cell>
          <cell r="N1252" t="str">
            <v>25</v>
          </cell>
          <cell r="O1252">
            <v>1</v>
          </cell>
          <cell r="P1252">
            <v>0.43</v>
          </cell>
        </row>
        <row r="1253">
          <cell r="A1253" t="str">
            <v>6728195</v>
          </cell>
          <cell r="B1253" t="str">
            <v>1204698</v>
          </cell>
          <cell r="C1253" t="str">
            <v>6304RDS-832-701-SP10</v>
          </cell>
          <cell r="D1253" t="str">
            <v>6304RDS</v>
          </cell>
          <cell r="E1253" t="str">
            <v>6304RDS GLOCK 17MOS X300U COR MLTCM RH</v>
          </cell>
          <cell r="F1253" t="str">
            <v>DG-HOLSTER-RDS-DTC</v>
          </cell>
          <cell r="G1253" t="str">
            <v>1420-210-FG</v>
          </cell>
          <cell r="H1253" t="str">
            <v>R</v>
          </cell>
          <cell r="I1253" t="str">
            <v>06/11/2024</v>
          </cell>
          <cell r="J1253" t="str">
            <v>06/14/2024</v>
          </cell>
          <cell r="K1253" t="str">
            <v>06/21/2024</v>
          </cell>
          <cell r="L1253">
            <v>1</v>
          </cell>
          <cell r="M1253" t="str">
            <v>6/13/2024 7:59:21 AM</v>
          </cell>
          <cell r="N1253" t="str">
            <v>25</v>
          </cell>
          <cell r="O1253">
            <v>1</v>
          </cell>
          <cell r="P1253">
            <v>0.43</v>
          </cell>
        </row>
        <row r="1254">
          <cell r="A1254" t="str">
            <v>6728224</v>
          </cell>
          <cell r="B1254" t="str">
            <v>1332568</v>
          </cell>
          <cell r="C1254" t="str">
            <v>6304RDS-28329-791-MS19</v>
          </cell>
          <cell r="D1254" t="str">
            <v>6304RDS</v>
          </cell>
          <cell r="E1254" t="str">
            <v>6304RDS GLOCK 19MOS XVL2 COR TP MCAM RH</v>
          </cell>
          <cell r="F1254" t="str">
            <v>DG-HOLSTER-RDS-DTC</v>
          </cell>
          <cell r="G1254" t="str">
            <v>1420-210-FG</v>
          </cell>
          <cell r="H1254" t="str">
            <v>R</v>
          </cell>
          <cell r="I1254" t="str">
            <v>06/11/2024</v>
          </cell>
          <cell r="J1254" t="str">
            <v>06/17/2024</v>
          </cell>
          <cell r="K1254" t="str">
            <v>06/21/2024</v>
          </cell>
          <cell r="L1254">
            <v>1</v>
          </cell>
          <cell r="M1254" t="str">
            <v>6/13/2024 8:03:10 AM</v>
          </cell>
          <cell r="N1254" t="str">
            <v>25</v>
          </cell>
          <cell r="O1254">
            <v>1</v>
          </cell>
          <cell r="P1254">
            <v>0.4</v>
          </cell>
        </row>
        <row r="1255">
          <cell r="A1255" t="str">
            <v>6728689</v>
          </cell>
          <cell r="B1255" t="str">
            <v>1336745</v>
          </cell>
          <cell r="C1255" t="str">
            <v>6304RDS-8252-131</v>
          </cell>
          <cell r="D1255" t="str">
            <v>6304RDS</v>
          </cell>
          <cell r="E1255" t="str">
            <v>6304RDS GLOCK22 GEN5 X300U STXTAC BLK RH</v>
          </cell>
          <cell r="F1255" t="str">
            <v>DG-HOLSTER-RDS-DTC</v>
          </cell>
          <cell r="G1255" t="str">
            <v>1420-210-FG</v>
          </cell>
          <cell r="H1255" t="str">
            <v>R</v>
          </cell>
          <cell r="I1255" t="str">
            <v>06/12/2024</v>
          </cell>
          <cell r="J1255" t="str">
            <v>06/13/2024</v>
          </cell>
          <cell r="K1255" t="str">
            <v>06/21/2024</v>
          </cell>
          <cell r="L1255">
            <v>1</v>
          </cell>
          <cell r="M1255" t="str">
            <v>6/13/2024 7:53:54 AM</v>
          </cell>
          <cell r="N1255" t="str">
            <v>25</v>
          </cell>
          <cell r="O1255">
            <v>1</v>
          </cell>
          <cell r="P1255">
            <v>0.4</v>
          </cell>
        </row>
        <row r="1256">
          <cell r="A1256" t="str">
            <v>6728153</v>
          </cell>
          <cell r="B1256" t="str">
            <v>1322936</v>
          </cell>
          <cell r="C1256" t="str">
            <v>6304RDS-2222-131-MS19</v>
          </cell>
          <cell r="D1256" t="str">
            <v>6304RDS</v>
          </cell>
          <cell r="E1256" t="str">
            <v>6304RDS MP2.0 9 CORE X300U STXTAC BLK RH</v>
          </cell>
          <cell r="F1256" t="str">
            <v>DG-HOLSTER-RDS</v>
          </cell>
          <cell r="G1256" t="str">
            <v>1420-210-FG</v>
          </cell>
          <cell r="H1256" t="str">
            <v>R</v>
          </cell>
          <cell r="I1256" t="str">
            <v>06/11/2024</v>
          </cell>
          <cell r="J1256" t="str">
            <v>06/14/2024</v>
          </cell>
          <cell r="K1256" t="str">
            <v>06/21/2024</v>
          </cell>
          <cell r="L1256">
            <v>1</v>
          </cell>
          <cell r="M1256" t="str">
            <v>6/13/2024 7:45:59 AM</v>
          </cell>
          <cell r="N1256" t="str">
            <v>25</v>
          </cell>
          <cell r="O1256">
            <v>1</v>
          </cell>
          <cell r="P1256">
            <v>0.4</v>
          </cell>
        </row>
        <row r="1257">
          <cell r="A1257" t="str">
            <v>6727021</v>
          </cell>
          <cell r="B1257" t="str">
            <v>1323739</v>
          </cell>
          <cell r="C1257" t="str">
            <v>6304RDS-582-131</v>
          </cell>
          <cell r="D1257" t="str">
            <v>6304RDS</v>
          </cell>
          <cell r="E1257" t="str">
            <v>6304RDS PRODIGY 4.25" X300U STX BLK RH</v>
          </cell>
          <cell r="F1257" t="str">
            <v>DG-HOLSTER-RDS</v>
          </cell>
          <cell r="G1257" t="str">
            <v>1420-210-FG</v>
          </cell>
          <cell r="H1257" t="str">
            <v>R</v>
          </cell>
          <cell r="I1257" t="str">
            <v>06/10/2024</v>
          </cell>
          <cell r="J1257" t="str">
            <v>06/10/2024</v>
          </cell>
          <cell r="K1257" t="str">
            <v>06/21/2024</v>
          </cell>
          <cell r="L1257">
            <v>1</v>
          </cell>
          <cell r="M1257" t="str">
            <v>6/12/2024 3:55:19 PM</v>
          </cell>
          <cell r="N1257" t="str">
            <v>25</v>
          </cell>
          <cell r="O1257">
            <v>1</v>
          </cell>
          <cell r="P1257">
            <v>0.4</v>
          </cell>
        </row>
        <row r="1258">
          <cell r="A1258" t="str">
            <v>6727657</v>
          </cell>
          <cell r="B1258" t="str">
            <v>1325328</v>
          </cell>
          <cell r="C1258" t="str">
            <v>6304RDS-582-131-MS19</v>
          </cell>
          <cell r="D1258" t="str">
            <v>6304RDS</v>
          </cell>
          <cell r="E1258" t="str">
            <v>6304RDS PRODIGY 4.25" X300U STX BLK RH</v>
          </cell>
          <cell r="F1258" t="str">
            <v>DG-HOLSTER-RDS</v>
          </cell>
          <cell r="G1258" t="str">
            <v>1420-210-FG</v>
          </cell>
          <cell r="H1258" t="str">
            <v>R</v>
          </cell>
          <cell r="I1258" t="str">
            <v>06/11/2024</v>
          </cell>
          <cell r="J1258" t="str">
            <v>06/11/2024</v>
          </cell>
          <cell r="K1258" t="str">
            <v>06/21/2024</v>
          </cell>
          <cell r="L1258">
            <v>1</v>
          </cell>
          <cell r="M1258" t="str">
            <v>6/12/2024 3:55:19 PM</v>
          </cell>
          <cell r="N1258" t="str">
            <v>25</v>
          </cell>
          <cell r="O1258">
            <v>1</v>
          </cell>
          <cell r="P1258">
            <v>0.4</v>
          </cell>
        </row>
        <row r="1259">
          <cell r="A1259" t="str">
            <v>6728138</v>
          </cell>
          <cell r="B1259" t="str">
            <v>1205958</v>
          </cell>
          <cell r="C1259" t="str">
            <v>6304RDS-2192-131</v>
          </cell>
          <cell r="D1259" t="str">
            <v>6304RDS</v>
          </cell>
          <cell r="E1259" t="str">
            <v>6304RDS S&amp;W M&amp;P 4IN X300U STX TAC BLK RH</v>
          </cell>
          <cell r="F1259" t="str">
            <v>DG-HOLSTER-RDS</v>
          </cell>
          <cell r="G1259" t="str">
            <v>1420-210-FG</v>
          </cell>
          <cell r="H1259" t="str">
            <v>R</v>
          </cell>
          <cell r="I1259" t="str">
            <v>06/11/2024</v>
          </cell>
          <cell r="J1259" t="str">
            <v>06/17/2024</v>
          </cell>
          <cell r="K1259" t="str">
            <v>06/21/2024</v>
          </cell>
          <cell r="L1259">
            <v>1</v>
          </cell>
          <cell r="M1259" t="str">
            <v>6/13/2024 7:45:59 AM</v>
          </cell>
          <cell r="N1259" t="str">
            <v>25</v>
          </cell>
          <cell r="O1259">
            <v>1</v>
          </cell>
          <cell r="P1259">
            <v>0.4</v>
          </cell>
        </row>
        <row r="1260">
          <cell r="A1260" t="str">
            <v>6728148</v>
          </cell>
          <cell r="B1260" t="str">
            <v>1305745</v>
          </cell>
          <cell r="C1260" t="str">
            <v>6304RDS-7502-701-SP10</v>
          </cell>
          <cell r="D1260" t="str">
            <v>6304RDS</v>
          </cell>
          <cell r="E1260" t="str">
            <v>6304RDS SIG 320CRX X300U COR MLTCM RH</v>
          </cell>
          <cell r="F1260" t="str">
            <v>DG-HOLSTER-RDS</v>
          </cell>
          <cell r="G1260" t="str">
            <v>1420-210-FG</v>
          </cell>
          <cell r="H1260" t="str">
            <v>R</v>
          </cell>
          <cell r="I1260" t="str">
            <v>06/11/2024</v>
          </cell>
          <cell r="J1260" t="str">
            <v>06/18/2024</v>
          </cell>
          <cell r="K1260" t="str">
            <v>06/21/2024</v>
          </cell>
          <cell r="L1260">
            <v>1</v>
          </cell>
          <cell r="M1260" t="str">
            <v>6/13/2024 7:59:21 AM</v>
          </cell>
          <cell r="N1260" t="str">
            <v>25</v>
          </cell>
          <cell r="O1260">
            <v>1</v>
          </cell>
          <cell r="P1260">
            <v>0.4</v>
          </cell>
        </row>
        <row r="1261">
          <cell r="A1261" t="str">
            <v>6728161</v>
          </cell>
          <cell r="B1261" t="str">
            <v>1333357</v>
          </cell>
          <cell r="C1261" t="str">
            <v>6304RDS-45027-551-SP10</v>
          </cell>
          <cell r="D1261" t="str">
            <v>6304RDS</v>
          </cell>
          <cell r="E1261" t="str">
            <v>6304RDS SIG 320RX TLR-7 STX TAC FDE RH</v>
          </cell>
          <cell r="F1261" t="str">
            <v>DG-HOLSTER-RDS</v>
          </cell>
          <cell r="G1261" t="str">
            <v>1420-210-FG</v>
          </cell>
          <cell r="H1261" t="str">
            <v>R</v>
          </cell>
          <cell r="I1261" t="str">
            <v>06/11/2024</v>
          </cell>
          <cell r="J1261" t="str">
            <v>06/14/2024</v>
          </cell>
          <cell r="K1261" t="str">
            <v>06/21/2024</v>
          </cell>
          <cell r="L1261">
            <v>1</v>
          </cell>
          <cell r="M1261" t="str">
            <v>6/13/2024 7:53:54 AM</v>
          </cell>
          <cell r="N1261" t="str">
            <v>25</v>
          </cell>
          <cell r="O1261">
            <v>1</v>
          </cell>
          <cell r="P1261">
            <v>0.43</v>
          </cell>
        </row>
        <row r="1262">
          <cell r="A1262" t="str">
            <v>6728691</v>
          </cell>
          <cell r="B1262" t="str">
            <v>1305557</v>
          </cell>
          <cell r="C1262" t="str">
            <v>6304RDS-4502-781</v>
          </cell>
          <cell r="D1262" t="str">
            <v>6304RDS</v>
          </cell>
          <cell r="E1262" t="str">
            <v>6304RDS SIG P320RX X300U CORD BLK RH</v>
          </cell>
          <cell r="F1262" t="str">
            <v>DG-HOLSTER-RDS</v>
          </cell>
          <cell r="G1262" t="str">
            <v>1420-210-FG</v>
          </cell>
          <cell r="H1262" t="str">
            <v>R</v>
          </cell>
          <cell r="I1262" t="str">
            <v>06/12/2024</v>
          </cell>
          <cell r="J1262" t="str">
            <v>06/18/2024</v>
          </cell>
          <cell r="K1262" t="str">
            <v>06/21/2024</v>
          </cell>
          <cell r="L1262">
            <v>1</v>
          </cell>
          <cell r="M1262" t="str">
            <v>6/13/2024 7:59:21 AM</v>
          </cell>
          <cell r="N1262" t="str">
            <v>25</v>
          </cell>
          <cell r="O1262">
            <v>1</v>
          </cell>
          <cell r="P1262">
            <v>0.43</v>
          </cell>
        </row>
        <row r="1263">
          <cell r="A1263" t="str">
            <v>6728146</v>
          </cell>
          <cell r="B1263" t="str">
            <v>1305562</v>
          </cell>
          <cell r="C1263" t="str">
            <v>6304RDS-4502-702-SP10</v>
          </cell>
          <cell r="D1263" t="str">
            <v>6304RDS</v>
          </cell>
          <cell r="E1263" t="str">
            <v>6304RDS SIG P320RX X300U CORD MLTCM LH</v>
          </cell>
          <cell r="F1263" t="str">
            <v>DG-HOLSTER-RDS</v>
          </cell>
          <cell r="G1263" t="str">
            <v>1420-210-FG</v>
          </cell>
          <cell r="H1263" t="str">
            <v>R</v>
          </cell>
          <cell r="I1263" t="str">
            <v>06/11/2024</v>
          </cell>
          <cell r="J1263" t="str">
            <v>06/14/2024</v>
          </cell>
          <cell r="K1263" t="str">
            <v>06/21/2024</v>
          </cell>
          <cell r="L1263">
            <v>1</v>
          </cell>
          <cell r="M1263" t="str">
            <v>6/13/2024 7:59:21 AM</v>
          </cell>
          <cell r="N1263" t="str">
            <v>25</v>
          </cell>
          <cell r="O1263">
            <v>1</v>
          </cell>
          <cell r="P1263">
            <v>0.43</v>
          </cell>
        </row>
        <row r="1264">
          <cell r="A1264" t="str">
            <v>6728145</v>
          </cell>
          <cell r="B1264" t="str">
            <v>1305561</v>
          </cell>
          <cell r="C1264" t="str">
            <v>6304RDS-4502-701-SP10</v>
          </cell>
          <cell r="D1264" t="str">
            <v>6304RDS</v>
          </cell>
          <cell r="E1264" t="str">
            <v>6304RDS SIG P320RX X300U CORD MLTCM RH</v>
          </cell>
          <cell r="F1264" t="str">
            <v>DG-HOLSTER-RDS</v>
          </cell>
          <cell r="G1264" t="str">
            <v>1420-210-FG</v>
          </cell>
          <cell r="H1264" t="str">
            <v>R</v>
          </cell>
          <cell r="I1264" t="str">
            <v>06/11/2024</v>
          </cell>
          <cell r="J1264" t="str">
            <v>06/14/2024</v>
          </cell>
          <cell r="K1264" t="str">
            <v>06/21/2024</v>
          </cell>
          <cell r="L1264">
            <v>3</v>
          </cell>
          <cell r="M1264" t="str">
            <v>6/13/2024 7:59:21 AM</v>
          </cell>
          <cell r="N1264" t="str">
            <v>25</v>
          </cell>
          <cell r="O1264">
            <v>3</v>
          </cell>
          <cell r="P1264">
            <v>1.3</v>
          </cell>
        </row>
        <row r="1265">
          <cell r="A1265" t="str">
            <v>6726841</v>
          </cell>
          <cell r="B1265" t="str">
            <v>1129294</v>
          </cell>
          <cell r="C1265" t="str">
            <v>6305-73-131-SP10</v>
          </cell>
          <cell r="D1265" t="str">
            <v>6305</v>
          </cell>
          <cell r="E1265" t="str">
            <v>6305 BERETTA 92FS STX TAC BLK RH</v>
          </cell>
          <cell r="F1265" t="str">
            <v>DG-HOLSTER</v>
          </cell>
          <cell r="G1265" t="str">
            <v>1420-210-FG</v>
          </cell>
          <cell r="H1265" t="str">
            <v>F</v>
          </cell>
          <cell r="I1265" t="str">
            <v>06/10/2024</v>
          </cell>
          <cell r="J1265" t="str">
            <v>06/10/2024</v>
          </cell>
          <cell r="K1265" t="str">
            <v>06/21/2024</v>
          </cell>
          <cell r="L1265">
            <v>5</v>
          </cell>
          <cell r="M1265" t="str">
            <v/>
          </cell>
          <cell r="N1265" t="str">
            <v>25</v>
          </cell>
          <cell r="O1265">
            <v>5</v>
          </cell>
          <cell r="P1265">
            <v>1.18</v>
          </cell>
        </row>
        <row r="1266">
          <cell r="A1266" t="str">
            <v>6728588</v>
          </cell>
          <cell r="B1266" t="str">
            <v>1304600</v>
          </cell>
          <cell r="C1266" t="str">
            <v>6305-150-131-SP10</v>
          </cell>
          <cell r="D1266" t="str">
            <v>6305</v>
          </cell>
          <cell r="E1266" t="str">
            <v>6305 CANIK TP9SF STX TAC BLK RH</v>
          </cell>
          <cell r="F1266" t="str">
            <v>DG-HOLSTER-H</v>
          </cell>
          <cell r="G1266" t="str">
            <v>1420-210-FG</v>
          </cell>
          <cell r="H1266" t="str">
            <v>R</v>
          </cell>
          <cell r="I1266" t="str">
            <v>06/12/2024</v>
          </cell>
          <cell r="J1266" t="str">
            <v>06/12/2024</v>
          </cell>
          <cell r="K1266" t="str">
            <v>06/21/2024</v>
          </cell>
          <cell r="L1266">
            <v>1</v>
          </cell>
          <cell r="M1266" t="str">
            <v>6/12/2024 3:55:19 PM</v>
          </cell>
          <cell r="N1266" t="str">
            <v>25</v>
          </cell>
          <cell r="O1266">
            <v>1</v>
          </cell>
          <cell r="P1266">
            <v>0.23</v>
          </cell>
        </row>
        <row r="1267">
          <cell r="A1267" t="str">
            <v>6728698</v>
          </cell>
          <cell r="B1267" t="str">
            <v>1135575</v>
          </cell>
          <cell r="C1267" t="str">
            <v>6305-283-411</v>
          </cell>
          <cell r="D1267" t="str">
            <v>6305</v>
          </cell>
          <cell r="E1267" t="str">
            <v>6305 GLOCK 19/23 STX PLN BLK RH</v>
          </cell>
          <cell r="F1267" t="str">
            <v>DG-HOLSTER-H-DTC</v>
          </cell>
          <cell r="G1267" t="str">
            <v>1420-210-FG</v>
          </cell>
          <cell r="H1267" t="str">
            <v>R</v>
          </cell>
          <cell r="I1267" t="str">
            <v>06/12/2024</v>
          </cell>
          <cell r="J1267" t="str">
            <v>06/18/2024</v>
          </cell>
          <cell r="K1267" t="str">
            <v>06/21/2024</v>
          </cell>
          <cell r="L1267">
            <v>1</v>
          </cell>
          <cell r="M1267" t="str">
            <v>6/12/2024 4:16:03 PM</v>
          </cell>
          <cell r="N1267" t="str">
            <v>25</v>
          </cell>
          <cell r="O1267">
            <v>1</v>
          </cell>
          <cell r="P1267">
            <v>0.27</v>
          </cell>
        </row>
        <row r="1268">
          <cell r="A1268" t="str">
            <v>6726949</v>
          </cell>
          <cell r="B1268" t="str">
            <v>1130584</v>
          </cell>
          <cell r="C1268" t="str">
            <v>6305-5192-551</v>
          </cell>
          <cell r="D1268" t="str">
            <v>6305</v>
          </cell>
          <cell r="E1268" t="str">
            <v>6305 S&amp;W M&amp;P 45 X300 STX TAC FDE RH</v>
          </cell>
          <cell r="F1268" t="str">
            <v>DG-HOLSTER-H</v>
          </cell>
          <cell r="G1268" t="str">
            <v>1420-210-FG</v>
          </cell>
          <cell r="H1268" t="str">
            <v>R</v>
          </cell>
          <cell r="I1268" t="str">
            <v>06/10/2024</v>
          </cell>
          <cell r="J1268" t="str">
            <v>06/10/2024</v>
          </cell>
          <cell r="K1268" t="str">
            <v>06/21/2024</v>
          </cell>
          <cell r="L1268">
            <v>9</v>
          </cell>
          <cell r="M1268" t="str">
            <v>6/12/2024 3:58:08 PM</v>
          </cell>
          <cell r="N1268" t="str">
            <v>25</v>
          </cell>
          <cell r="O1268">
            <v>9</v>
          </cell>
          <cell r="P1268">
            <v>3.41</v>
          </cell>
        </row>
        <row r="1269">
          <cell r="A1269" t="str">
            <v>6728587</v>
          </cell>
          <cell r="B1269" t="str">
            <v>1155835</v>
          </cell>
          <cell r="C1269" t="str">
            <v>6354-1492-131-SP10</v>
          </cell>
          <cell r="D1269" t="str">
            <v>6354</v>
          </cell>
          <cell r="E1269" t="str">
            <v>6354 SPNGFLD XD 9/40 X300 STX TAC BLK RH</v>
          </cell>
          <cell r="F1269" t="str">
            <v>DG-HOLSTER-H</v>
          </cell>
          <cell r="G1269" t="str">
            <v>1420-210-FG</v>
          </cell>
          <cell r="H1269" t="str">
            <v>R</v>
          </cell>
          <cell r="I1269" t="str">
            <v>06/12/2024</v>
          </cell>
          <cell r="J1269" t="str">
            <v>06/12/2024</v>
          </cell>
          <cell r="K1269" t="str">
            <v>06/21/2024</v>
          </cell>
          <cell r="L1269">
            <v>1</v>
          </cell>
          <cell r="M1269" t="str">
            <v>6/12/2024 3:55:19 PM</v>
          </cell>
          <cell r="N1269" t="str">
            <v>25</v>
          </cell>
          <cell r="O1269">
            <v>1</v>
          </cell>
          <cell r="P1269">
            <v>0.4</v>
          </cell>
        </row>
        <row r="1270">
          <cell r="A1270" t="str">
            <v>6727981</v>
          </cell>
          <cell r="B1270" t="str">
            <v>1153959</v>
          </cell>
          <cell r="C1270" t="str">
            <v>6354DO-83-702-MS19</v>
          </cell>
          <cell r="D1270" t="str">
            <v>6354DO</v>
          </cell>
          <cell r="E1270" t="str">
            <v>6354DO GLOCK 17/22 CORD MTCM LH</v>
          </cell>
          <cell r="F1270" t="str">
            <v>DG-HOLSTER-DO-DTC</v>
          </cell>
          <cell r="G1270" t="str">
            <v>1420-210-FG</v>
          </cell>
          <cell r="H1270" t="str">
            <v>R</v>
          </cell>
          <cell r="I1270" t="str">
            <v>06/11/2024</v>
          </cell>
          <cell r="J1270" t="str">
            <v>06/14/2024</v>
          </cell>
          <cell r="K1270" t="str">
            <v>06/21/2024</v>
          </cell>
          <cell r="L1270">
            <v>3</v>
          </cell>
          <cell r="M1270" t="str">
            <v>6/13/2024 7:59:21 AM</v>
          </cell>
          <cell r="N1270" t="str">
            <v>25</v>
          </cell>
          <cell r="O1270">
            <v>3</v>
          </cell>
          <cell r="P1270">
            <v>1.85</v>
          </cell>
        </row>
        <row r="1271">
          <cell r="A1271" t="str">
            <v>6727989</v>
          </cell>
          <cell r="B1271" t="str">
            <v>1153958</v>
          </cell>
          <cell r="C1271" t="str">
            <v>6354DO-83-701-MS19</v>
          </cell>
          <cell r="D1271" t="str">
            <v>6354DO</v>
          </cell>
          <cell r="E1271" t="str">
            <v>6354DO GLOCK 17/22 CORD MTCM RH</v>
          </cell>
          <cell r="F1271" t="str">
            <v>DG-HOLSTER-DO-DTC</v>
          </cell>
          <cell r="G1271" t="str">
            <v>1420-210-FG</v>
          </cell>
          <cell r="H1271" t="str">
            <v>R</v>
          </cell>
          <cell r="I1271" t="str">
            <v>06/11/2024</v>
          </cell>
          <cell r="J1271" t="str">
            <v>06/14/2024</v>
          </cell>
          <cell r="K1271" t="str">
            <v>06/21/2024</v>
          </cell>
          <cell r="L1271">
            <v>44</v>
          </cell>
          <cell r="M1271" t="str">
            <v>6/13/2024 7:59:21 AM</v>
          </cell>
          <cell r="N1271" t="str">
            <v>25</v>
          </cell>
          <cell r="O1271">
            <v>44</v>
          </cell>
          <cell r="P1271">
            <v>27.13</v>
          </cell>
        </row>
        <row r="1272">
          <cell r="A1272" t="str">
            <v>6726914</v>
          </cell>
          <cell r="B1272" t="str">
            <v>1167054</v>
          </cell>
          <cell r="C1272" t="str">
            <v>6354DO-832-781-MS19</v>
          </cell>
          <cell r="D1272" t="str">
            <v>6354DO</v>
          </cell>
          <cell r="E1272" t="str">
            <v>6354DO GLOCK 17/22 X300U CORD BLK RH</v>
          </cell>
          <cell r="F1272" t="str">
            <v>DG-HOLSTER-DO-DTC</v>
          </cell>
          <cell r="G1272" t="str">
            <v>1420-210-FG</v>
          </cell>
          <cell r="H1272" t="str">
            <v>R</v>
          </cell>
          <cell r="I1272" t="str">
            <v>06/10/2024</v>
          </cell>
          <cell r="J1272" t="str">
            <v>06/10/2024</v>
          </cell>
          <cell r="K1272" t="str">
            <v>06/21/2024</v>
          </cell>
          <cell r="L1272">
            <v>10</v>
          </cell>
          <cell r="M1272" t="str">
            <v>6/13/2024 7:59:21 AM</v>
          </cell>
          <cell r="N1272" t="str">
            <v>25</v>
          </cell>
          <cell r="O1272">
            <v>10</v>
          </cell>
          <cell r="P1272">
            <v>5.99</v>
          </cell>
        </row>
        <row r="1273">
          <cell r="A1273" t="str">
            <v>6727988</v>
          </cell>
          <cell r="B1273" t="str">
            <v>1324927</v>
          </cell>
          <cell r="C1273" t="str">
            <v>6354DO-832-701-MS19-NP</v>
          </cell>
          <cell r="D1273" t="str">
            <v>6354DO</v>
          </cell>
          <cell r="E1273" t="str">
            <v>6354DO GLOCK 17/22 X300U CORD MTCM RH</v>
          </cell>
          <cell r="F1273" t="str">
            <v>DG-HOLSTER-DO-DTC</v>
          </cell>
          <cell r="G1273" t="str">
            <v>1420-210-FG</v>
          </cell>
          <cell r="H1273" t="str">
            <v>R</v>
          </cell>
          <cell r="I1273" t="str">
            <v>06/11/2024</v>
          </cell>
          <cell r="J1273" t="str">
            <v>06/18/2024</v>
          </cell>
          <cell r="K1273" t="str">
            <v>06/21/2024</v>
          </cell>
          <cell r="L1273">
            <v>12</v>
          </cell>
          <cell r="M1273" t="str">
            <v>6/13/2024 7:59:21 AM</v>
          </cell>
          <cell r="N1273" t="str">
            <v>25</v>
          </cell>
          <cell r="O1273">
            <v>12</v>
          </cell>
          <cell r="P1273">
            <v>5.8</v>
          </cell>
        </row>
        <row r="1274">
          <cell r="A1274" t="str">
            <v>6728000</v>
          </cell>
          <cell r="B1274" t="str">
            <v>1171891</v>
          </cell>
          <cell r="C1274" t="str">
            <v>6354DO-283-702-MS19</v>
          </cell>
          <cell r="D1274" t="str">
            <v>6354DO</v>
          </cell>
          <cell r="E1274" t="str">
            <v>6354DO GLOCK 19/23 CORD MTCM LH</v>
          </cell>
          <cell r="F1274" t="str">
            <v>DG-HOLSTER-DO-DTC</v>
          </cell>
          <cell r="G1274" t="str">
            <v>1420-210-FG</v>
          </cell>
          <cell r="H1274" t="str">
            <v>R</v>
          </cell>
          <cell r="I1274" t="str">
            <v>06/11/2024</v>
          </cell>
          <cell r="J1274" t="str">
            <v>06/14/2024</v>
          </cell>
          <cell r="K1274" t="str">
            <v>06/21/2024</v>
          </cell>
          <cell r="L1274">
            <v>50</v>
          </cell>
          <cell r="M1274" t="str">
            <v>6/13/2024 7:59:21 AM</v>
          </cell>
          <cell r="N1274" t="str">
            <v>25</v>
          </cell>
          <cell r="O1274">
            <v>50</v>
          </cell>
          <cell r="P1274">
            <v>29.33</v>
          </cell>
        </row>
        <row r="1275">
          <cell r="A1275" t="str">
            <v>6728001</v>
          </cell>
          <cell r="B1275" t="str">
            <v>1171891</v>
          </cell>
          <cell r="C1275" t="str">
            <v>6354DO-283-702-MS19</v>
          </cell>
          <cell r="D1275" t="str">
            <v>6354DO</v>
          </cell>
          <cell r="E1275" t="str">
            <v>6354DO GLOCK 19/23 CORD MTCM LH</v>
          </cell>
          <cell r="F1275" t="str">
            <v>DG-HOLSTER-DO-DTC</v>
          </cell>
          <cell r="G1275" t="str">
            <v>1420-210-FG</v>
          </cell>
          <cell r="H1275" t="str">
            <v>R</v>
          </cell>
          <cell r="I1275" t="str">
            <v>06/11/2024</v>
          </cell>
          <cell r="J1275" t="str">
            <v>06/14/2024</v>
          </cell>
          <cell r="K1275" t="str">
            <v>06/21/2024</v>
          </cell>
          <cell r="L1275">
            <v>50</v>
          </cell>
          <cell r="M1275" t="str">
            <v>6/13/2024 7:59:21 AM</v>
          </cell>
          <cell r="N1275" t="str">
            <v>25</v>
          </cell>
          <cell r="O1275">
            <v>50</v>
          </cell>
          <cell r="P1275">
            <v>29.33</v>
          </cell>
        </row>
        <row r="1276">
          <cell r="A1276" t="str">
            <v>6726917</v>
          </cell>
          <cell r="B1276" t="str">
            <v>1170053</v>
          </cell>
          <cell r="C1276" t="str">
            <v>6354DO-283-701-MS19</v>
          </cell>
          <cell r="D1276" t="str">
            <v>6354DO</v>
          </cell>
          <cell r="E1276" t="str">
            <v>6354DO GLOCK 19/23 CORD MTCM RH</v>
          </cell>
          <cell r="F1276" t="str">
            <v>DG-HOLSTER-DO-DTC</v>
          </cell>
          <cell r="G1276" t="str">
            <v>1420-210-FG</v>
          </cell>
          <cell r="H1276" t="str">
            <v>R</v>
          </cell>
          <cell r="I1276" t="str">
            <v>06/10/2024</v>
          </cell>
          <cell r="J1276" t="str">
            <v>06/10/2024</v>
          </cell>
          <cell r="K1276" t="str">
            <v>06/21/2024</v>
          </cell>
          <cell r="L1276">
            <v>5</v>
          </cell>
          <cell r="M1276" t="str">
            <v>6/13/2024 7:59:21 AM</v>
          </cell>
          <cell r="N1276" t="str">
            <v>25</v>
          </cell>
          <cell r="O1276">
            <v>5</v>
          </cell>
          <cell r="P1276">
            <v>2.93</v>
          </cell>
        </row>
        <row r="1277">
          <cell r="A1277" t="str">
            <v>6727978</v>
          </cell>
          <cell r="B1277" t="str">
            <v>1153962</v>
          </cell>
          <cell r="C1277" t="str">
            <v>6354DO-683-701-MS19</v>
          </cell>
          <cell r="D1277" t="str">
            <v>6354DO</v>
          </cell>
          <cell r="E1277" t="str">
            <v>6354DO GLOCK 34/35 CORD MTCM RH</v>
          </cell>
          <cell r="F1277" t="str">
            <v>DG-HOLSTER-DO</v>
          </cell>
          <cell r="G1277" t="str">
            <v>1420-210-FG</v>
          </cell>
          <cell r="H1277" t="str">
            <v>R</v>
          </cell>
          <cell r="I1277" t="str">
            <v>06/11/2024</v>
          </cell>
          <cell r="J1277" t="str">
            <v>06/17/2024</v>
          </cell>
          <cell r="K1277" t="str">
            <v>06/21/2024</v>
          </cell>
          <cell r="L1277">
            <v>1</v>
          </cell>
          <cell r="M1277" t="str">
            <v>6/13/2024 7:59:21 AM</v>
          </cell>
          <cell r="N1277" t="str">
            <v>25</v>
          </cell>
          <cell r="O1277">
            <v>1</v>
          </cell>
          <cell r="P1277">
            <v>0.57999999999999996</v>
          </cell>
        </row>
        <row r="1278">
          <cell r="A1278" t="str">
            <v>6727980</v>
          </cell>
          <cell r="B1278" t="str">
            <v>1180587</v>
          </cell>
          <cell r="C1278" t="str">
            <v>6354DO-6832-782</v>
          </cell>
          <cell r="D1278" t="str">
            <v>6354DO</v>
          </cell>
          <cell r="E1278" t="str">
            <v>6354DO GLOCK 34/35 X300U CORD BLK LH</v>
          </cell>
          <cell r="F1278" t="str">
            <v>DG-HOLSTER-DO</v>
          </cell>
          <cell r="G1278" t="str">
            <v>1420-210-FG</v>
          </cell>
          <cell r="H1278" t="str">
            <v>R</v>
          </cell>
          <cell r="I1278" t="str">
            <v>06/11/2024</v>
          </cell>
          <cell r="J1278" t="str">
            <v>06/13/2024</v>
          </cell>
          <cell r="K1278" t="str">
            <v>06/21/2024</v>
          </cell>
          <cell r="L1278">
            <v>1</v>
          </cell>
          <cell r="M1278" t="str">
            <v>6/13/2024 7:59:21 AM</v>
          </cell>
          <cell r="N1278" t="str">
            <v>25</v>
          </cell>
          <cell r="O1278">
            <v>1</v>
          </cell>
          <cell r="P1278">
            <v>0.57999999999999996</v>
          </cell>
        </row>
        <row r="1279">
          <cell r="A1279" t="str">
            <v>6728583</v>
          </cell>
          <cell r="B1279" t="str">
            <v>1153964</v>
          </cell>
          <cell r="C1279" t="str">
            <v>6354DO-6832-701-MS19</v>
          </cell>
          <cell r="D1279" t="str">
            <v>6354DO</v>
          </cell>
          <cell r="E1279" t="str">
            <v>6354DO GLOCK 34/35 X300U CORD MTCM RH</v>
          </cell>
          <cell r="F1279" t="str">
            <v>DG-HOLSTER-DO</v>
          </cell>
          <cell r="G1279" t="str">
            <v>1420-210-FG</v>
          </cell>
          <cell r="H1279" t="str">
            <v>R</v>
          </cell>
          <cell r="I1279" t="str">
            <v>06/12/2024</v>
          </cell>
          <cell r="J1279" t="str">
            <v>06/12/2024</v>
          </cell>
          <cell r="K1279" t="str">
            <v>06/21/2024</v>
          </cell>
          <cell r="L1279">
            <v>5</v>
          </cell>
          <cell r="M1279" t="str">
            <v>6/13/2024 7:59:21 AM</v>
          </cell>
          <cell r="N1279" t="str">
            <v>25</v>
          </cell>
          <cell r="O1279">
            <v>5</v>
          </cell>
          <cell r="P1279">
            <v>2.91</v>
          </cell>
        </row>
        <row r="1280">
          <cell r="A1280" t="str">
            <v>6728259</v>
          </cell>
          <cell r="B1280" t="str">
            <v>1336622</v>
          </cell>
          <cell r="C1280" t="str">
            <v>6354RDS-2582-G991-MS19</v>
          </cell>
          <cell r="D1280" t="str">
            <v>6354RDS</v>
          </cell>
          <cell r="E1280" t="str">
            <v>6354RDS 2011 STCC 5" X300U SIXCLRDST RH</v>
          </cell>
          <cell r="F1280" t="str">
            <v>DG-HOLSTER-RDS-DTC</v>
          </cell>
          <cell r="G1280" t="str">
            <v>1420-210-FG</v>
          </cell>
          <cell r="H1280" t="str">
            <v>R</v>
          </cell>
          <cell r="I1280" t="str">
            <v>06/11/2024</v>
          </cell>
          <cell r="J1280" t="str">
            <v>06/13/2024</v>
          </cell>
          <cell r="K1280" t="str">
            <v>06/21/2024</v>
          </cell>
          <cell r="L1280">
            <v>1</v>
          </cell>
          <cell r="M1280" t="str">
            <v>6/13/2024 7:53:54 AM</v>
          </cell>
          <cell r="N1280" t="str">
            <v>25</v>
          </cell>
          <cell r="O1280">
            <v>1</v>
          </cell>
          <cell r="P1280">
            <v>0.43</v>
          </cell>
        </row>
        <row r="1281">
          <cell r="A1281" t="str">
            <v>6727074</v>
          </cell>
          <cell r="B1281" t="str">
            <v>1329502</v>
          </cell>
          <cell r="C1281" t="str">
            <v>6354RDS-2712-781</v>
          </cell>
          <cell r="D1281" t="str">
            <v>6354RDS</v>
          </cell>
          <cell r="E1281" t="str">
            <v>6354RDS FN509T 4.5IN X300U COR BLK RH</v>
          </cell>
          <cell r="F1281" t="str">
            <v>DG-HOLSTER-RDS</v>
          </cell>
          <cell r="G1281" t="str">
            <v>1420-210-FG</v>
          </cell>
          <cell r="H1281" t="str">
            <v>R</v>
          </cell>
          <cell r="I1281" t="str">
            <v>06/10/2024</v>
          </cell>
          <cell r="J1281" t="str">
            <v>06/10/2024</v>
          </cell>
          <cell r="K1281" t="str">
            <v>06/21/2024</v>
          </cell>
          <cell r="L1281">
            <v>1</v>
          </cell>
          <cell r="M1281" t="str">
            <v>6/11/2024 3:44:53 PM</v>
          </cell>
          <cell r="N1281" t="str">
            <v>25</v>
          </cell>
          <cell r="O1281">
            <v>1</v>
          </cell>
          <cell r="P1281">
            <v>0.4</v>
          </cell>
        </row>
        <row r="1282">
          <cell r="A1282" t="str">
            <v>6727201</v>
          </cell>
          <cell r="B1282" t="str">
            <v>1334948</v>
          </cell>
          <cell r="C1282" t="str">
            <v>6354RDS-832-251-MS19</v>
          </cell>
          <cell r="D1282" t="str">
            <v>6354RDS</v>
          </cell>
          <cell r="E1282" t="str">
            <v>6354RDS GLK 17MOS X300U CR ARID MLTCM RH</v>
          </cell>
          <cell r="F1282" t="str">
            <v>DG-HOLSTER-RDS-DTC</v>
          </cell>
          <cell r="G1282" t="str">
            <v>1420-210-FG</v>
          </cell>
          <cell r="H1282" t="str">
            <v>R</v>
          </cell>
          <cell r="I1282" t="str">
            <v>06/10/2024</v>
          </cell>
          <cell r="J1282" t="str">
            <v>06/10/2024</v>
          </cell>
          <cell r="K1282" t="str">
            <v>06/21/2024</v>
          </cell>
          <cell r="L1282">
            <v>5</v>
          </cell>
          <cell r="M1282" t="str">
            <v>6/13/2024 7:53:54 AM</v>
          </cell>
          <cell r="N1282" t="str">
            <v>25</v>
          </cell>
          <cell r="O1282">
            <v>5</v>
          </cell>
          <cell r="P1282">
            <v>2.17</v>
          </cell>
        </row>
        <row r="1283">
          <cell r="A1283" t="str">
            <v>6728256</v>
          </cell>
          <cell r="B1283" t="str">
            <v>1336591</v>
          </cell>
          <cell r="C1283" t="str">
            <v>6354RDS-832-G992-MS19</v>
          </cell>
          <cell r="D1283" t="str">
            <v>6354RDS</v>
          </cell>
          <cell r="E1283" t="str">
            <v>6354RDS GLK 17MOS X300U SIX CLR DST LH</v>
          </cell>
          <cell r="F1283" t="str">
            <v>DG-HOLSTER-RDS-DTC</v>
          </cell>
          <cell r="G1283" t="str">
            <v>1420-210-FG</v>
          </cell>
          <cell r="H1283" t="str">
            <v>R</v>
          </cell>
          <cell r="I1283" t="str">
            <v>06/11/2024</v>
          </cell>
          <cell r="J1283" t="str">
            <v>06/13/2024</v>
          </cell>
          <cell r="K1283" t="str">
            <v>06/21/2024</v>
          </cell>
          <cell r="L1283">
            <v>1</v>
          </cell>
          <cell r="M1283" t="str">
            <v>6/13/2024 7:53:54 AM</v>
          </cell>
          <cell r="N1283" t="str">
            <v>25</v>
          </cell>
          <cell r="O1283">
            <v>1</v>
          </cell>
          <cell r="P1283">
            <v>0.43</v>
          </cell>
        </row>
        <row r="1284">
          <cell r="A1284" t="str">
            <v>6723879</v>
          </cell>
          <cell r="B1284" t="str">
            <v>1334950</v>
          </cell>
          <cell r="C1284" t="str">
            <v>6354RDS-2832-251-MS19</v>
          </cell>
          <cell r="D1284" t="str">
            <v>6354RDS</v>
          </cell>
          <cell r="E1284" t="str">
            <v>6354RDS GLK 19MOS X300U CR ARID MLTCM RH</v>
          </cell>
          <cell r="F1284" t="str">
            <v>DG-HOLSTER-RDS-DTC</v>
          </cell>
          <cell r="G1284" t="str">
            <v>1420-210-FG</v>
          </cell>
          <cell r="H1284" t="str">
            <v>R</v>
          </cell>
          <cell r="I1284" t="str">
            <v>06/03/2024</v>
          </cell>
          <cell r="J1284" t="str">
            <v>06/03/2024</v>
          </cell>
          <cell r="K1284" t="str">
            <v>06/21/2024</v>
          </cell>
          <cell r="L1284">
            <v>39</v>
          </cell>
          <cell r="M1284" t="str">
            <v>6/12/2024 4:06:03 PM</v>
          </cell>
          <cell r="N1284" t="str">
            <v>25</v>
          </cell>
          <cell r="O1284">
            <v>39</v>
          </cell>
          <cell r="P1284">
            <v>16.89</v>
          </cell>
        </row>
        <row r="1285">
          <cell r="A1285" t="str">
            <v>6723683</v>
          </cell>
          <cell r="B1285" t="str">
            <v>1332500</v>
          </cell>
          <cell r="C1285" t="str">
            <v>6354RDS-6832-791-MS19</v>
          </cell>
          <cell r="D1285" t="str">
            <v>6354RDS</v>
          </cell>
          <cell r="E1285" t="str">
            <v>6354RDS GLK34/35 X300U COR TRPC MLTCM RH</v>
          </cell>
          <cell r="F1285" t="str">
            <v>DG-HOLSTER-RDS</v>
          </cell>
          <cell r="G1285" t="str">
            <v>1420-210-FG</v>
          </cell>
          <cell r="H1285" t="str">
            <v>R</v>
          </cell>
          <cell r="I1285" t="str">
            <v>06/03/2024</v>
          </cell>
          <cell r="J1285" t="str">
            <v>06/03/2024</v>
          </cell>
          <cell r="K1285" t="str">
            <v>06/21/2024</v>
          </cell>
          <cell r="L1285">
            <v>5</v>
          </cell>
          <cell r="M1285" t="str">
            <v>6/13/2024 8:03:10 AM</v>
          </cell>
          <cell r="N1285" t="str">
            <v>25</v>
          </cell>
          <cell r="O1285">
            <v>5</v>
          </cell>
          <cell r="P1285">
            <v>2</v>
          </cell>
        </row>
        <row r="1286">
          <cell r="A1286" t="str">
            <v>6728261</v>
          </cell>
          <cell r="B1286" t="str">
            <v>1336781</v>
          </cell>
          <cell r="C1286" t="str">
            <v>6354RDS-28327-131-MS19</v>
          </cell>
          <cell r="D1286" t="str">
            <v>6354RDS</v>
          </cell>
          <cell r="E1286" t="str">
            <v>6354RDS GLOCK 19MOS TLR-7 STX TAC BLK RH</v>
          </cell>
          <cell r="F1286" t="str">
            <v>DG-HOLSTER-RDS-DTC</v>
          </cell>
          <cell r="G1286" t="str">
            <v>1420-210-FG</v>
          </cell>
          <cell r="H1286" t="str">
            <v>R</v>
          </cell>
          <cell r="I1286" t="str">
            <v>06/11/2024</v>
          </cell>
          <cell r="J1286" t="str">
            <v>06/17/2024</v>
          </cell>
          <cell r="K1286" t="str">
            <v>06/21/2024</v>
          </cell>
          <cell r="L1286">
            <v>11</v>
          </cell>
          <cell r="M1286" t="str">
            <v>6/12/2024 4:24:34 PM</v>
          </cell>
          <cell r="N1286" t="str">
            <v>25</v>
          </cell>
          <cell r="O1286">
            <v>11</v>
          </cell>
          <cell r="P1286">
            <v>4.4000000000000004</v>
          </cell>
        </row>
        <row r="1287">
          <cell r="A1287" t="str">
            <v>6728191</v>
          </cell>
          <cell r="B1287" t="str">
            <v>1204661</v>
          </cell>
          <cell r="C1287" t="str">
            <v>6354RDS-2832-132-MS19</v>
          </cell>
          <cell r="D1287" t="str">
            <v>6354RDS</v>
          </cell>
          <cell r="E1287" t="str">
            <v>6354RDS GLOCK 19MOS X300U STX TAC BLK LH</v>
          </cell>
          <cell r="F1287" t="str">
            <v>DG-HOLSTER-RDS-DTC</v>
          </cell>
          <cell r="G1287" t="str">
            <v>1420-210-FG</v>
          </cell>
          <cell r="H1287" t="str">
            <v>R</v>
          </cell>
          <cell r="I1287" t="str">
            <v>06/11/2024</v>
          </cell>
          <cell r="J1287" t="str">
            <v>06/14/2024</v>
          </cell>
          <cell r="K1287" t="str">
            <v>06/21/2024</v>
          </cell>
          <cell r="L1287">
            <v>2</v>
          </cell>
          <cell r="M1287" t="str">
            <v>6/12/2024 3:55:19 PM</v>
          </cell>
          <cell r="N1287" t="str">
            <v>25</v>
          </cell>
          <cell r="O1287">
            <v>2</v>
          </cell>
          <cell r="P1287">
            <v>0.8</v>
          </cell>
        </row>
        <row r="1288">
          <cell r="A1288" t="str">
            <v>6728190</v>
          </cell>
          <cell r="B1288" t="str">
            <v>1204660</v>
          </cell>
          <cell r="C1288" t="str">
            <v>6354RDS-2832-131-MS19</v>
          </cell>
          <cell r="D1288" t="str">
            <v>6354RDS</v>
          </cell>
          <cell r="E1288" t="str">
            <v>6354RDS GLOCK 19MOS X300U STX TAC BLK RH</v>
          </cell>
          <cell r="F1288" t="str">
            <v>DG-HOLSTER-RDS-DTC</v>
          </cell>
          <cell r="G1288" t="str">
            <v>1420-210-FG</v>
          </cell>
          <cell r="H1288" t="str">
            <v>R</v>
          </cell>
          <cell r="I1288" t="str">
            <v>06/11/2024</v>
          </cell>
          <cell r="J1288" t="str">
            <v>06/14/2024</v>
          </cell>
          <cell r="K1288" t="str">
            <v>06/21/2024</v>
          </cell>
          <cell r="L1288">
            <v>8</v>
          </cell>
          <cell r="M1288" t="str">
            <v>6/12/2024 3:55:19 PM</v>
          </cell>
          <cell r="N1288" t="str">
            <v>25</v>
          </cell>
          <cell r="O1288">
            <v>8</v>
          </cell>
          <cell r="P1288">
            <v>3.2</v>
          </cell>
        </row>
        <row r="1289">
          <cell r="A1289" t="str">
            <v>6728135</v>
          </cell>
          <cell r="B1289" t="str">
            <v>1204571</v>
          </cell>
          <cell r="C1289" t="str">
            <v>6354RDS-6832-741-MS19</v>
          </cell>
          <cell r="D1289" t="str">
            <v>6354RDS</v>
          </cell>
          <cell r="E1289" t="str">
            <v>6354RDS GLOCK 34/35 X300U CORD CYTB RH</v>
          </cell>
          <cell r="F1289" t="str">
            <v>DG-HOLSTER-RDS</v>
          </cell>
          <cell r="G1289" t="str">
            <v>1420-210-FG</v>
          </cell>
          <cell r="H1289" t="str">
            <v>R</v>
          </cell>
          <cell r="I1289" t="str">
            <v>06/11/2024</v>
          </cell>
          <cell r="J1289" t="str">
            <v>06/17/2024</v>
          </cell>
          <cell r="K1289" t="str">
            <v>06/21/2024</v>
          </cell>
          <cell r="L1289">
            <v>1</v>
          </cell>
          <cell r="M1289" t="str">
            <v>6/13/2024 7:59:21 AM</v>
          </cell>
          <cell r="N1289" t="str">
            <v>25</v>
          </cell>
          <cell r="O1289">
            <v>1</v>
          </cell>
          <cell r="P1289">
            <v>0.4</v>
          </cell>
        </row>
        <row r="1290">
          <cell r="A1290" t="str">
            <v>6728158</v>
          </cell>
          <cell r="B1290" t="str">
            <v>1329044</v>
          </cell>
          <cell r="C1290" t="str">
            <v>6354RDS-68314-551</v>
          </cell>
          <cell r="D1290" t="str">
            <v>6354RDS</v>
          </cell>
          <cell r="E1290" t="str">
            <v>6354RDS GLOCK 34MOS X400U STX TAC FDE RH</v>
          </cell>
          <cell r="F1290" t="str">
            <v>DG-HOLSTER-RDS</v>
          </cell>
          <cell r="G1290" t="str">
            <v>1420-210-FG</v>
          </cell>
          <cell r="H1290" t="str">
            <v>R</v>
          </cell>
          <cell r="I1290" t="str">
            <v>06/11/2024</v>
          </cell>
          <cell r="J1290" t="str">
            <v>06/17/2024</v>
          </cell>
          <cell r="K1290" t="str">
            <v>06/21/2024</v>
          </cell>
          <cell r="L1290">
            <v>1</v>
          </cell>
          <cell r="M1290" t="str">
            <v>6/13/2024 7:48:51 AM</v>
          </cell>
          <cell r="N1290" t="str">
            <v>25</v>
          </cell>
          <cell r="O1290">
            <v>1</v>
          </cell>
          <cell r="P1290">
            <v>0.4</v>
          </cell>
        </row>
        <row r="1291">
          <cell r="A1291" t="str">
            <v>6728263</v>
          </cell>
          <cell r="B1291" t="str">
            <v>1336904</v>
          </cell>
          <cell r="C1291" t="str">
            <v>6354RDS-8972-132-MS19-NP</v>
          </cell>
          <cell r="D1291" t="str">
            <v>6354RDS</v>
          </cell>
          <cell r="E1291" t="str">
            <v>6354RDS GLOCK 47 X300U STX TAC BLK LH</v>
          </cell>
          <cell r="F1291" t="str">
            <v>DG-HOLSTER-RDS-DTC</v>
          </cell>
          <cell r="G1291" t="str">
            <v>1420-210-FG</v>
          </cell>
          <cell r="H1291" t="str">
            <v>R</v>
          </cell>
          <cell r="I1291" t="str">
            <v>06/11/2024</v>
          </cell>
          <cell r="J1291" t="str">
            <v>06/14/2024</v>
          </cell>
          <cell r="K1291" t="str">
            <v>06/21/2024</v>
          </cell>
          <cell r="L1291">
            <v>4</v>
          </cell>
          <cell r="M1291" t="str">
            <v>6/12/2024 4:06:03 PM</v>
          </cell>
          <cell r="N1291" t="str">
            <v>25</v>
          </cell>
          <cell r="O1291">
            <v>4</v>
          </cell>
          <cell r="P1291">
            <v>1.73</v>
          </cell>
        </row>
        <row r="1292">
          <cell r="A1292" t="str">
            <v>6728262</v>
          </cell>
          <cell r="B1292" t="str">
            <v>1336903</v>
          </cell>
          <cell r="C1292" t="str">
            <v>6354RDS-8972-131-MS19-NP</v>
          </cell>
          <cell r="D1292" t="str">
            <v>6354RDS</v>
          </cell>
          <cell r="E1292" t="str">
            <v>6354RDS GLOCK 47 X300U STX TAC BLK RH</v>
          </cell>
          <cell r="F1292" t="str">
            <v>DG-HOLSTER-RDS-DTC</v>
          </cell>
          <cell r="G1292" t="str">
            <v>1420-210-FG</v>
          </cell>
          <cell r="H1292" t="str">
            <v>R</v>
          </cell>
          <cell r="I1292" t="str">
            <v>06/11/2024</v>
          </cell>
          <cell r="J1292" t="str">
            <v>06/14/2024</v>
          </cell>
          <cell r="K1292" t="str">
            <v>06/21/2024</v>
          </cell>
          <cell r="L1292">
            <v>12</v>
          </cell>
          <cell r="M1292" t="str">
            <v>6/12/2024 4:06:03 PM</v>
          </cell>
          <cell r="N1292" t="str">
            <v>25</v>
          </cell>
          <cell r="O1292">
            <v>12</v>
          </cell>
          <cell r="P1292">
            <v>5.2</v>
          </cell>
        </row>
        <row r="1293">
          <cell r="A1293" t="str">
            <v>6728150</v>
          </cell>
          <cell r="B1293" t="str">
            <v>1316721</v>
          </cell>
          <cell r="C1293" t="str">
            <v>6354RDS-4502-541-SP10</v>
          </cell>
          <cell r="D1293" t="str">
            <v>6354RDS</v>
          </cell>
          <cell r="E1293" t="str">
            <v>6354RDS SIG 320RX X300U STX TAC FGR RH</v>
          </cell>
          <cell r="F1293" t="str">
            <v>DG-HOLSTER-RDS</v>
          </cell>
          <cell r="G1293" t="str">
            <v>1420-210-FG</v>
          </cell>
          <cell r="H1293" t="str">
            <v>R</v>
          </cell>
          <cell r="I1293" t="str">
            <v>06/11/2024</v>
          </cell>
          <cell r="J1293" t="str">
            <v>06/17/2024</v>
          </cell>
          <cell r="K1293" t="str">
            <v>06/21/2024</v>
          </cell>
          <cell r="L1293">
            <v>1</v>
          </cell>
          <cell r="M1293" t="str">
            <v>6/13/2024 7:50:34 AM</v>
          </cell>
          <cell r="N1293" t="str">
            <v>25</v>
          </cell>
          <cell r="O1293">
            <v>1</v>
          </cell>
          <cell r="P1293">
            <v>0.43</v>
          </cell>
        </row>
        <row r="1294">
          <cell r="A1294" t="str">
            <v>6728255</v>
          </cell>
          <cell r="B1294" t="str">
            <v>1336588</v>
          </cell>
          <cell r="C1294" t="str">
            <v>6354RDSO-2582-G991-MS19</v>
          </cell>
          <cell r="D1294" t="str">
            <v>6354RDSO</v>
          </cell>
          <cell r="E1294" t="str">
            <v>6354RDSO 2011 STCC 5" X300U SIXCLRDST RH</v>
          </cell>
          <cell r="F1294" t="str">
            <v>DG-HOLSTER-RDS-DTC</v>
          </cell>
          <cell r="G1294" t="str">
            <v>1420-210-FG</v>
          </cell>
          <cell r="H1294" t="str">
            <v>R</v>
          </cell>
          <cell r="I1294" t="str">
            <v>06/11/2024</v>
          </cell>
          <cell r="J1294" t="str">
            <v>06/17/2024</v>
          </cell>
          <cell r="K1294" t="str">
            <v>06/21/2024</v>
          </cell>
          <cell r="L1294">
            <v>2</v>
          </cell>
          <cell r="M1294" t="str">
            <v>6/13/2024 7:53:54 AM</v>
          </cell>
          <cell r="N1294" t="str">
            <v>25</v>
          </cell>
          <cell r="O1294">
            <v>2</v>
          </cell>
          <cell r="P1294">
            <v>0.86</v>
          </cell>
        </row>
        <row r="1295">
          <cell r="A1295" t="str">
            <v>6727098</v>
          </cell>
          <cell r="B1295" t="str">
            <v>1334271</v>
          </cell>
          <cell r="C1295" t="str">
            <v>6354RDSO-832-721-MS19</v>
          </cell>
          <cell r="D1295" t="str">
            <v>6354RDSO</v>
          </cell>
          <cell r="E1295" t="str">
            <v>6354RDSO GLOCK 17MOS X300 COR OD RGRN RH</v>
          </cell>
          <cell r="F1295" t="str">
            <v>DG-HOLSTER-RDS</v>
          </cell>
          <cell r="G1295" t="str">
            <v>1420-210-FG</v>
          </cell>
          <cell r="H1295" t="str">
            <v>F</v>
          </cell>
          <cell r="I1295" t="str">
            <v>06/10/2024</v>
          </cell>
          <cell r="J1295" t="str">
            <v>06/10/2024</v>
          </cell>
          <cell r="K1295" t="str">
            <v>06/21/2024</v>
          </cell>
          <cell r="L1295">
            <v>2</v>
          </cell>
          <cell r="M1295" t="str">
            <v/>
          </cell>
          <cell r="N1295" t="str">
            <v>25</v>
          </cell>
          <cell r="O1295">
            <v>2</v>
          </cell>
          <cell r="P1295">
            <v>0.87</v>
          </cell>
        </row>
        <row r="1296">
          <cell r="A1296" t="str">
            <v>6724353</v>
          </cell>
          <cell r="B1296" t="str">
            <v>1333934</v>
          </cell>
          <cell r="C1296" t="str">
            <v>6354RDSO-832-701-MS19</v>
          </cell>
          <cell r="D1296" t="str">
            <v>6354RDSO</v>
          </cell>
          <cell r="E1296" t="str">
            <v>6354RDSO GLOCK 17MOS X300U COR MLTCM RH</v>
          </cell>
          <cell r="F1296" t="str">
            <v>DG-HOLSTER-RDS</v>
          </cell>
          <cell r="G1296" t="str">
            <v>1420-210-FG</v>
          </cell>
          <cell r="H1296" t="str">
            <v>R</v>
          </cell>
          <cell r="I1296" t="str">
            <v>06/04/2024</v>
          </cell>
          <cell r="J1296" t="str">
            <v>06/04/2024</v>
          </cell>
          <cell r="K1296" t="str">
            <v>06/21/2024</v>
          </cell>
          <cell r="L1296">
            <v>3</v>
          </cell>
          <cell r="M1296" t="str">
            <v>6/13/2024 8:03:10 AM</v>
          </cell>
          <cell r="N1296" t="str">
            <v>25</v>
          </cell>
          <cell r="O1296">
            <v>3</v>
          </cell>
          <cell r="P1296">
            <v>1.3</v>
          </cell>
        </row>
        <row r="1297">
          <cell r="A1297" t="str">
            <v>6727097</v>
          </cell>
          <cell r="B1297" t="str">
            <v>1333934</v>
          </cell>
          <cell r="C1297" t="str">
            <v>6354RDSO-832-701-MS19</v>
          </cell>
          <cell r="D1297" t="str">
            <v>6354RDSO</v>
          </cell>
          <cell r="E1297" t="str">
            <v>6354RDSO GLOCK 17MOS X300U COR MLTCM RH</v>
          </cell>
          <cell r="F1297" t="str">
            <v>DG-HOLSTER-RDS</v>
          </cell>
          <cell r="G1297" t="str">
            <v>1420-210-FG</v>
          </cell>
          <cell r="H1297" t="str">
            <v>R</v>
          </cell>
          <cell r="I1297" t="str">
            <v>06/10/2024</v>
          </cell>
          <cell r="J1297" t="str">
            <v>06/10/2024</v>
          </cell>
          <cell r="K1297" t="str">
            <v>06/21/2024</v>
          </cell>
          <cell r="L1297">
            <v>8</v>
          </cell>
          <cell r="M1297" t="str">
            <v>6/13/2024 8:03:10 AM</v>
          </cell>
          <cell r="N1297" t="str">
            <v>25</v>
          </cell>
          <cell r="O1297">
            <v>8</v>
          </cell>
          <cell r="P1297">
            <v>3.46</v>
          </cell>
        </row>
        <row r="1298">
          <cell r="A1298" t="str">
            <v>6728235</v>
          </cell>
          <cell r="B1298" t="str">
            <v>1334797</v>
          </cell>
          <cell r="C1298" t="str">
            <v>6354RDSO-2832-702-MS19</v>
          </cell>
          <cell r="D1298" t="str">
            <v>6354RDSO</v>
          </cell>
          <cell r="E1298" t="str">
            <v>6354RDSO GLOCK 19MOS X300U CORD MLTCM LH</v>
          </cell>
          <cell r="F1298" t="str">
            <v>DG-HOLSTER-RDS-DTC</v>
          </cell>
          <cell r="G1298" t="str">
            <v>1420-210-FG</v>
          </cell>
          <cell r="H1298" t="str">
            <v>R</v>
          </cell>
          <cell r="I1298" t="str">
            <v>06/11/2024</v>
          </cell>
          <cell r="J1298" t="str">
            <v>06/12/2024</v>
          </cell>
          <cell r="K1298" t="str">
            <v>06/21/2024</v>
          </cell>
          <cell r="L1298">
            <v>13</v>
          </cell>
          <cell r="M1298" t="str">
            <v>6/12/2024 4:09:07 PM</v>
          </cell>
          <cell r="N1298" t="str">
            <v>25</v>
          </cell>
          <cell r="O1298">
            <v>13</v>
          </cell>
          <cell r="P1298">
            <v>5.63</v>
          </cell>
        </row>
        <row r="1299">
          <cell r="A1299" t="str">
            <v>6726988</v>
          </cell>
          <cell r="B1299" t="str">
            <v>1334869</v>
          </cell>
          <cell r="C1299" t="str">
            <v>6354RDSO-8972-701-MS19</v>
          </cell>
          <cell r="D1299" t="str">
            <v>6354RDSO</v>
          </cell>
          <cell r="E1299" t="str">
            <v>6354RDSO GLOCK 47 X300U CORD MLTCM RH</v>
          </cell>
          <cell r="F1299" t="str">
            <v>DG-HOLSTER-RDS</v>
          </cell>
          <cell r="G1299" t="str">
            <v>1420-210-FG</v>
          </cell>
          <cell r="H1299" t="str">
            <v>F</v>
          </cell>
          <cell r="I1299" t="str">
            <v>06/10/2024</v>
          </cell>
          <cell r="J1299" t="str">
            <v>06/10/2024</v>
          </cell>
          <cell r="K1299" t="str">
            <v>06/21/2024</v>
          </cell>
          <cell r="L1299">
            <v>20</v>
          </cell>
          <cell r="M1299" t="str">
            <v/>
          </cell>
          <cell r="N1299" t="str">
            <v>25</v>
          </cell>
          <cell r="O1299">
            <v>20</v>
          </cell>
          <cell r="P1299">
            <v>8</v>
          </cell>
        </row>
        <row r="1300">
          <cell r="A1300" t="str">
            <v>6726987</v>
          </cell>
          <cell r="B1300" t="str">
            <v>1334868</v>
          </cell>
          <cell r="C1300" t="str">
            <v>6354RDSO-8972-131-MS19</v>
          </cell>
          <cell r="D1300" t="str">
            <v>6354RDSO</v>
          </cell>
          <cell r="E1300" t="str">
            <v>6354RDSO GLOCK 47 X300U STX TAC BLK RH</v>
          </cell>
          <cell r="F1300" t="str">
            <v>DG-HOLSTER-RDS</v>
          </cell>
          <cell r="G1300" t="str">
            <v>1420-210-FG</v>
          </cell>
          <cell r="H1300" t="str">
            <v>R</v>
          </cell>
          <cell r="I1300" t="str">
            <v>06/10/2024</v>
          </cell>
          <cell r="J1300" t="str">
            <v>06/10/2024</v>
          </cell>
          <cell r="K1300" t="str">
            <v>06/21/2024</v>
          </cell>
          <cell r="L1300">
            <v>20</v>
          </cell>
          <cell r="M1300" t="str">
            <v>6/12/2024 4:06:03 PM</v>
          </cell>
          <cell r="N1300" t="str">
            <v>25</v>
          </cell>
          <cell r="O1300">
            <v>20</v>
          </cell>
          <cell r="P1300">
            <v>8</v>
          </cell>
        </row>
        <row r="1301">
          <cell r="A1301" t="str">
            <v>6728244</v>
          </cell>
          <cell r="B1301" t="str">
            <v>1335692</v>
          </cell>
          <cell r="C1301" t="str">
            <v>6354RDSO-6832-732-MS19</v>
          </cell>
          <cell r="D1301" t="str">
            <v>6354RDSO</v>
          </cell>
          <cell r="E1301" t="str">
            <v>6354RDSO GLOCK34/35 X300U COR CAM GRN LH</v>
          </cell>
          <cell r="F1301" t="str">
            <v>DG-HOLSTER-RDS-DTC</v>
          </cell>
          <cell r="G1301" t="str">
            <v>1420-210-FG</v>
          </cell>
          <cell r="H1301" t="str">
            <v>R</v>
          </cell>
          <cell r="I1301" t="str">
            <v>06/11/2024</v>
          </cell>
          <cell r="J1301" t="str">
            <v>06/17/2024</v>
          </cell>
          <cell r="K1301" t="str">
            <v>06/21/2024</v>
          </cell>
          <cell r="L1301">
            <v>1</v>
          </cell>
          <cell r="M1301" t="str">
            <v>6/13/2024 8:03:10 AM</v>
          </cell>
          <cell r="N1301" t="str">
            <v>25</v>
          </cell>
          <cell r="O1301">
            <v>1</v>
          </cell>
          <cell r="P1301">
            <v>0.4</v>
          </cell>
        </row>
        <row r="1302">
          <cell r="A1302" t="str">
            <v>6728601</v>
          </cell>
          <cell r="B1302" t="str">
            <v>1336625</v>
          </cell>
          <cell r="C1302" t="str">
            <v>6354RDSO-582-G991-MS19</v>
          </cell>
          <cell r="D1302" t="str">
            <v>6354RDSO</v>
          </cell>
          <cell r="E1302" t="str">
            <v>6354RDSO PRODIGY 4.25" SIX CLR DST RH</v>
          </cell>
          <cell r="F1302" t="str">
            <v>DG-HOLSTER-RDS-DTC</v>
          </cell>
          <cell r="G1302" t="str">
            <v>1420-210-FG</v>
          </cell>
          <cell r="H1302" t="str">
            <v>R</v>
          </cell>
          <cell r="I1302" t="str">
            <v>06/12/2024</v>
          </cell>
          <cell r="J1302" t="str">
            <v>06/12/2024</v>
          </cell>
          <cell r="K1302" t="str">
            <v>06/21/2024</v>
          </cell>
          <cell r="L1302">
            <v>2</v>
          </cell>
          <cell r="M1302" t="str">
            <v>6/13/2024 7:53:54 AM</v>
          </cell>
          <cell r="N1302" t="str">
            <v>25</v>
          </cell>
          <cell r="O1302">
            <v>2</v>
          </cell>
          <cell r="P1302">
            <v>0.86</v>
          </cell>
        </row>
        <row r="1303">
          <cell r="A1303" t="str">
            <v>6728132</v>
          </cell>
          <cell r="B1303" t="str">
            <v>1337082</v>
          </cell>
          <cell r="C1303" t="str">
            <v>6354RDSO-4502-711-MS19-NP</v>
          </cell>
          <cell r="D1303" t="str">
            <v>6354RDS</v>
          </cell>
          <cell r="E1303" t="str">
            <v>6354RDSO SIG P320RX X300U BKMLTCM RH</v>
          </cell>
          <cell r="F1303" t="str">
            <v>DG-HOLSTER-RDS</v>
          </cell>
          <cell r="G1303" t="str">
            <v>1420-210-FG</v>
          </cell>
          <cell r="H1303" t="str">
            <v>R</v>
          </cell>
          <cell r="I1303" t="str">
            <v>06/11/2024</v>
          </cell>
          <cell r="J1303" t="str">
            <v>06/14/2024</v>
          </cell>
          <cell r="K1303" t="str">
            <v>06/21/2024</v>
          </cell>
          <cell r="L1303">
            <v>38</v>
          </cell>
          <cell r="M1303" t="str">
            <v>6/13/2024 7:53:54 AM</v>
          </cell>
          <cell r="N1303" t="str">
            <v>25</v>
          </cell>
          <cell r="O1303">
            <v>38</v>
          </cell>
          <cell r="P1303">
            <v>16.45</v>
          </cell>
        </row>
        <row r="1304">
          <cell r="A1304" t="str">
            <v>6728254</v>
          </cell>
          <cell r="B1304" t="str">
            <v>1336519</v>
          </cell>
          <cell r="C1304" t="str">
            <v>6354RDSO-4842-701-MS19</v>
          </cell>
          <cell r="D1304" t="str">
            <v>6354RDSO</v>
          </cell>
          <cell r="E1304" t="str">
            <v>6354RDSO WLTHRPDP 4"  X300U COR MLTCM RH</v>
          </cell>
          <cell r="F1304" t="str">
            <v>DG-HOLSTER-RDS-DTC</v>
          </cell>
          <cell r="G1304" t="str">
            <v>1420-210-FG</v>
          </cell>
          <cell r="H1304" t="str">
            <v>R</v>
          </cell>
          <cell r="I1304" t="str">
            <v>06/11/2024</v>
          </cell>
          <cell r="J1304" t="str">
            <v>06/13/2024</v>
          </cell>
          <cell r="K1304" t="str">
            <v>06/21/2024</v>
          </cell>
          <cell r="L1304">
            <v>1</v>
          </cell>
          <cell r="M1304" t="str">
            <v>6/13/2024 8:03:10 AM</v>
          </cell>
          <cell r="N1304" t="str">
            <v>25</v>
          </cell>
          <cell r="O1304">
            <v>1</v>
          </cell>
          <cell r="P1304">
            <v>0.43</v>
          </cell>
        </row>
        <row r="1305">
          <cell r="A1305" t="str">
            <v>6727641</v>
          </cell>
          <cell r="B1305" t="str">
            <v>1117093</v>
          </cell>
          <cell r="C1305" t="str">
            <v>6355-560-131</v>
          </cell>
          <cell r="D1305" t="str">
            <v>6355</v>
          </cell>
          <cell r="E1305" t="str">
            <v>6355 SPRNGFLD OPR X300  STX TAC BLK RH</v>
          </cell>
          <cell r="F1305" t="str">
            <v>DG-HOLSTER-H</v>
          </cell>
          <cell r="G1305" t="str">
            <v>1420-210-FG</v>
          </cell>
          <cell r="H1305" t="str">
            <v>R</v>
          </cell>
          <cell r="I1305" t="str">
            <v>06/11/2024</v>
          </cell>
          <cell r="J1305" t="str">
            <v>06/11/2024</v>
          </cell>
          <cell r="K1305" t="str">
            <v>06/21/2024</v>
          </cell>
          <cell r="L1305">
            <v>1</v>
          </cell>
          <cell r="M1305" t="str">
            <v>6/12/2024 3:55:19 PM</v>
          </cell>
          <cell r="N1305" t="str">
            <v>25</v>
          </cell>
          <cell r="O1305">
            <v>1</v>
          </cell>
          <cell r="P1305">
            <v>0.4</v>
          </cell>
        </row>
        <row r="1306">
          <cell r="A1306" t="str">
            <v>6728206</v>
          </cell>
          <cell r="B1306" t="str">
            <v>1206424</v>
          </cell>
          <cell r="C1306" t="str">
            <v>6355RDS-2832-701</v>
          </cell>
          <cell r="D1306" t="str">
            <v>6355RDS</v>
          </cell>
          <cell r="E1306" t="str">
            <v>6355RDS GLOCK 19MOS X300U CORD MLTCM RH</v>
          </cell>
          <cell r="F1306" t="str">
            <v>DG-HOLSTER-RDS-DTC</v>
          </cell>
          <cell r="G1306" t="str">
            <v>1420-210-FG</v>
          </cell>
          <cell r="H1306" t="str">
            <v>R</v>
          </cell>
          <cell r="I1306" t="str">
            <v>06/11/2024</v>
          </cell>
          <cell r="J1306" t="str">
            <v>06/14/2024</v>
          </cell>
          <cell r="K1306" t="str">
            <v>06/21/2024</v>
          </cell>
          <cell r="L1306">
            <v>1</v>
          </cell>
          <cell r="M1306" t="str">
            <v>6/12/2024 4:08:31 PM</v>
          </cell>
          <cell r="N1306" t="str">
            <v>25</v>
          </cell>
          <cell r="O1306">
            <v>1</v>
          </cell>
          <cell r="P1306">
            <v>0.4</v>
          </cell>
        </row>
        <row r="1307">
          <cell r="A1307" t="str">
            <v>6728188</v>
          </cell>
          <cell r="B1307" t="str">
            <v>1204248</v>
          </cell>
          <cell r="C1307" t="str">
            <v>6355RDS-2832-131-SP10</v>
          </cell>
          <cell r="D1307" t="str">
            <v>6355RDS</v>
          </cell>
          <cell r="E1307" t="str">
            <v>6355RDS GLOCK 19MOS X300U STX TAC BLK RH</v>
          </cell>
          <cell r="F1307" t="str">
            <v>DG-HOLSTER-RDS-DTC</v>
          </cell>
          <cell r="G1307" t="str">
            <v>1420-210-FG</v>
          </cell>
          <cell r="H1307" t="str">
            <v>R</v>
          </cell>
          <cell r="I1307" t="str">
            <v>06/11/2024</v>
          </cell>
          <cell r="J1307" t="str">
            <v>06/13/2024</v>
          </cell>
          <cell r="K1307" t="str">
            <v>06/21/2024</v>
          </cell>
          <cell r="L1307">
            <v>1</v>
          </cell>
          <cell r="M1307" t="str">
            <v>6/12/2024 3:55:19 PM</v>
          </cell>
          <cell r="N1307" t="str">
            <v>25</v>
          </cell>
          <cell r="O1307">
            <v>1</v>
          </cell>
          <cell r="P1307">
            <v>0.4</v>
          </cell>
        </row>
        <row r="1308">
          <cell r="A1308" t="str">
            <v>6727626</v>
          </cell>
          <cell r="B1308" t="str">
            <v>1120430</v>
          </cell>
          <cell r="C1308" t="str">
            <v>6360-83-61</v>
          </cell>
          <cell r="D1308" t="str">
            <v>6360</v>
          </cell>
          <cell r="E1308" t="str">
            <v>6360 GLOCK 17/22 PLN BLK RH</v>
          </cell>
          <cell r="F1308" t="str">
            <v>DG-HOLSTER-DTC</v>
          </cell>
          <cell r="G1308" t="str">
            <v>1420-210-FG</v>
          </cell>
          <cell r="H1308" t="str">
            <v>R</v>
          </cell>
          <cell r="I1308" t="str">
            <v>06/11/2024</v>
          </cell>
          <cell r="J1308" t="str">
            <v>06/11/2024</v>
          </cell>
          <cell r="K1308" t="str">
            <v>06/21/2024</v>
          </cell>
          <cell r="L1308">
            <v>51</v>
          </cell>
          <cell r="M1308" t="str">
            <v>6/12/2024 4:16:03 PM</v>
          </cell>
          <cell r="N1308" t="str">
            <v>25</v>
          </cell>
          <cell r="O1308">
            <v>51</v>
          </cell>
          <cell r="P1308">
            <v>11.38</v>
          </cell>
        </row>
        <row r="1309">
          <cell r="A1309" t="str">
            <v>6726080</v>
          </cell>
          <cell r="B1309" t="str">
            <v>1120607</v>
          </cell>
          <cell r="C1309" t="str">
            <v>6360-83-412</v>
          </cell>
          <cell r="D1309" t="str">
            <v>6360</v>
          </cell>
          <cell r="E1309" t="str">
            <v>6360 GLOCK 17/22 STX PLN BLK LH</v>
          </cell>
          <cell r="F1309" t="str">
            <v>DG-HOLSTER-DTC</v>
          </cell>
          <cell r="G1309" t="str">
            <v>1420-210-FG</v>
          </cell>
          <cell r="H1309" t="str">
            <v>R</v>
          </cell>
          <cell r="I1309" t="str">
            <v>06/07/2024</v>
          </cell>
          <cell r="J1309" t="str">
            <v>06/07/2024</v>
          </cell>
          <cell r="K1309" t="str">
            <v>06/21/2024</v>
          </cell>
          <cell r="L1309">
            <v>10</v>
          </cell>
          <cell r="M1309" t="str">
            <v>6/12/2024 4:16:03 PM</v>
          </cell>
          <cell r="N1309" t="str">
            <v>25</v>
          </cell>
          <cell r="O1309">
            <v>10</v>
          </cell>
          <cell r="P1309">
            <v>2.14</v>
          </cell>
        </row>
        <row r="1310">
          <cell r="A1310" t="str">
            <v>6728099</v>
          </cell>
          <cell r="B1310" t="str">
            <v>1323514</v>
          </cell>
          <cell r="C1310" t="str">
            <v>6360-83-131-2-NP</v>
          </cell>
          <cell r="D1310" t="str">
            <v>6360</v>
          </cell>
          <cell r="E1310" t="str">
            <v>6360 GLOCK 17/22 STX TAC BLK RH</v>
          </cell>
          <cell r="F1310" t="str">
            <v>DG-HOLSTER-DTC</v>
          </cell>
          <cell r="G1310" t="str">
            <v>1420-210-FG</v>
          </cell>
          <cell r="H1310" t="str">
            <v>R</v>
          </cell>
          <cell r="I1310" t="str">
            <v>06/11/2024</v>
          </cell>
          <cell r="J1310" t="str">
            <v>06/14/2024</v>
          </cell>
          <cell r="K1310" t="str">
            <v>06/21/2024</v>
          </cell>
          <cell r="L1310">
            <v>1</v>
          </cell>
          <cell r="M1310" t="str">
            <v>6/12/2024 4:13:49 PM</v>
          </cell>
          <cell r="N1310" t="str">
            <v>25</v>
          </cell>
          <cell r="O1310">
            <v>1</v>
          </cell>
          <cell r="P1310">
            <v>0.22</v>
          </cell>
        </row>
        <row r="1311">
          <cell r="A1311" t="str">
            <v>6728027</v>
          </cell>
          <cell r="B1311" t="str">
            <v>1323239</v>
          </cell>
          <cell r="C1311" t="str">
            <v>6360-83-131-NP</v>
          </cell>
          <cell r="D1311" t="str">
            <v>6360</v>
          </cell>
          <cell r="E1311" t="str">
            <v>6360 GLOCK 17/22 STX TAC BLK RH</v>
          </cell>
          <cell r="F1311" t="str">
            <v>DG-HOLSTER-DTC</v>
          </cell>
          <cell r="G1311" t="str">
            <v>1420-210-FG</v>
          </cell>
          <cell r="H1311" t="str">
            <v>R</v>
          </cell>
          <cell r="I1311" t="str">
            <v>06/11/2024</v>
          </cell>
          <cell r="J1311" t="str">
            <v>06/17/2024</v>
          </cell>
          <cell r="K1311" t="str">
            <v>06/21/2024</v>
          </cell>
          <cell r="L1311">
            <v>50</v>
          </cell>
          <cell r="M1311" t="str">
            <v>6/12/2024 4:13:49 PM</v>
          </cell>
          <cell r="N1311" t="str">
            <v>25</v>
          </cell>
          <cell r="O1311">
            <v>50</v>
          </cell>
          <cell r="P1311">
            <v>10.68</v>
          </cell>
        </row>
        <row r="1312">
          <cell r="A1312" t="str">
            <v>6728098</v>
          </cell>
          <cell r="B1312" t="str">
            <v>1323239</v>
          </cell>
          <cell r="C1312" t="str">
            <v>6360-83-131-NP</v>
          </cell>
          <cell r="D1312" t="str">
            <v>6360</v>
          </cell>
          <cell r="E1312" t="str">
            <v>6360 GLOCK 17/22 STX TAC BLK RH</v>
          </cell>
          <cell r="F1312" t="str">
            <v>DG-HOLSTER-DTC</v>
          </cell>
          <cell r="G1312" t="str">
            <v>1420-210-FG</v>
          </cell>
          <cell r="H1312" t="str">
            <v>R</v>
          </cell>
          <cell r="I1312" t="str">
            <v>06/11/2024</v>
          </cell>
          <cell r="J1312" t="str">
            <v>06/17/2024</v>
          </cell>
          <cell r="K1312" t="str">
            <v>06/21/2024</v>
          </cell>
          <cell r="L1312">
            <v>13</v>
          </cell>
          <cell r="M1312" t="str">
            <v>6/12/2024 4:13:49 PM</v>
          </cell>
          <cell r="N1312" t="str">
            <v>25</v>
          </cell>
          <cell r="O1312">
            <v>13</v>
          </cell>
          <cell r="P1312">
            <v>2.78</v>
          </cell>
        </row>
        <row r="1313">
          <cell r="A1313" t="str">
            <v>6726094</v>
          </cell>
          <cell r="B1313" t="str">
            <v>1119249</v>
          </cell>
          <cell r="C1313" t="str">
            <v>6360-832-481</v>
          </cell>
          <cell r="D1313" t="str">
            <v>6360</v>
          </cell>
          <cell r="E1313" t="str">
            <v>6360 GLOCK 17/22 X300U STX BSK BLK RH</v>
          </cell>
          <cell r="F1313" t="str">
            <v>DG-HOLSTER-DTC</v>
          </cell>
          <cell r="G1313" t="str">
            <v>1420-210-FG</v>
          </cell>
          <cell r="H1313" t="str">
            <v>R</v>
          </cell>
          <cell r="I1313" t="str">
            <v>06/07/2024</v>
          </cell>
          <cell r="J1313" t="str">
            <v>06/07/2024</v>
          </cell>
          <cell r="K1313" t="str">
            <v>06/21/2024</v>
          </cell>
          <cell r="L1313">
            <v>20</v>
          </cell>
          <cell r="M1313" t="str">
            <v>6/12/2024 4:19:35 PM</v>
          </cell>
          <cell r="N1313" t="str">
            <v>25</v>
          </cell>
          <cell r="O1313">
            <v>20</v>
          </cell>
          <cell r="P1313">
            <v>8.15</v>
          </cell>
        </row>
        <row r="1314">
          <cell r="A1314" t="str">
            <v>6728013</v>
          </cell>
          <cell r="B1314" t="str">
            <v>1141926</v>
          </cell>
          <cell r="C1314" t="str">
            <v>6360-832-551</v>
          </cell>
          <cell r="D1314" t="str">
            <v>6360</v>
          </cell>
          <cell r="E1314" t="str">
            <v>6360 GLOCK 17/22 X300U STX TAC FDE RH</v>
          </cell>
          <cell r="F1314" t="str">
            <v>DG-HOLSTER-DTC</v>
          </cell>
          <cell r="G1314" t="str">
            <v>1420-210-FG</v>
          </cell>
          <cell r="H1314" t="str">
            <v>R</v>
          </cell>
          <cell r="I1314" t="str">
            <v>06/11/2024</v>
          </cell>
          <cell r="J1314" t="str">
            <v>06/14/2024</v>
          </cell>
          <cell r="K1314" t="str">
            <v>06/21/2024</v>
          </cell>
          <cell r="L1314">
            <v>26</v>
          </cell>
          <cell r="M1314" t="str">
            <v>6/12/2024 4:17:55 PM</v>
          </cell>
          <cell r="N1314" t="str">
            <v>25</v>
          </cell>
          <cell r="O1314">
            <v>26</v>
          </cell>
          <cell r="P1314">
            <v>10.59</v>
          </cell>
        </row>
        <row r="1315">
          <cell r="A1315" t="str">
            <v>6726932</v>
          </cell>
          <cell r="B1315" t="str">
            <v>1121181</v>
          </cell>
          <cell r="C1315" t="str">
            <v>6360-283-82</v>
          </cell>
          <cell r="D1315" t="str">
            <v>6360</v>
          </cell>
          <cell r="E1315" t="str">
            <v>6360 GLOCK 19/23 BSK BLK LH</v>
          </cell>
          <cell r="F1315" t="str">
            <v>DG-HOLSTER-DTC</v>
          </cell>
          <cell r="G1315" t="str">
            <v>1420-210-FG</v>
          </cell>
          <cell r="H1315" t="str">
            <v>R</v>
          </cell>
          <cell r="I1315" t="str">
            <v>06/10/2024</v>
          </cell>
          <cell r="J1315" t="str">
            <v>06/10/2024</v>
          </cell>
          <cell r="K1315" t="str">
            <v>06/21/2024</v>
          </cell>
          <cell r="L1315">
            <v>5</v>
          </cell>
          <cell r="M1315" t="str">
            <v>6/12/2024 4:16:03 PM</v>
          </cell>
          <cell r="N1315" t="str">
            <v>25</v>
          </cell>
          <cell r="O1315">
            <v>5</v>
          </cell>
          <cell r="P1315">
            <v>1.39</v>
          </cell>
        </row>
        <row r="1316">
          <cell r="A1316" t="str">
            <v>6728101</v>
          </cell>
          <cell r="B1316" t="str">
            <v>1327646</v>
          </cell>
          <cell r="C1316" t="str">
            <v>6360-28310-411</v>
          </cell>
          <cell r="D1316" t="str">
            <v>6360</v>
          </cell>
          <cell r="E1316" t="str">
            <v>6360 GLOCK 19/23 GTL21 STX PLN BLK RH</v>
          </cell>
          <cell r="F1316" t="str">
            <v>DG-HOLSTER-DTC</v>
          </cell>
          <cell r="G1316" t="str">
            <v>1420-210-FG</v>
          </cell>
          <cell r="H1316" t="str">
            <v>R</v>
          </cell>
          <cell r="I1316" t="str">
            <v>06/11/2024</v>
          </cell>
          <cell r="J1316" t="str">
            <v>06/14/2024</v>
          </cell>
          <cell r="K1316" t="str">
            <v>06/21/2024</v>
          </cell>
          <cell r="L1316">
            <v>1</v>
          </cell>
          <cell r="M1316" t="str">
            <v>6/12/2024 3:57:34 PM</v>
          </cell>
          <cell r="N1316" t="str">
            <v>25</v>
          </cell>
          <cell r="O1316">
            <v>1</v>
          </cell>
          <cell r="P1316">
            <v>0.33</v>
          </cell>
        </row>
        <row r="1317">
          <cell r="A1317" t="str">
            <v>6728051</v>
          </cell>
          <cell r="B1317" t="str">
            <v>1128943</v>
          </cell>
          <cell r="C1317" t="str">
            <v>6360-2832-81</v>
          </cell>
          <cell r="D1317" t="str">
            <v>6360</v>
          </cell>
          <cell r="E1317" t="str">
            <v>6360 GLOCK 19/23 X300U BSK BLK RH</v>
          </cell>
          <cell r="F1317" t="str">
            <v>DG-HOLSTER-DTC</v>
          </cell>
          <cell r="G1317" t="str">
            <v>1420-210-FG</v>
          </cell>
          <cell r="H1317" t="str">
            <v>R</v>
          </cell>
          <cell r="I1317" t="str">
            <v>06/11/2024</v>
          </cell>
          <cell r="J1317" t="str">
            <v>06/14/2024</v>
          </cell>
          <cell r="K1317" t="str">
            <v>06/21/2024</v>
          </cell>
          <cell r="L1317">
            <v>13</v>
          </cell>
          <cell r="M1317" t="str">
            <v>6/12/2024 3:57:34 PM</v>
          </cell>
          <cell r="N1317" t="str">
            <v>25</v>
          </cell>
          <cell r="O1317">
            <v>13</v>
          </cell>
          <cell r="P1317">
            <v>5.48</v>
          </cell>
        </row>
        <row r="1318">
          <cell r="A1318" t="str">
            <v>6728063</v>
          </cell>
          <cell r="B1318" t="str">
            <v>1137022</v>
          </cell>
          <cell r="C1318" t="str">
            <v>6360-2832-481-MS30</v>
          </cell>
          <cell r="D1318" t="str">
            <v>6360</v>
          </cell>
          <cell r="E1318" t="str">
            <v>6360 GLOCK 19/23 X300U STX BSK BLK RH</v>
          </cell>
          <cell r="F1318" t="str">
            <v>DG-HOLSTER-DTC</v>
          </cell>
          <cell r="G1318" t="str">
            <v>1420-210-FG</v>
          </cell>
          <cell r="H1318" t="str">
            <v>R</v>
          </cell>
          <cell r="I1318" t="str">
            <v>06/11/2024</v>
          </cell>
          <cell r="J1318" t="str">
            <v>06/14/2024</v>
          </cell>
          <cell r="K1318" t="str">
            <v>06/21/2024</v>
          </cell>
          <cell r="L1318">
            <v>1</v>
          </cell>
          <cell r="M1318" t="str">
            <v>6/12/2024 4:01:30 PM</v>
          </cell>
          <cell r="N1318" t="str">
            <v>25</v>
          </cell>
          <cell r="O1318">
            <v>1</v>
          </cell>
          <cell r="P1318">
            <v>0.43</v>
          </cell>
        </row>
        <row r="1319">
          <cell r="A1319" t="str">
            <v>6724320</v>
          </cell>
          <cell r="B1319" t="str">
            <v>1128906</v>
          </cell>
          <cell r="C1319" t="str">
            <v>6360-2832-132</v>
          </cell>
          <cell r="D1319" t="str">
            <v>6360</v>
          </cell>
          <cell r="E1319" t="str">
            <v>6360 GLOCK 19/23 X300U STX TAC BLK LH</v>
          </cell>
          <cell r="F1319" t="str">
            <v>DG-HOLSTER-DTC</v>
          </cell>
          <cell r="G1319" t="str">
            <v>1420-210-FG</v>
          </cell>
          <cell r="H1319" t="str">
            <v>R</v>
          </cell>
          <cell r="I1319" t="str">
            <v>06/04/2024</v>
          </cell>
          <cell r="J1319" t="str">
            <v>06/04/2024</v>
          </cell>
          <cell r="K1319" t="str">
            <v>06/21/2024</v>
          </cell>
          <cell r="L1319">
            <v>5</v>
          </cell>
          <cell r="M1319" t="str">
            <v>6/12/2024 3:55:19 PM</v>
          </cell>
          <cell r="N1319" t="str">
            <v>25</v>
          </cell>
          <cell r="O1319">
            <v>5</v>
          </cell>
          <cell r="P1319">
            <v>2.04</v>
          </cell>
        </row>
        <row r="1320">
          <cell r="A1320" t="str">
            <v>6728050</v>
          </cell>
          <cell r="B1320" t="str">
            <v>1128906</v>
          </cell>
          <cell r="C1320" t="str">
            <v>6360-2832-132</v>
          </cell>
          <cell r="D1320" t="str">
            <v>6360</v>
          </cell>
          <cell r="E1320" t="str">
            <v>6360 GLOCK 19/23 X300U STX TAC BLK LH</v>
          </cell>
          <cell r="F1320" t="str">
            <v>DG-HOLSTER-DTC</v>
          </cell>
          <cell r="G1320" t="str">
            <v>1420-210-FG</v>
          </cell>
          <cell r="H1320" t="str">
            <v>R</v>
          </cell>
          <cell r="I1320" t="str">
            <v>06/11/2024</v>
          </cell>
          <cell r="J1320" t="str">
            <v>06/14/2024</v>
          </cell>
          <cell r="K1320" t="str">
            <v>06/21/2024</v>
          </cell>
          <cell r="L1320">
            <v>10</v>
          </cell>
          <cell r="M1320" t="str">
            <v>6/12/2024 3:55:19 PM</v>
          </cell>
          <cell r="N1320" t="str">
            <v>25</v>
          </cell>
          <cell r="O1320">
            <v>10</v>
          </cell>
          <cell r="P1320">
            <v>4.08</v>
          </cell>
        </row>
        <row r="1321">
          <cell r="A1321" t="str">
            <v>6726893</v>
          </cell>
          <cell r="B1321" t="str">
            <v>1328086</v>
          </cell>
          <cell r="C1321" t="str">
            <v>6360-825-132</v>
          </cell>
          <cell r="D1321" t="str">
            <v>6360</v>
          </cell>
          <cell r="E1321" t="str">
            <v>6360 GLOCK 22 GEN5 STX TAC BLK LH</v>
          </cell>
          <cell r="F1321" t="str">
            <v>DG-HOLSTER</v>
          </cell>
          <cell r="G1321" t="str">
            <v>1420-210-FG</v>
          </cell>
          <cell r="H1321" t="str">
            <v>R</v>
          </cell>
          <cell r="I1321" t="str">
            <v>06/10/2024</v>
          </cell>
          <cell r="J1321" t="str">
            <v>06/10/2024</v>
          </cell>
          <cell r="K1321" t="str">
            <v>06/21/2024</v>
          </cell>
          <cell r="L1321">
            <v>5</v>
          </cell>
          <cell r="M1321" t="str">
            <v>6/12/2024 3:55:19 PM</v>
          </cell>
          <cell r="N1321" t="str">
            <v>25</v>
          </cell>
          <cell r="O1321">
            <v>5</v>
          </cell>
          <cell r="P1321">
            <v>1.1599999999999999</v>
          </cell>
        </row>
        <row r="1322">
          <cell r="A1322" t="str">
            <v>6728638</v>
          </cell>
          <cell r="B1322" t="str">
            <v>1328381</v>
          </cell>
          <cell r="C1322" t="str">
            <v>6360-28252-411</v>
          </cell>
          <cell r="D1322" t="str">
            <v>6360</v>
          </cell>
          <cell r="E1322" t="str">
            <v>6360 GLOCK 23 GEN 5 X300U STX PLN BLK RH</v>
          </cell>
          <cell r="F1322" t="str">
            <v>DG-HOLSTER</v>
          </cell>
          <cell r="G1322" t="str">
            <v>1420-210-FG</v>
          </cell>
          <cell r="H1322" t="str">
            <v>R</v>
          </cell>
          <cell r="I1322" t="str">
            <v>06/12/2024</v>
          </cell>
          <cell r="J1322" t="str">
            <v>06/12/2024</v>
          </cell>
          <cell r="K1322" t="str">
            <v>06/21/2024</v>
          </cell>
          <cell r="L1322">
            <v>2</v>
          </cell>
          <cell r="M1322" t="str">
            <v>6/12/2024 3:57:34 PM</v>
          </cell>
          <cell r="N1322" t="str">
            <v>25</v>
          </cell>
          <cell r="O1322">
            <v>2</v>
          </cell>
          <cell r="P1322">
            <v>0.56999999999999995</v>
          </cell>
        </row>
        <row r="1323">
          <cell r="A1323" t="str">
            <v>6726838</v>
          </cell>
          <cell r="B1323" t="str">
            <v>1128058</v>
          </cell>
          <cell r="C1323" t="str">
            <v>6360-320-81</v>
          </cell>
          <cell r="D1323" t="str">
            <v>6360</v>
          </cell>
          <cell r="E1323" t="str">
            <v>6360 S&amp;W 5946 DAO BSK BLK RH</v>
          </cell>
          <cell r="F1323" t="str">
            <v>DG-HOLSTER</v>
          </cell>
          <cell r="G1323" t="str">
            <v>1420-210-FG</v>
          </cell>
          <cell r="H1323" t="str">
            <v>R</v>
          </cell>
          <cell r="I1323" t="str">
            <v>06/10/2024</v>
          </cell>
          <cell r="J1323" t="str">
            <v>06/10/2024</v>
          </cell>
          <cell r="K1323" t="str">
            <v>06/21/2024</v>
          </cell>
          <cell r="L1323">
            <v>3</v>
          </cell>
          <cell r="M1323" t="str">
            <v>6/12/2024 3:57:34 PM</v>
          </cell>
          <cell r="N1323" t="str">
            <v>25</v>
          </cell>
          <cell r="O1323">
            <v>3</v>
          </cell>
          <cell r="P1323">
            <v>0.74</v>
          </cell>
        </row>
        <row r="1324">
          <cell r="A1324" t="str">
            <v>6728630</v>
          </cell>
          <cell r="B1324" t="str">
            <v>1126968</v>
          </cell>
          <cell r="C1324" t="str">
            <v>6360-419-491</v>
          </cell>
          <cell r="D1324" t="str">
            <v>6360</v>
          </cell>
          <cell r="E1324" t="str">
            <v>6360 S&amp;W M&amp;P 45 STX HGS BLK RH</v>
          </cell>
          <cell r="F1324" t="str">
            <v>DG-HOLSTER</v>
          </cell>
          <cell r="G1324" t="str">
            <v>1420-210-FG</v>
          </cell>
          <cell r="H1324" t="str">
            <v>R</v>
          </cell>
          <cell r="I1324" t="str">
            <v>06/12/2024</v>
          </cell>
          <cell r="J1324" t="str">
            <v>06/12/2024</v>
          </cell>
          <cell r="K1324" t="str">
            <v>06/21/2024</v>
          </cell>
          <cell r="L1324">
            <v>5</v>
          </cell>
          <cell r="M1324" t="str">
            <v>6/12/2024 4:02:37 PM</v>
          </cell>
          <cell r="N1324" t="str">
            <v>25</v>
          </cell>
          <cell r="O1324">
            <v>5</v>
          </cell>
          <cell r="P1324">
            <v>1.27</v>
          </cell>
        </row>
        <row r="1325">
          <cell r="A1325" t="str">
            <v>6727908</v>
          </cell>
          <cell r="B1325" t="str">
            <v>1119250</v>
          </cell>
          <cell r="C1325" t="str">
            <v>6360-219-481</v>
          </cell>
          <cell r="D1325" t="str">
            <v>6360</v>
          </cell>
          <cell r="E1325" t="str">
            <v>6360 S&amp;W M&amp;P9/40 1.0 STX BSK BLK RH</v>
          </cell>
          <cell r="F1325" t="str">
            <v>DG-HOLSTER</v>
          </cell>
          <cell r="G1325" t="str">
            <v>1420-210-FG</v>
          </cell>
          <cell r="H1325" t="str">
            <v>R</v>
          </cell>
          <cell r="I1325" t="str">
            <v>06/11/2024</v>
          </cell>
          <cell r="J1325" t="str">
            <v>06/14/2024</v>
          </cell>
          <cell r="K1325" t="str">
            <v>06/21/2024</v>
          </cell>
          <cell r="L1325">
            <v>31</v>
          </cell>
          <cell r="M1325" t="str">
            <v>6/12/2024 4:00:56 PM</v>
          </cell>
          <cell r="N1325" t="str">
            <v>25</v>
          </cell>
          <cell r="O1325">
            <v>31</v>
          </cell>
          <cell r="P1325">
            <v>7.24</v>
          </cell>
        </row>
        <row r="1326">
          <cell r="A1326" t="str">
            <v>6726820</v>
          </cell>
          <cell r="B1326" t="str">
            <v>1121438</v>
          </cell>
          <cell r="C1326" t="str">
            <v>6360-219-411</v>
          </cell>
          <cell r="D1326" t="str">
            <v>6360</v>
          </cell>
          <cell r="E1326" t="str">
            <v>6360 S&amp;W M&amp;P9/40 1.0 STX PLN BLK RH</v>
          </cell>
          <cell r="F1326" t="str">
            <v>DG-HOLSTER</v>
          </cell>
          <cell r="G1326" t="str">
            <v>1420-210-FG</v>
          </cell>
          <cell r="H1326" t="str">
            <v>R</v>
          </cell>
          <cell r="I1326" t="str">
            <v>06/10/2024</v>
          </cell>
          <cell r="J1326" t="str">
            <v>06/10/2024</v>
          </cell>
          <cell r="K1326" t="str">
            <v>06/21/2024</v>
          </cell>
          <cell r="L1326">
            <v>13</v>
          </cell>
          <cell r="M1326" t="str">
            <v>6/12/2024 3:57:34 PM</v>
          </cell>
          <cell r="N1326" t="str">
            <v>25</v>
          </cell>
          <cell r="O1326">
            <v>13</v>
          </cell>
          <cell r="P1326">
            <v>3.04</v>
          </cell>
        </row>
        <row r="1327">
          <cell r="A1327" t="str">
            <v>6727615</v>
          </cell>
          <cell r="B1327" t="str">
            <v>1127074</v>
          </cell>
          <cell r="C1327" t="str">
            <v>6360-2192-131</v>
          </cell>
          <cell r="D1327" t="str">
            <v>6360</v>
          </cell>
          <cell r="E1327" t="str">
            <v>6360 S&amp;W M&amp;P9/40 4IN X300 STX TAC BLK RH</v>
          </cell>
          <cell r="F1327" t="str">
            <v>DG-HOLSTER</v>
          </cell>
          <cell r="G1327" t="str">
            <v>1420-210-FG</v>
          </cell>
          <cell r="H1327" t="str">
            <v>F</v>
          </cell>
          <cell r="I1327" t="str">
            <v>06/11/2024</v>
          </cell>
          <cell r="J1327" t="str">
            <v>06/11/2024</v>
          </cell>
          <cell r="K1327" t="str">
            <v>06/21/2024</v>
          </cell>
          <cell r="L1327">
            <v>10</v>
          </cell>
          <cell r="M1327" t="str">
            <v/>
          </cell>
          <cell r="N1327" t="str">
            <v>25</v>
          </cell>
          <cell r="O1327">
            <v>10</v>
          </cell>
          <cell r="P1327">
            <v>3.75</v>
          </cell>
        </row>
        <row r="1328">
          <cell r="A1328" t="str">
            <v>6727936</v>
          </cell>
          <cell r="B1328" t="str">
            <v>1130992</v>
          </cell>
          <cell r="C1328" t="str">
            <v>6360-2192-131-2</v>
          </cell>
          <cell r="D1328" t="str">
            <v>6360</v>
          </cell>
          <cell r="E1328" t="str">
            <v>6360 S&amp;W M&amp;P9/40 4IN X300 STX TAC BLK RH</v>
          </cell>
          <cell r="F1328" t="str">
            <v>DG-HOLSTER</v>
          </cell>
          <cell r="G1328" t="str">
            <v>1420-210-FG</v>
          </cell>
          <cell r="H1328" t="str">
            <v>R</v>
          </cell>
          <cell r="I1328" t="str">
            <v>06/11/2024</v>
          </cell>
          <cell r="J1328" t="str">
            <v>06/14/2024</v>
          </cell>
          <cell r="K1328" t="str">
            <v>06/21/2024</v>
          </cell>
          <cell r="L1328">
            <v>28</v>
          </cell>
          <cell r="M1328" t="str">
            <v>6/12/2024 3:55:19 PM</v>
          </cell>
          <cell r="N1328" t="str">
            <v>25</v>
          </cell>
          <cell r="O1328">
            <v>28</v>
          </cell>
          <cell r="P1328">
            <v>10.5</v>
          </cell>
        </row>
        <row r="1329">
          <cell r="A1329" t="str">
            <v>6727945</v>
          </cell>
          <cell r="B1329" t="str">
            <v>1157101</v>
          </cell>
          <cell r="C1329" t="str">
            <v>6360-477-62</v>
          </cell>
          <cell r="D1329" t="str">
            <v>6360</v>
          </cell>
          <cell r="E1329" t="str">
            <v>6360 SIG P226R PLN BLK LH</v>
          </cell>
          <cell r="F1329" t="str">
            <v>DG-HOLSTER</v>
          </cell>
          <cell r="G1329" t="str">
            <v>1420-210-FG</v>
          </cell>
          <cell r="H1329" t="str">
            <v>R</v>
          </cell>
          <cell r="I1329" t="str">
            <v>06/11/2024</v>
          </cell>
          <cell r="J1329" t="str">
            <v>06/14/2024</v>
          </cell>
          <cell r="K1329" t="str">
            <v>06/21/2024</v>
          </cell>
          <cell r="L1329">
            <v>1</v>
          </cell>
          <cell r="M1329" t="str">
            <v>6/12/2024 3:57:34 PM</v>
          </cell>
          <cell r="N1329" t="str">
            <v>25</v>
          </cell>
          <cell r="O1329">
            <v>1</v>
          </cell>
          <cell r="P1329">
            <v>0.26</v>
          </cell>
        </row>
        <row r="1330">
          <cell r="A1330" t="str">
            <v>6727909</v>
          </cell>
          <cell r="B1330" t="str">
            <v>1124692</v>
          </cell>
          <cell r="C1330" t="str">
            <v>6360-7742-411</v>
          </cell>
          <cell r="D1330" t="str">
            <v>6360</v>
          </cell>
          <cell r="E1330" t="str">
            <v>6360 SIG P226R X300 STX PLN BLK RH</v>
          </cell>
          <cell r="F1330" t="str">
            <v>DG-HOLSTER</v>
          </cell>
          <cell r="G1330" t="str">
            <v>1420-210-FG</v>
          </cell>
          <cell r="H1330" t="str">
            <v>R</v>
          </cell>
          <cell r="I1330" t="str">
            <v>06/11/2024</v>
          </cell>
          <cell r="J1330" t="str">
            <v>06/14/2024</v>
          </cell>
          <cell r="K1330" t="str">
            <v>06/21/2024</v>
          </cell>
          <cell r="L1330">
            <v>22</v>
          </cell>
          <cell r="M1330" t="str">
            <v>6/12/2024 3:57:34 PM</v>
          </cell>
          <cell r="N1330" t="str">
            <v>25</v>
          </cell>
          <cell r="O1330">
            <v>22</v>
          </cell>
          <cell r="P1330">
            <v>8.26</v>
          </cell>
        </row>
        <row r="1331">
          <cell r="A1331" t="str">
            <v>6724295</v>
          </cell>
          <cell r="B1331" t="str">
            <v>1124546</v>
          </cell>
          <cell r="C1331" t="str">
            <v>6360-7742-131</v>
          </cell>
          <cell r="D1331" t="str">
            <v>6360</v>
          </cell>
          <cell r="E1331" t="str">
            <v>6360 SIG P226R X300 STX TAC BLK RH</v>
          </cell>
          <cell r="F1331" t="str">
            <v>DG-HOLSTER</v>
          </cell>
          <cell r="G1331" t="str">
            <v>1420-210-FG</v>
          </cell>
          <cell r="H1331" t="str">
            <v>R</v>
          </cell>
          <cell r="I1331" t="str">
            <v>06/04/2024</v>
          </cell>
          <cell r="J1331" t="str">
            <v>06/04/2024</v>
          </cell>
          <cell r="K1331" t="str">
            <v>06/21/2024</v>
          </cell>
          <cell r="L1331">
            <v>5</v>
          </cell>
          <cell r="M1331" t="str">
            <v>6/12/2024 3:55:19 PM</v>
          </cell>
          <cell r="N1331" t="str">
            <v>25</v>
          </cell>
          <cell r="O1331">
            <v>5</v>
          </cell>
          <cell r="P1331">
            <v>1.87</v>
          </cell>
        </row>
        <row r="1332">
          <cell r="A1332" t="str">
            <v>6727932</v>
          </cell>
          <cell r="B1332" t="str">
            <v>1124546</v>
          </cell>
          <cell r="C1332" t="str">
            <v>6360-7742-131</v>
          </cell>
          <cell r="D1332" t="str">
            <v>6360</v>
          </cell>
          <cell r="E1332" t="str">
            <v>6360 SIG P226R X300 STX TAC BLK RH</v>
          </cell>
          <cell r="F1332" t="str">
            <v>DG-HOLSTER</v>
          </cell>
          <cell r="G1332" t="str">
            <v>1420-210-FG</v>
          </cell>
          <cell r="H1332" t="str">
            <v>R</v>
          </cell>
          <cell r="I1332" t="str">
            <v>06/11/2024</v>
          </cell>
          <cell r="J1332" t="str">
            <v>06/14/2024</v>
          </cell>
          <cell r="K1332" t="str">
            <v>06/21/2024</v>
          </cell>
          <cell r="L1332">
            <v>12</v>
          </cell>
          <cell r="M1332" t="str">
            <v>6/12/2024 3:55:19 PM</v>
          </cell>
          <cell r="N1332" t="str">
            <v>25</v>
          </cell>
          <cell r="O1332">
            <v>12</v>
          </cell>
          <cell r="P1332">
            <v>4.49</v>
          </cell>
        </row>
        <row r="1333">
          <cell r="A1333" t="str">
            <v>6727937</v>
          </cell>
          <cell r="B1333" t="str">
            <v>1133892</v>
          </cell>
          <cell r="C1333" t="str">
            <v>6360-7742-561</v>
          </cell>
          <cell r="D1333" t="str">
            <v>6360</v>
          </cell>
          <cell r="E1333" t="str">
            <v>6360 SIG P226R X300 STX TAC ODG RH</v>
          </cell>
          <cell r="F1333" t="str">
            <v>DG-HOLSTER</v>
          </cell>
          <cell r="G1333" t="str">
            <v>1420-210-FG</v>
          </cell>
          <cell r="H1333" t="str">
            <v>R</v>
          </cell>
          <cell r="I1333" t="str">
            <v>06/11/2024</v>
          </cell>
          <cell r="J1333" t="str">
            <v>06/14/2024</v>
          </cell>
          <cell r="K1333" t="str">
            <v>06/21/2024</v>
          </cell>
          <cell r="L1333">
            <v>5</v>
          </cell>
          <cell r="M1333" t="str">
            <v>6/12/2024 3:59:25 PM</v>
          </cell>
          <cell r="N1333" t="str">
            <v>25</v>
          </cell>
          <cell r="O1333">
            <v>5</v>
          </cell>
          <cell r="P1333">
            <v>1.44</v>
          </cell>
        </row>
        <row r="1334">
          <cell r="A1334" t="str">
            <v>6726862</v>
          </cell>
          <cell r="B1334" t="str">
            <v>1163023</v>
          </cell>
          <cell r="C1334" t="str">
            <v>6360-447-61</v>
          </cell>
          <cell r="D1334" t="str">
            <v>6360</v>
          </cell>
          <cell r="E1334" t="str">
            <v>6360 SIG P229R PLN BLK RH</v>
          </cell>
          <cell r="F1334" t="str">
            <v>DG-HOLSTER</v>
          </cell>
          <cell r="G1334" t="str">
            <v>1420-210-FG</v>
          </cell>
          <cell r="H1334" t="str">
            <v>R</v>
          </cell>
          <cell r="I1334" t="str">
            <v>06/10/2024</v>
          </cell>
          <cell r="J1334" t="str">
            <v>06/10/2024</v>
          </cell>
          <cell r="K1334" t="str">
            <v>06/21/2024</v>
          </cell>
          <cell r="L1334">
            <v>4</v>
          </cell>
          <cell r="M1334" t="str">
            <v>6/10/2024 12:36:15 PM</v>
          </cell>
          <cell r="N1334" t="str">
            <v>25</v>
          </cell>
          <cell r="O1334">
            <v>4</v>
          </cell>
          <cell r="P1334">
            <v>0.99</v>
          </cell>
        </row>
        <row r="1335">
          <cell r="A1335" t="str">
            <v>6727620</v>
          </cell>
          <cell r="B1335" t="str">
            <v>1165961</v>
          </cell>
          <cell r="C1335" t="str">
            <v>6360-447-131-2</v>
          </cell>
          <cell r="D1335" t="str">
            <v>6360</v>
          </cell>
          <cell r="E1335" t="str">
            <v>6360 SIG P229R STX TAC BLK RH</v>
          </cell>
          <cell r="F1335" t="str">
            <v>DG-HOLSTER</v>
          </cell>
          <cell r="G1335" t="str">
            <v>1420-210-FG</v>
          </cell>
          <cell r="H1335" t="str">
            <v>R</v>
          </cell>
          <cell r="I1335" t="str">
            <v>06/11/2024</v>
          </cell>
          <cell r="J1335" t="str">
            <v>06/11/2024</v>
          </cell>
          <cell r="K1335" t="str">
            <v>06/21/2024</v>
          </cell>
          <cell r="L1335">
            <v>1</v>
          </cell>
          <cell r="M1335" t="str">
            <v>6/12/2024 3:55:19 PM</v>
          </cell>
          <cell r="N1335" t="str">
            <v>25</v>
          </cell>
          <cell r="O1335">
            <v>1</v>
          </cell>
          <cell r="P1335">
            <v>0.24</v>
          </cell>
        </row>
        <row r="1336">
          <cell r="A1336" t="str">
            <v>6728627</v>
          </cell>
          <cell r="B1336" t="str">
            <v>1120657</v>
          </cell>
          <cell r="C1336" t="str">
            <v>6360-744-131</v>
          </cell>
          <cell r="D1336" t="str">
            <v>6360</v>
          </cell>
          <cell r="E1336" t="str">
            <v>6360 SIG P229R STX TAC BLK RH</v>
          </cell>
          <cell r="F1336" t="str">
            <v>DG-HOLSTER</v>
          </cell>
          <cell r="G1336" t="str">
            <v>1420-210-FG</v>
          </cell>
          <cell r="H1336" t="str">
            <v>R</v>
          </cell>
          <cell r="I1336" t="str">
            <v>06/12/2024</v>
          </cell>
          <cell r="J1336" t="str">
            <v>06/12/2024</v>
          </cell>
          <cell r="K1336" t="str">
            <v>06/21/2024</v>
          </cell>
          <cell r="L1336">
            <v>5</v>
          </cell>
          <cell r="M1336" t="str">
            <v>6/12/2024 3:55:19 PM</v>
          </cell>
          <cell r="N1336" t="str">
            <v>25</v>
          </cell>
          <cell r="O1336">
            <v>5</v>
          </cell>
          <cell r="P1336">
            <v>1.1599999999999999</v>
          </cell>
        </row>
        <row r="1337">
          <cell r="A1337" t="str">
            <v>6728683</v>
          </cell>
          <cell r="B1337" t="str">
            <v>1132360</v>
          </cell>
          <cell r="C1337" t="str">
            <v>6360-7442-481</v>
          </cell>
          <cell r="D1337" t="str">
            <v>6360</v>
          </cell>
          <cell r="E1337" t="str">
            <v>6360 SIG P229R X300 STX BSK BLK RH</v>
          </cell>
          <cell r="F1337" t="str">
            <v>DG-HOLSTER</v>
          </cell>
          <cell r="G1337" t="str">
            <v>1420-210-FG</v>
          </cell>
          <cell r="H1337" t="str">
            <v>R</v>
          </cell>
          <cell r="I1337" t="str">
            <v>06/12/2024</v>
          </cell>
          <cell r="J1337" t="str">
            <v>06/12/2024</v>
          </cell>
          <cell r="K1337" t="str">
            <v>06/21/2024</v>
          </cell>
          <cell r="L1337">
            <v>4</v>
          </cell>
          <cell r="M1337" t="str">
            <v>6/12/2024 4:02:10 PM</v>
          </cell>
          <cell r="N1337" t="str">
            <v>25</v>
          </cell>
          <cell r="O1337">
            <v>4</v>
          </cell>
          <cell r="P1337">
            <v>1.51</v>
          </cell>
        </row>
        <row r="1338">
          <cell r="A1338" t="str">
            <v>6723396</v>
          </cell>
          <cell r="B1338" t="str">
            <v>1140665</v>
          </cell>
          <cell r="C1338" t="str">
            <v>6360-450-131</v>
          </cell>
          <cell r="D1338" t="str">
            <v>6360</v>
          </cell>
          <cell r="E1338" t="str">
            <v>6360 SIG P320 9/40/45 STX TAC BLK RH</v>
          </cell>
          <cell r="F1338" t="str">
            <v>DG-HOLSTER</v>
          </cell>
          <cell r="G1338" t="str">
            <v>1420-210-FG</v>
          </cell>
          <cell r="H1338" t="str">
            <v>R</v>
          </cell>
          <cell r="I1338" t="str">
            <v>06/03/2024</v>
          </cell>
          <cell r="J1338" t="str">
            <v>06/03/2024</v>
          </cell>
          <cell r="K1338" t="str">
            <v>06/21/2024</v>
          </cell>
          <cell r="L1338">
            <v>5</v>
          </cell>
          <cell r="M1338" t="str">
            <v>6/12/2024 3:55:19 PM</v>
          </cell>
          <cell r="N1338" t="str">
            <v>25</v>
          </cell>
          <cell r="O1338">
            <v>5</v>
          </cell>
          <cell r="P1338">
            <v>1.33</v>
          </cell>
        </row>
        <row r="1339">
          <cell r="A1339" t="str">
            <v>6727938</v>
          </cell>
          <cell r="B1339" t="str">
            <v>1140665</v>
          </cell>
          <cell r="C1339" t="str">
            <v>6360-450-131</v>
          </cell>
          <cell r="D1339" t="str">
            <v>6360</v>
          </cell>
          <cell r="E1339" t="str">
            <v>6360 SIG P320 9/40/45 STX TAC BLK RH</v>
          </cell>
          <cell r="F1339" t="str">
            <v>DG-HOLSTER</v>
          </cell>
          <cell r="G1339" t="str">
            <v>1420-210-FG</v>
          </cell>
          <cell r="H1339" t="str">
            <v>R</v>
          </cell>
          <cell r="I1339" t="str">
            <v>06/11/2024</v>
          </cell>
          <cell r="J1339" t="str">
            <v>06/14/2024</v>
          </cell>
          <cell r="K1339" t="str">
            <v>06/21/2024</v>
          </cell>
          <cell r="L1339">
            <v>21</v>
          </cell>
          <cell r="M1339" t="str">
            <v>6/12/2024 3:55:19 PM</v>
          </cell>
          <cell r="N1339" t="str">
            <v>25</v>
          </cell>
          <cell r="O1339">
            <v>21</v>
          </cell>
          <cell r="P1339">
            <v>5.59</v>
          </cell>
        </row>
        <row r="1340">
          <cell r="A1340" t="str">
            <v>6726875</v>
          </cell>
          <cell r="B1340" t="str">
            <v>1182613</v>
          </cell>
          <cell r="C1340" t="str">
            <v>6360-4502-131</v>
          </cell>
          <cell r="D1340" t="str">
            <v>6360</v>
          </cell>
          <cell r="E1340" t="str">
            <v>6360 SIG P320 X300U STX TAC BLK RH</v>
          </cell>
          <cell r="F1340" t="str">
            <v>DG-HOLSTER</v>
          </cell>
          <cell r="G1340" t="str">
            <v>1420-210-FG</v>
          </cell>
          <cell r="H1340" t="str">
            <v>F</v>
          </cell>
          <cell r="I1340" t="str">
            <v>06/10/2024</v>
          </cell>
          <cell r="J1340" t="str">
            <v>06/10/2024</v>
          </cell>
          <cell r="K1340" t="str">
            <v>06/21/2024</v>
          </cell>
          <cell r="L1340">
            <v>5</v>
          </cell>
          <cell r="M1340" t="str">
            <v/>
          </cell>
          <cell r="N1340" t="str">
            <v>25</v>
          </cell>
          <cell r="O1340">
            <v>5</v>
          </cell>
          <cell r="P1340">
            <v>1.61</v>
          </cell>
        </row>
        <row r="1341">
          <cell r="A1341" t="str">
            <v>6726879</v>
          </cell>
          <cell r="B1341" t="str">
            <v>1189801</v>
          </cell>
          <cell r="C1341" t="str">
            <v>6360-7502-131</v>
          </cell>
          <cell r="D1341" t="str">
            <v>6360</v>
          </cell>
          <cell r="E1341" t="str">
            <v>6360 SIG P320C X300U STX TAC BLK RH</v>
          </cell>
          <cell r="F1341" t="str">
            <v>DG-HOLSTER</v>
          </cell>
          <cell r="G1341" t="str">
            <v>1420-210-FG</v>
          </cell>
          <cell r="H1341" t="str">
            <v>F</v>
          </cell>
          <cell r="I1341" t="str">
            <v>06/10/2024</v>
          </cell>
          <cell r="J1341" t="str">
            <v>06/10/2024</v>
          </cell>
          <cell r="K1341" t="str">
            <v>06/21/2024</v>
          </cell>
          <cell r="L1341">
            <v>5</v>
          </cell>
          <cell r="M1341" t="str">
            <v/>
          </cell>
          <cell r="N1341" t="str">
            <v>25</v>
          </cell>
          <cell r="O1341">
            <v>5</v>
          </cell>
          <cell r="P1341">
            <v>1.61</v>
          </cell>
        </row>
        <row r="1342">
          <cell r="A1342" t="str">
            <v>6726804</v>
          </cell>
          <cell r="B1342" t="str">
            <v>1129474</v>
          </cell>
          <cell r="C1342" t="str">
            <v>6360-560-131</v>
          </cell>
          <cell r="D1342" t="str">
            <v>6360</v>
          </cell>
          <cell r="E1342" t="str">
            <v>6360 SPRNGFLD OPR X300  STX TAC BLK RH</v>
          </cell>
          <cell r="F1342" t="str">
            <v>DG-HOLSTER</v>
          </cell>
          <cell r="G1342" t="str">
            <v>1420-210-FG</v>
          </cell>
          <cell r="H1342" t="str">
            <v>F</v>
          </cell>
          <cell r="I1342" t="str">
            <v>06/10/2024</v>
          </cell>
          <cell r="J1342" t="str">
            <v>06/10/2024</v>
          </cell>
          <cell r="K1342" t="str">
            <v>06/21/2024</v>
          </cell>
          <cell r="L1342">
            <v>30</v>
          </cell>
          <cell r="M1342" t="str">
            <v/>
          </cell>
          <cell r="N1342" t="str">
            <v>25</v>
          </cell>
          <cell r="O1342">
            <v>30</v>
          </cell>
          <cell r="P1342">
            <v>8.68</v>
          </cell>
        </row>
        <row r="1343">
          <cell r="A1343" t="str">
            <v>6724299</v>
          </cell>
          <cell r="B1343" t="str">
            <v>1138169</v>
          </cell>
          <cell r="C1343" t="str">
            <v>6360-145-82</v>
          </cell>
          <cell r="D1343" t="str">
            <v>6360</v>
          </cell>
          <cell r="E1343" t="str">
            <v>6360 SPRNGFLD XDM 9 BSK BLK LH</v>
          </cell>
          <cell r="F1343" t="str">
            <v>DG-HOLSTER</v>
          </cell>
          <cell r="G1343" t="str">
            <v>1420-210-FG</v>
          </cell>
          <cell r="H1343" t="str">
            <v>R</v>
          </cell>
          <cell r="I1343" t="str">
            <v>06/04/2024</v>
          </cell>
          <cell r="J1343" t="str">
            <v>06/04/2024</v>
          </cell>
          <cell r="K1343" t="str">
            <v>06/21/2024</v>
          </cell>
          <cell r="L1343">
            <v>19</v>
          </cell>
          <cell r="M1343" t="str">
            <v>6/12/2024 3:57:34 PM</v>
          </cell>
          <cell r="N1343" t="str">
            <v>25</v>
          </cell>
          <cell r="O1343">
            <v>19</v>
          </cell>
          <cell r="P1343">
            <v>4.6900000000000004</v>
          </cell>
        </row>
        <row r="1344">
          <cell r="A1344" t="str">
            <v>6727126</v>
          </cell>
          <cell r="B1344" t="str">
            <v>1335549</v>
          </cell>
          <cell r="C1344" t="str">
            <v>6360RDS-27027-411</v>
          </cell>
          <cell r="D1344" t="str">
            <v>6360RDS</v>
          </cell>
          <cell r="E1344" t="str">
            <v>6360RDS FN 509 TLR-7  STX PLN BLK RH</v>
          </cell>
          <cell r="F1344" t="str">
            <v>DG-HOLSTER-RDS</v>
          </cell>
          <cell r="G1344" t="str">
            <v>1420-210-FG</v>
          </cell>
          <cell r="H1344" t="str">
            <v>F</v>
          </cell>
          <cell r="I1344" t="str">
            <v>06/10/2024</v>
          </cell>
          <cell r="J1344" t="str">
            <v>06/10/2024</v>
          </cell>
          <cell r="K1344" t="str">
            <v>06/21/2024</v>
          </cell>
          <cell r="L1344">
            <v>5</v>
          </cell>
          <cell r="M1344" t="str">
            <v/>
          </cell>
          <cell r="N1344" t="str">
            <v>25</v>
          </cell>
          <cell r="O1344">
            <v>5</v>
          </cell>
          <cell r="P1344">
            <v>2</v>
          </cell>
        </row>
        <row r="1345">
          <cell r="A1345" t="str">
            <v>6727017</v>
          </cell>
          <cell r="B1345" t="str">
            <v>1322964</v>
          </cell>
          <cell r="C1345" t="str">
            <v>6360RDS-2702-411</v>
          </cell>
          <cell r="D1345" t="str">
            <v>6360RDS</v>
          </cell>
          <cell r="E1345" t="str">
            <v>6360RDS FN 509 X300U  STX PLN BLK RH</v>
          </cell>
          <cell r="F1345" t="str">
            <v>DG-HOLSTER-RDS</v>
          </cell>
          <cell r="G1345" t="str">
            <v>1420-210-FG</v>
          </cell>
          <cell r="H1345" t="str">
            <v>F</v>
          </cell>
          <cell r="I1345" t="str">
            <v>06/10/2024</v>
          </cell>
          <cell r="J1345" t="str">
            <v>06/10/2024</v>
          </cell>
          <cell r="K1345" t="str">
            <v>06/21/2024</v>
          </cell>
          <cell r="L1345">
            <v>5</v>
          </cell>
          <cell r="M1345" t="str">
            <v/>
          </cell>
          <cell r="N1345" t="str">
            <v>25</v>
          </cell>
          <cell r="O1345">
            <v>5</v>
          </cell>
          <cell r="P1345">
            <v>2</v>
          </cell>
        </row>
        <row r="1346">
          <cell r="A1346" t="str">
            <v>6727678</v>
          </cell>
          <cell r="B1346" t="str">
            <v>1326350</v>
          </cell>
          <cell r="C1346" t="str">
            <v>6360RDS-28392-701</v>
          </cell>
          <cell r="D1346" t="str">
            <v>6360RDS</v>
          </cell>
          <cell r="E1346" t="str">
            <v>6360RDS G19MOS  XVL2 W/PS COR MLTCM RH</v>
          </cell>
          <cell r="F1346" t="str">
            <v>DG-HOLSTER-RDS-DTC</v>
          </cell>
          <cell r="G1346" t="str">
            <v>1420-210-FG</v>
          </cell>
          <cell r="H1346" t="str">
            <v>R</v>
          </cell>
          <cell r="I1346" t="str">
            <v>06/11/2024</v>
          </cell>
          <cell r="J1346" t="str">
            <v>06/11/2024</v>
          </cell>
          <cell r="K1346" t="str">
            <v>06/21/2024</v>
          </cell>
          <cell r="L1346">
            <v>1</v>
          </cell>
          <cell r="M1346" t="str">
            <v>6/13/2024 7:59:21 AM</v>
          </cell>
          <cell r="N1346" t="str">
            <v>25</v>
          </cell>
          <cell r="O1346">
            <v>1</v>
          </cell>
          <cell r="P1346">
            <v>0.4</v>
          </cell>
        </row>
        <row r="1347">
          <cell r="A1347" t="str">
            <v>6728200</v>
          </cell>
          <cell r="B1347" t="str">
            <v>1205453</v>
          </cell>
          <cell r="C1347" t="str">
            <v>6360RDS-8321-491</v>
          </cell>
          <cell r="D1347" t="str">
            <v>6360RDS</v>
          </cell>
          <cell r="E1347" t="str">
            <v>6360RDS GLOCK 17MOS TLR 2 STX HGS BLK RH</v>
          </cell>
          <cell r="F1347" t="str">
            <v>DG-HOLSTER-RDS-DTC</v>
          </cell>
          <cell r="G1347" t="str">
            <v>1420-210-FG</v>
          </cell>
          <cell r="H1347" t="str">
            <v>R</v>
          </cell>
          <cell r="I1347" t="str">
            <v>06/11/2024</v>
          </cell>
          <cell r="J1347" t="str">
            <v>06/14/2024</v>
          </cell>
          <cell r="K1347" t="str">
            <v>06/21/2024</v>
          </cell>
          <cell r="L1347">
            <v>1</v>
          </cell>
          <cell r="M1347" t="str">
            <v>6/13/2024 7:51:10 AM</v>
          </cell>
          <cell r="N1347" t="str">
            <v>25</v>
          </cell>
          <cell r="O1347">
            <v>1</v>
          </cell>
          <cell r="P1347">
            <v>0.43</v>
          </cell>
        </row>
        <row r="1348">
          <cell r="A1348" t="str">
            <v>6728225</v>
          </cell>
          <cell r="B1348" t="str">
            <v>1332642</v>
          </cell>
          <cell r="C1348" t="str">
            <v>6360RDS-8327-411</v>
          </cell>
          <cell r="D1348" t="str">
            <v>6360RDS</v>
          </cell>
          <cell r="E1348" t="str">
            <v>6360RDS GLOCK 17MOS TLR-7 STX PLN BLK RH</v>
          </cell>
          <cell r="F1348" t="str">
            <v>DG-HOLSTER-RDS-DTC</v>
          </cell>
          <cell r="G1348" t="str">
            <v>1420-210-FG</v>
          </cell>
          <cell r="H1348" t="str">
            <v>R</v>
          </cell>
          <cell r="I1348" t="str">
            <v>06/11/2024</v>
          </cell>
          <cell r="J1348" t="str">
            <v>06/14/2024</v>
          </cell>
          <cell r="K1348" t="str">
            <v>06/21/2024</v>
          </cell>
          <cell r="L1348">
            <v>5</v>
          </cell>
          <cell r="M1348" t="str">
            <v>6/13/2024 7:53:54 AM</v>
          </cell>
          <cell r="N1348" t="str">
            <v>25</v>
          </cell>
          <cell r="O1348">
            <v>5</v>
          </cell>
          <cell r="P1348">
            <v>2.17</v>
          </cell>
        </row>
        <row r="1349">
          <cell r="A1349" t="str">
            <v>6728193</v>
          </cell>
          <cell r="B1349" t="str">
            <v>1204673</v>
          </cell>
          <cell r="C1349" t="str">
            <v>6360RDS-832-742</v>
          </cell>
          <cell r="D1349" t="str">
            <v>6360RDS</v>
          </cell>
          <cell r="E1349" t="str">
            <v>6360RDS GLOCK 17MOS X300U COR CYTB LH</v>
          </cell>
          <cell r="F1349" t="str">
            <v>DG-HOLSTER-RDS-DTC</v>
          </cell>
          <cell r="G1349" t="str">
            <v>1420-210-FG</v>
          </cell>
          <cell r="H1349" t="str">
            <v>R</v>
          </cell>
          <cell r="I1349" t="str">
            <v>06/11/2024</v>
          </cell>
          <cell r="J1349" t="str">
            <v>06/17/2024</v>
          </cell>
          <cell r="K1349" t="str">
            <v>06/21/2024</v>
          </cell>
          <cell r="L1349">
            <v>1</v>
          </cell>
          <cell r="M1349" t="str">
            <v>6/13/2024 7:59:21 AM</v>
          </cell>
          <cell r="N1349" t="str">
            <v>25</v>
          </cell>
          <cell r="O1349">
            <v>1</v>
          </cell>
          <cell r="P1349">
            <v>0.43</v>
          </cell>
        </row>
        <row r="1350">
          <cell r="A1350" t="str">
            <v>6728221</v>
          </cell>
          <cell r="B1350" t="str">
            <v>1331689</v>
          </cell>
          <cell r="C1350" t="str">
            <v>6360RDS-832-61-CUBL</v>
          </cell>
          <cell r="D1350" t="str">
            <v>6360RDS</v>
          </cell>
          <cell r="E1350" t="str">
            <v>6360RDS GLOCK 17MOS X300U PLN BLK RH</v>
          </cell>
          <cell r="F1350" t="str">
            <v>DG-HOLSTER-RDS-DTC</v>
          </cell>
          <cell r="G1350" t="str">
            <v>1420-210-FG</v>
          </cell>
          <cell r="H1350" t="str">
            <v>R</v>
          </cell>
          <cell r="I1350" t="str">
            <v>06/11/2024</v>
          </cell>
          <cell r="J1350" t="str">
            <v>06/17/2024</v>
          </cell>
          <cell r="K1350" t="str">
            <v>06/21/2024</v>
          </cell>
          <cell r="L1350">
            <v>1</v>
          </cell>
          <cell r="M1350" t="str">
            <v>6/13/2024 7:53:54 AM</v>
          </cell>
          <cell r="N1350" t="str">
            <v>25</v>
          </cell>
          <cell r="O1350">
            <v>1</v>
          </cell>
          <cell r="P1350">
            <v>0.43</v>
          </cell>
        </row>
        <row r="1351">
          <cell r="A1351" t="str">
            <v>6728686</v>
          </cell>
          <cell r="B1351" t="str">
            <v>1331689</v>
          </cell>
          <cell r="C1351" t="str">
            <v>6360RDS-832-61-CUBL</v>
          </cell>
          <cell r="D1351" t="str">
            <v>6360RDS</v>
          </cell>
          <cell r="E1351" t="str">
            <v>6360RDS GLOCK 17MOS X300U PLN BLK RH</v>
          </cell>
          <cell r="F1351" t="str">
            <v>DG-HOLSTER-RDS-DTC</v>
          </cell>
          <cell r="G1351" t="str">
            <v>1420-210-FG</v>
          </cell>
          <cell r="H1351" t="str">
            <v>R</v>
          </cell>
          <cell r="I1351" t="str">
            <v>06/12/2024</v>
          </cell>
          <cell r="J1351" t="str">
            <v>06/17/2024</v>
          </cell>
          <cell r="K1351" t="str">
            <v>06/21/2024</v>
          </cell>
          <cell r="L1351">
            <v>1</v>
          </cell>
          <cell r="M1351" t="str">
            <v>6/13/2024 7:53:54 AM</v>
          </cell>
          <cell r="N1351" t="str">
            <v>25</v>
          </cell>
          <cell r="O1351">
            <v>1</v>
          </cell>
          <cell r="P1351">
            <v>0.43</v>
          </cell>
        </row>
        <row r="1352">
          <cell r="A1352" t="str">
            <v>6723737</v>
          </cell>
          <cell r="B1352" t="str">
            <v>1200911</v>
          </cell>
          <cell r="C1352" t="str">
            <v>6360RDS-832-411</v>
          </cell>
          <cell r="D1352" t="str">
            <v>6360RDS</v>
          </cell>
          <cell r="E1352" t="str">
            <v>6360RDS GLOCK 17MOS X300U STX PLN BLK RH</v>
          </cell>
          <cell r="F1352" t="str">
            <v>DG-HOLSTER-RDS-DTC</v>
          </cell>
          <cell r="G1352" t="str">
            <v>1420-210-FG</v>
          </cell>
          <cell r="H1352" t="str">
            <v>R</v>
          </cell>
          <cell r="I1352" t="str">
            <v>06/03/2024</v>
          </cell>
          <cell r="J1352" t="str">
            <v>06/03/2024</v>
          </cell>
          <cell r="K1352" t="str">
            <v>06/21/2024</v>
          </cell>
          <cell r="L1352">
            <v>50</v>
          </cell>
          <cell r="M1352" t="str">
            <v>6/13/2024 7:46:45 AM</v>
          </cell>
          <cell r="N1352" t="str">
            <v>25</v>
          </cell>
          <cell r="O1352">
            <v>50</v>
          </cell>
          <cell r="P1352">
            <v>21.65</v>
          </cell>
        </row>
        <row r="1353">
          <cell r="A1353" t="str">
            <v>6728266</v>
          </cell>
          <cell r="B1353" t="str">
            <v>1200911</v>
          </cell>
          <cell r="C1353" t="str">
            <v>6360RDS-832-411</v>
          </cell>
          <cell r="D1353" t="str">
            <v>6360RDS</v>
          </cell>
          <cell r="E1353" t="str">
            <v>6360RDS GLOCK 17MOS X300U STX PLN BLK RH</v>
          </cell>
          <cell r="F1353" t="str">
            <v>DG-HOLSTER-RDS-DTC</v>
          </cell>
          <cell r="G1353" t="str">
            <v>1420-210-FG</v>
          </cell>
          <cell r="H1353" t="str">
            <v>R</v>
          </cell>
          <cell r="I1353" t="str">
            <v>06/11/2024</v>
          </cell>
          <cell r="J1353" t="str">
            <v>06/14/2024</v>
          </cell>
          <cell r="K1353" t="str">
            <v>06/21/2024</v>
          </cell>
          <cell r="L1353">
            <v>50</v>
          </cell>
          <cell r="M1353" t="str">
            <v>6/13/2024 7:47:44 AM</v>
          </cell>
          <cell r="N1353" t="str">
            <v>25</v>
          </cell>
          <cell r="O1353">
            <v>50</v>
          </cell>
          <cell r="P1353">
            <v>21.65</v>
          </cell>
        </row>
        <row r="1354">
          <cell r="A1354" t="str">
            <v>6728214</v>
          </cell>
          <cell r="B1354" t="str">
            <v>1321720</v>
          </cell>
          <cell r="C1354" t="str">
            <v>6360RDS-832-411-2</v>
          </cell>
          <cell r="D1354" t="str">
            <v>6360RDS</v>
          </cell>
          <cell r="E1354" t="str">
            <v>6360RDS GLOCK 17MOS X300U STX PLN BLK RH</v>
          </cell>
          <cell r="F1354" t="str">
            <v>DG-HOLSTER-RDS-DTC</v>
          </cell>
          <cell r="G1354" t="str">
            <v>1420-210-FG</v>
          </cell>
          <cell r="H1354" t="str">
            <v>R</v>
          </cell>
          <cell r="I1354" t="str">
            <v>06/11/2024</v>
          </cell>
          <cell r="J1354" t="str">
            <v>06/17/2024</v>
          </cell>
          <cell r="K1354" t="str">
            <v>06/21/2024</v>
          </cell>
          <cell r="L1354">
            <v>1</v>
          </cell>
          <cell r="M1354" t="str">
            <v>6/13/2024 7:47:28 AM</v>
          </cell>
          <cell r="N1354" t="str">
            <v>25</v>
          </cell>
          <cell r="O1354">
            <v>1</v>
          </cell>
          <cell r="P1354">
            <v>0.43</v>
          </cell>
        </row>
        <row r="1355">
          <cell r="A1355" t="str">
            <v>6728693</v>
          </cell>
          <cell r="B1355" t="str">
            <v>1314968</v>
          </cell>
          <cell r="C1355" t="str">
            <v>6360RDS-28321-551</v>
          </cell>
          <cell r="D1355" t="str">
            <v>6360RDS</v>
          </cell>
          <cell r="E1355" t="str">
            <v>6360RDS GLOCK 19MOS TLR2HL STXTAC FDE RH</v>
          </cell>
          <cell r="F1355" t="str">
            <v>DG-HOLSTER-RDS-DTC</v>
          </cell>
          <cell r="G1355" t="str">
            <v>1420-210-FG</v>
          </cell>
          <cell r="H1355" t="str">
            <v>R</v>
          </cell>
          <cell r="I1355" t="str">
            <v>06/12/2024</v>
          </cell>
          <cell r="J1355" t="str">
            <v>06/12/2024</v>
          </cell>
          <cell r="K1355" t="str">
            <v>06/21/2024</v>
          </cell>
          <cell r="L1355">
            <v>1</v>
          </cell>
          <cell r="M1355" t="str">
            <v>6/12/2024 3:59:01 PM</v>
          </cell>
          <cell r="N1355" t="str">
            <v>25</v>
          </cell>
          <cell r="O1355">
            <v>1</v>
          </cell>
          <cell r="P1355">
            <v>0.4</v>
          </cell>
        </row>
        <row r="1356">
          <cell r="A1356" t="str">
            <v>6728218</v>
          </cell>
          <cell r="B1356" t="str">
            <v>1325361</v>
          </cell>
          <cell r="C1356" t="str">
            <v>6360RDS-2832-481-MS30</v>
          </cell>
          <cell r="D1356" t="str">
            <v>6360RDS</v>
          </cell>
          <cell r="E1356" t="str">
            <v>6360RDS GLOCK 19MOS X300U STX BSK BLK RH</v>
          </cell>
          <cell r="F1356" t="str">
            <v>DG-HOLSTER-RDS-DTC</v>
          </cell>
          <cell r="G1356" t="str">
            <v>1420-210-FG</v>
          </cell>
          <cell r="H1356" t="str">
            <v>R</v>
          </cell>
          <cell r="I1356" t="str">
            <v>06/11/2024</v>
          </cell>
          <cell r="J1356" t="str">
            <v>06/14/2024</v>
          </cell>
          <cell r="K1356" t="str">
            <v>06/21/2024</v>
          </cell>
          <cell r="L1356">
            <v>14</v>
          </cell>
          <cell r="M1356" t="str">
            <v>6/12/2024 4:01:49 PM</v>
          </cell>
          <cell r="N1356" t="str">
            <v>25</v>
          </cell>
          <cell r="O1356">
            <v>14</v>
          </cell>
          <cell r="P1356">
            <v>5.6</v>
          </cell>
        </row>
        <row r="1357">
          <cell r="A1357" t="str">
            <v>6723750</v>
          </cell>
          <cell r="B1357" t="str">
            <v>1204134</v>
          </cell>
          <cell r="C1357" t="str">
            <v>6360RDS-2832-411</v>
          </cell>
          <cell r="D1357" t="str">
            <v>6360RDS</v>
          </cell>
          <cell r="E1357" t="str">
            <v>6360RDS GLOCK 19MOS X300U STX PLN BLK RH</v>
          </cell>
          <cell r="F1357" t="str">
            <v>DG-HOLSTER-RDS-DTC</v>
          </cell>
          <cell r="G1357" t="str">
            <v>1420-210-FG</v>
          </cell>
          <cell r="H1357" t="str">
            <v>R</v>
          </cell>
          <cell r="I1357" t="str">
            <v>06/03/2024</v>
          </cell>
          <cell r="J1357" t="str">
            <v>06/03/2024</v>
          </cell>
          <cell r="K1357" t="str">
            <v>06/21/2024</v>
          </cell>
          <cell r="L1357">
            <v>100</v>
          </cell>
          <cell r="M1357" t="str">
            <v>6/12/2024 3:57:34 PM</v>
          </cell>
          <cell r="N1357" t="str">
            <v>25</v>
          </cell>
          <cell r="O1357">
            <v>100</v>
          </cell>
          <cell r="P1357">
            <v>40</v>
          </cell>
        </row>
        <row r="1358">
          <cell r="A1358" t="str">
            <v>6727132</v>
          </cell>
          <cell r="B1358" t="str">
            <v>1204134</v>
          </cell>
          <cell r="C1358" t="str">
            <v>6360RDS-2832-411</v>
          </cell>
          <cell r="D1358" t="str">
            <v>6360RDS</v>
          </cell>
          <cell r="E1358" t="str">
            <v>6360RDS GLOCK 19MOS X300U STX PLN BLK RH</v>
          </cell>
          <cell r="F1358" t="str">
            <v>DG-HOLSTER-RDS-DTC</v>
          </cell>
          <cell r="G1358" t="str">
            <v>1420-210-FG</v>
          </cell>
          <cell r="H1358" t="str">
            <v>R</v>
          </cell>
          <cell r="I1358" t="str">
            <v>06/10/2024</v>
          </cell>
          <cell r="J1358" t="str">
            <v>06/10/2024</v>
          </cell>
          <cell r="K1358" t="str">
            <v>06/21/2024</v>
          </cell>
          <cell r="L1358">
            <v>100</v>
          </cell>
          <cell r="M1358" t="str">
            <v>6/13/2024 2:34:52 PM</v>
          </cell>
          <cell r="N1358" t="str">
            <v>25</v>
          </cell>
          <cell r="O1358">
            <v>100</v>
          </cell>
          <cell r="P1358">
            <v>40</v>
          </cell>
        </row>
        <row r="1359">
          <cell r="A1359" t="str">
            <v>6728217</v>
          </cell>
          <cell r="B1359" t="str">
            <v>1323793</v>
          </cell>
          <cell r="C1359" t="str">
            <v>6360RDS-2832-132-MS30</v>
          </cell>
          <cell r="D1359" t="str">
            <v>6360RDS</v>
          </cell>
          <cell r="E1359" t="str">
            <v>6360RDS GLOCK 19MOS X300U STX TAC BLK LH</v>
          </cell>
          <cell r="F1359" t="str">
            <v>DG-HOLSTER-RDS-DTC</v>
          </cell>
          <cell r="G1359" t="str">
            <v>1420-210-FG</v>
          </cell>
          <cell r="H1359" t="str">
            <v>R</v>
          </cell>
          <cell r="I1359" t="str">
            <v>06/11/2024</v>
          </cell>
          <cell r="J1359" t="str">
            <v>06/14/2024</v>
          </cell>
          <cell r="K1359" t="str">
            <v>06/21/2024</v>
          </cell>
          <cell r="L1359">
            <v>1</v>
          </cell>
          <cell r="M1359" t="str">
            <v>6/12/2024 3:55:19 PM</v>
          </cell>
          <cell r="N1359" t="str">
            <v>25</v>
          </cell>
          <cell r="O1359">
            <v>1</v>
          </cell>
          <cell r="P1359">
            <v>0.4</v>
          </cell>
        </row>
        <row r="1360">
          <cell r="A1360" t="str">
            <v>6723743</v>
          </cell>
          <cell r="B1360" t="str">
            <v>1204132</v>
          </cell>
          <cell r="C1360" t="str">
            <v>6360RDS-2832-131</v>
          </cell>
          <cell r="D1360" t="str">
            <v>6360RDS</v>
          </cell>
          <cell r="E1360" t="str">
            <v>6360RDS GLOCK 19MOS X300U STX TAC BLK RH</v>
          </cell>
          <cell r="F1360" t="str">
            <v>DG-HOLSTER-RDS-DTC</v>
          </cell>
          <cell r="G1360" t="str">
            <v>1420-210-FG</v>
          </cell>
          <cell r="H1360" t="str">
            <v>R</v>
          </cell>
          <cell r="I1360" t="str">
            <v>06/03/2024</v>
          </cell>
          <cell r="J1360" t="str">
            <v>06/03/2024</v>
          </cell>
          <cell r="K1360" t="str">
            <v>06/21/2024</v>
          </cell>
          <cell r="L1360">
            <v>100</v>
          </cell>
          <cell r="M1360" t="str">
            <v>6/12/2024 3:55:19 PM</v>
          </cell>
          <cell r="N1360" t="str">
            <v>25</v>
          </cell>
          <cell r="O1360">
            <v>100</v>
          </cell>
          <cell r="P1360">
            <v>40</v>
          </cell>
        </row>
        <row r="1361">
          <cell r="A1361" t="str">
            <v>6728216</v>
          </cell>
          <cell r="B1361" t="str">
            <v>1323792</v>
          </cell>
          <cell r="C1361" t="str">
            <v>6360RDS-2832-131-MS30</v>
          </cell>
          <cell r="D1361" t="str">
            <v>6360RDS</v>
          </cell>
          <cell r="E1361" t="str">
            <v>6360RDS GLOCK 19MOS X300U STX TAC BLK RH</v>
          </cell>
          <cell r="F1361" t="str">
            <v>DG-HOLSTER-RDS-DTC</v>
          </cell>
          <cell r="G1361" t="str">
            <v>1420-210-FG</v>
          </cell>
          <cell r="H1361" t="str">
            <v>R</v>
          </cell>
          <cell r="I1361" t="str">
            <v>06/11/2024</v>
          </cell>
          <cell r="J1361" t="str">
            <v>06/14/2024</v>
          </cell>
          <cell r="K1361" t="str">
            <v>06/21/2024</v>
          </cell>
          <cell r="L1361">
            <v>3</v>
          </cell>
          <cell r="M1361" t="str">
            <v>6/12/2024 3:55:19 PM</v>
          </cell>
          <cell r="N1361" t="str">
            <v>25</v>
          </cell>
          <cell r="O1361">
            <v>3</v>
          </cell>
          <cell r="P1361">
            <v>1.2</v>
          </cell>
        </row>
        <row r="1362">
          <cell r="A1362" t="str">
            <v>6727157</v>
          </cell>
          <cell r="B1362" t="str">
            <v>1204140</v>
          </cell>
          <cell r="C1362" t="str">
            <v>6360RDS-2832-551</v>
          </cell>
          <cell r="D1362" t="str">
            <v>6360RDS</v>
          </cell>
          <cell r="E1362" t="str">
            <v>6360RDS GLOCK 19MOS X300U STX TAC FDE RH</v>
          </cell>
          <cell r="F1362" t="str">
            <v>DG-HOLSTER-RDS-DTC</v>
          </cell>
          <cell r="G1362" t="str">
            <v>1420-210-FG</v>
          </cell>
          <cell r="H1362" t="str">
            <v>F</v>
          </cell>
          <cell r="I1362" t="str">
            <v>06/10/2024</v>
          </cell>
          <cell r="J1362" t="str">
            <v>06/10/2024</v>
          </cell>
          <cell r="K1362" t="str">
            <v>06/21/2024</v>
          </cell>
          <cell r="L1362">
            <v>5</v>
          </cell>
          <cell r="M1362" t="str">
            <v/>
          </cell>
          <cell r="N1362" t="str">
            <v>25</v>
          </cell>
          <cell r="O1362">
            <v>5</v>
          </cell>
          <cell r="P1362">
            <v>2</v>
          </cell>
        </row>
        <row r="1363">
          <cell r="A1363" t="str">
            <v>6728136</v>
          </cell>
          <cell r="B1363" t="str">
            <v>1204805</v>
          </cell>
          <cell r="C1363" t="str">
            <v>6360RDS-6832-741</v>
          </cell>
          <cell r="D1363" t="str">
            <v>6360RDS</v>
          </cell>
          <cell r="E1363" t="str">
            <v>6360RDS GLOCK 34/35 X300U COR CYTB RH</v>
          </cell>
          <cell r="F1363" t="str">
            <v>DG-HOLSTER-RDS</v>
          </cell>
          <cell r="G1363" t="str">
            <v>1420-210-FG</v>
          </cell>
          <cell r="H1363" t="str">
            <v>R</v>
          </cell>
          <cell r="I1363" t="str">
            <v>06/11/2024</v>
          </cell>
          <cell r="J1363" t="str">
            <v>06/13/2024</v>
          </cell>
          <cell r="K1363" t="str">
            <v>06/21/2024</v>
          </cell>
          <cell r="L1363">
            <v>1</v>
          </cell>
          <cell r="M1363" t="str">
            <v>6/13/2024 7:59:21 AM</v>
          </cell>
          <cell r="N1363" t="str">
            <v>25</v>
          </cell>
          <cell r="O1363">
            <v>1</v>
          </cell>
          <cell r="P1363">
            <v>0.4</v>
          </cell>
        </row>
        <row r="1364">
          <cell r="A1364" t="str">
            <v>6727663</v>
          </cell>
          <cell r="B1364" t="str">
            <v>1328894</v>
          </cell>
          <cell r="C1364" t="str">
            <v>6360RDS-68314-701</v>
          </cell>
          <cell r="D1364" t="str">
            <v>6360RDS</v>
          </cell>
          <cell r="E1364" t="str">
            <v>6360RDS GLOCK 34MOS X400U  COR MLTCM RH</v>
          </cell>
          <cell r="F1364" t="str">
            <v>DG-HOLSTER-RDS</v>
          </cell>
          <cell r="G1364" t="str">
            <v>1420-210-FG</v>
          </cell>
          <cell r="H1364" t="str">
            <v>R</v>
          </cell>
          <cell r="I1364" t="str">
            <v>06/11/2024</v>
          </cell>
          <cell r="J1364" t="str">
            <v>06/11/2024</v>
          </cell>
          <cell r="K1364" t="str">
            <v>06/21/2024</v>
          </cell>
          <cell r="L1364">
            <v>1</v>
          </cell>
          <cell r="M1364" t="str">
            <v>6/13/2024 7:59:21 AM</v>
          </cell>
          <cell r="N1364" t="str">
            <v>25</v>
          </cell>
          <cell r="O1364">
            <v>1</v>
          </cell>
          <cell r="P1364">
            <v>0.4</v>
          </cell>
        </row>
        <row r="1365">
          <cell r="A1365" t="str">
            <v>6727058</v>
          </cell>
          <cell r="B1365" t="str">
            <v>1325784</v>
          </cell>
          <cell r="C1365" t="str">
            <v>6360RDS-8972-701</v>
          </cell>
          <cell r="D1365" t="str">
            <v>6360RDS</v>
          </cell>
          <cell r="E1365" t="str">
            <v>6360RDS GLOCK 47 X300U COR MLTCM RH</v>
          </cell>
          <cell r="F1365" t="str">
            <v>DG-HOLSTER-RDS</v>
          </cell>
          <cell r="G1365" t="str">
            <v>1420-210-FG</v>
          </cell>
          <cell r="H1365" t="str">
            <v>F</v>
          </cell>
          <cell r="I1365" t="str">
            <v>06/10/2024</v>
          </cell>
          <cell r="J1365" t="str">
            <v>06/10/2024</v>
          </cell>
          <cell r="K1365" t="str">
            <v>06/21/2024</v>
          </cell>
          <cell r="L1365">
            <v>5</v>
          </cell>
          <cell r="M1365" t="str">
            <v/>
          </cell>
          <cell r="N1365" t="str">
            <v>25</v>
          </cell>
          <cell r="O1365">
            <v>5</v>
          </cell>
          <cell r="P1365">
            <v>2</v>
          </cell>
        </row>
        <row r="1366">
          <cell r="A1366" t="str">
            <v>6723580</v>
          </cell>
          <cell r="B1366" t="str">
            <v>1333819</v>
          </cell>
          <cell r="C1366" t="str">
            <v>6360RDS-8972-482</v>
          </cell>
          <cell r="D1366" t="str">
            <v>6360RDS</v>
          </cell>
          <cell r="E1366" t="str">
            <v>6360RDS GLOCK 47 X300U STX BSK BLK LH</v>
          </cell>
          <cell r="F1366" t="str">
            <v>DG-HOLSTER-RDS</v>
          </cell>
          <cell r="G1366" t="str">
            <v>1420-210-FG</v>
          </cell>
          <cell r="H1366" t="str">
            <v>R</v>
          </cell>
          <cell r="I1366" t="str">
            <v>06/03/2024</v>
          </cell>
          <cell r="J1366" t="str">
            <v>06/03/2024</v>
          </cell>
          <cell r="K1366" t="str">
            <v>06/21/2024</v>
          </cell>
          <cell r="L1366">
            <v>10</v>
          </cell>
          <cell r="M1366" t="str">
            <v>6/12/2024 4:06:03 PM</v>
          </cell>
          <cell r="N1366" t="str">
            <v>25</v>
          </cell>
          <cell r="O1366">
            <v>10</v>
          </cell>
          <cell r="P1366">
            <v>4</v>
          </cell>
        </row>
        <row r="1367">
          <cell r="A1367" t="str">
            <v>6727092</v>
          </cell>
          <cell r="B1367" t="str">
            <v>1333819</v>
          </cell>
          <cell r="C1367" t="str">
            <v>6360RDS-8972-482</v>
          </cell>
          <cell r="D1367" t="str">
            <v>6360RDS</v>
          </cell>
          <cell r="E1367" t="str">
            <v>6360RDS GLOCK 47 X300U STX BSK BLK LH</v>
          </cell>
          <cell r="F1367" t="str">
            <v>DG-HOLSTER-RDS</v>
          </cell>
          <cell r="G1367" t="str">
            <v>1420-210-FG</v>
          </cell>
          <cell r="H1367" t="str">
            <v>R</v>
          </cell>
          <cell r="I1367" t="str">
            <v>06/10/2024</v>
          </cell>
          <cell r="J1367" t="str">
            <v>06/10/2024</v>
          </cell>
          <cell r="K1367" t="str">
            <v>06/21/2024</v>
          </cell>
          <cell r="L1367">
            <v>18</v>
          </cell>
          <cell r="M1367" t="str">
            <v>6/12/2024 4:06:03 PM</v>
          </cell>
          <cell r="N1367" t="str">
            <v>25</v>
          </cell>
          <cell r="O1367">
            <v>18</v>
          </cell>
          <cell r="P1367">
            <v>7.2</v>
          </cell>
        </row>
        <row r="1368">
          <cell r="A1368" t="str">
            <v>6726983</v>
          </cell>
          <cell r="B1368" t="str">
            <v>1333818</v>
          </cell>
          <cell r="C1368" t="str">
            <v>6360RDS-8972-481</v>
          </cell>
          <cell r="D1368" t="str">
            <v>6360RDS</v>
          </cell>
          <cell r="E1368" t="str">
            <v>6360RDS GLOCK 47 X300U STX BSK BLK RH</v>
          </cell>
          <cell r="F1368" t="str">
            <v>DG-HOLSTER-RDS</v>
          </cell>
          <cell r="G1368" t="str">
            <v>1420-210-FG</v>
          </cell>
          <cell r="H1368" t="str">
            <v>R</v>
          </cell>
          <cell r="I1368" t="str">
            <v>06/10/2024</v>
          </cell>
          <cell r="J1368" t="str">
            <v>06/10/2024</v>
          </cell>
          <cell r="K1368" t="str">
            <v>06/21/2024</v>
          </cell>
          <cell r="L1368">
            <v>50</v>
          </cell>
          <cell r="M1368" t="str">
            <v>6/12/2024 4:06:03 PM</v>
          </cell>
          <cell r="N1368" t="str">
            <v>25</v>
          </cell>
          <cell r="O1368">
            <v>50</v>
          </cell>
          <cell r="P1368">
            <v>20</v>
          </cell>
        </row>
        <row r="1369">
          <cell r="A1369" t="str">
            <v>6726984</v>
          </cell>
          <cell r="B1369" t="str">
            <v>1333818</v>
          </cell>
          <cell r="C1369" t="str">
            <v>6360RDS-8972-481</v>
          </cell>
          <cell r="D1369" t="str">
            <v>6360RDS</v>
          </cell>
          <cell r="E1369" t="str">
            <v>6360RDS GLOCK 47 X300U STX BSK BLK RH</v>
          </cell>
          <cell r="F1369" t="str">
            <v>DG-HOLSTER-RDS</v>
          </cell>
          <cell r="G1369" t="str">
            <v>1420-210-FG</v>
          </cell>
          <cell r="H1369" t="str">
            <v>R</v>
          </cell>
          <cell r="I1369" t="str">
            <v>06/10/2024</v>
          </cell>
          <cell r="J1369" t="str">
            <v>06/10/2024</v>
          </cell>
          <cell r="K1369" t="str">
            <v>06/21/2024</v>
          </cell>
          <cell r="L1369">
            <v>50</v>
          </cell>
          <cell r="M1369" t="str">
            <v>6/12/2024 4:06:03 PM</v>
          </cell>
          <cell r="N1369" t="str">
            <v>25</v>
          </cell>
          <cell r="O1369">
            <v>50</v>
          </cell>
          <cell r="P1369">
            <v>20</v>
          </cell>
        </row>
        <row r="1370">
          <cell r="A1370" t="str">
            <v>6726985</v>
          </cell>
          <cell r="B1370" t="str">
            <v>1333818</v>
          </cell>
          <cell r="C1370" t="str">
            <v>6360RDS-8972-481</v>
          </cell>
          <cell r="D1370" t="str">
            <v>6360RDS</v>
          </cell>
          <cell r="E1370" t="str">
            <v>6360RDS GLOCK 47 X300U STX BSK BLK RH</v>
          </cell>
          <cell r="F1370" t="str">
            <v>DG-HOLSTER-RDS</v>
          </cell>
          <cell r="G1370" t="str">
            <v>1420-210-FG</v>
          </cell>
          <cell r="H1370" t="str">
            <v>R</v>
          </cell>
          <cell r="I1370" t="str">
            <v>06/10/2024</v>
          </cell>
          <cell r="J1370" t="str">
            <v>06/10/2024</v>
          </cell>
          <cell r="K1370" t="str">
            <v>06/21/2024</v>
          </cell>
          <cell r="L1370">
            <v>48</v>
          </cell>
          <cell r="M1370" t="str">
            <v>6/12/2024 4:06:03 PM</v>
          </cell>
          <cell r="N1370" t="str">
            <v>25</v>
          </cell>
          <cell r="O1370">
            <v>48</v>
          </cell>
          <cell r="P1370">
            <v>19.2</v>
          </cell>
        </row>
        <row r="1371">
          <cell r="A1371" t="str">
            <v>6726107</v>
          </cell>
          <cell r="B1371" t="str">
            <v>1325742</v>
          </cell>
          <cell r="C1371" t="str">
            <v>6360RDS-8972-411</v>
          </cell>
          <cell r="D1371" t="str">
            <v>6360RDS</v>
          </cell>
          <cell r="E1371" t="str">
            <v>6360RDS GLOCK 47 X300U STX PLN BLK RH</v>
          </cell>
          <cell r="F1371" t="str">
            <v>DG-HOLSTER-RDS</v>
          </cell>
          <cell r="G1371" t="str">
            <v>1420-210-FG</v>
          </cell>
          <cell r="H1371" t="str">
            <v>R</v>
          </cell>
          <cell r="I1371" t="str">
            <v>06/07/2024</v>
          </cell>
          <cell r="J1371" t="str">
            <v>06/07/2024</v>
          </cell>
          <cell r="K1371" t="str">
            <v>06/21/2024</v>
          </cell>
          <cell r="L1371">
            <v>12</v>
          </cell>
          <cell r="M1371" t="str">
            <v>6/12/2024 3:57:34 PM</v>
          </cell>
          <cell r="N1371" t="str">
            <v>25</v>
          </cell>
          <cell r="O1371">
            <v>12</v>
          </cell>
          <cell r="P1371">
            <v>4.8</v>
          </cell>
        </row>
        <row r="1372">
          <cell r="A1372" t="str">
            <v>6726973</v>
          </cell>
          <cell r="B1372" t="str">
            <v>1325742</v>
          </cell>
          <cell r="C1372" t="str">
            <v>6360RDS-8972-411</v>
          </cell>
          <cell r="D1372" t="str">
            <v>6360RDS</v>
          </cell>
          <cell r="E1372" t="str">
            <v>6360RDS GLOCK 47 X300U STX PLN BLK RH</v>
          </cell>
          <cell r="F1372" t="str">
            <v>DG-HOLSTER-RDS</v>
          </cell>
          <cell r="G1372" t="str">
            <v>1420-210-FG</v>
          </cell>
          <cell r="H1372" t="str">
            <v>R</v>
          </cell>
          <cell r="I1372" t="str">
            <v>06/10/2024</v>
          </cell>
          <cell r="J1372" t="str">
            <v>06/10/2024</v>
          </cell>
          <cell r="K1372" t="str">
            <v>06/21/2024</v>
          </cell>
          <cell r="L1372">
            <v>33</v>
          </cell>
          <cell r="M1372" t="str">
            <v>6/12/2024 3:57:34 PM</v>
          </cell>
          <cell r="N1372" t="str">
            <v>25</v>
          </cell>
          <cell r="O1372">
            <v>33</v>
          </cell>
          <cell r="P1372">
            <v>13.2</v>
          </cell>
        </row>
        <row r="1373">
          <cell r="A1373" t="str">
            <v>6723557</v>
          </cell>
          <cell r="B1373" t="str">
            <v>1325740</v>
          </cell>
          <cell r="C1373" t="str">
            <v>6360RDS-8972-131</v>
          </cell>
          <cell r="D1373" t="str">
            <v>6360RDS</v>
          </cell>
          <cell r="E1373" t="str">
            <v>6360RDS GLOCK 47 X300U STX TAC BLK RH</v>
          </cell>
          <cell r="F1373" t="str">
            <v>DG-HOLSTER-RDS</v>
          </cell>
          <cell r="G1373" t="str">
            <v>1420-210-FG</v>
          </cell>
          <cell r="H1373" t="str">
            <v>R</v>
          </cell>
          <cell r="I1373" t="str">
            <v>06/03/2024</v>
          </cell>
          <cell r="J1373" t="str">
            <v>06/03/2024</v>
          </cell>
          <cell r="K1373" t="str">
            <v>06/21/2024</v>
          </cell>
          <cell r="L1373">
            <v>40</v>
          </cell>
          <cell r="M1373" t="str">
            <v>6/12/2024 3:55:19 PM</v>
          </cell>
          <cell r="N1373" t="str">
            <v>25</v>
          </cell>
          <cell r="O1373">
            <v>40</v>
          </cell>
          <cell r="P1373">
            <v>16</v>
          </cell>
        </row>
        <row r="1374">
          <cell r="A1374" t="str">
            <v>6727682</v>
          </cell>
          <cell r="B1374" t="str">
            <v>1336735</v>
          </cell>
          <cell r="C1374" t="str">
            <v>6360RDS-8252-62</v>
          </cell>
          <cell r="D1374" t="str">
            <v>6360RDS</v>
          </cell>
          <cell r="E1374" t="str">
            <v>6360RDS GLOCK22 GEN5 X300U PLN BLK LH</v>
          </cell>
          <cell r="F1374" t="str">
            <v>DG-HOLSTER-RDS-DTC</v>
          </cell>
          <cell r="G1374" t="str">
            <v>1420-210-FG</v>
          </cell>
          <cell r="H1374" t="str">
            <v>R</v>
          </cell>
          <cell r="I1374" t="str">
            <v>06/11/2024</v>
          </cell>
          <cell r="J1374" t="str">
            <v>06/11/2024</v>
          </cell>
          <cell r="K1374" t="str">
            <v>06/21/2024</v>
          </cell>
          <cell r="L1374">
            <v>1</v>
          </cell>
          <cell r="M1374" t="str">
            <v>6/13/2024 7:53:54 AM</v>
          </cell>
          <cell r="N1374" t="str">
            <v>25</v>
          </cell>
          <cell r="O1374">
            <v>1</v>
          </cell>
          <cell r="P1374">
            <v>0.4</v>
          </cell>
        </row>
        <row r="1375">
          <cell r="A1375" t="str">
            <v>6728602</v>
          </cell>
          <cell r="B1375" t="str">
            <v>1336734</v>
          </cell>
          <cell r="C1375" t="str">
            <v>6360RDS-8252-61</v>
          </cell>
          <cell r="D1375" t="str">
            <v>6360RDS</v>
          </cell>
          <cell r="E1375" t="str">
            <v>6360RDS GLOCK22 GEN5 X300U PLN BLK RH</v>
          </cell>
          <cell r="F1375" t="str">
            <v>DG-HOLSTER-RDS-DTC</v>
          </cell>
          <cell r="G1375" t="str">
            <v>1420-210-FG</v>
          </cell>
          <cell r="H1375" t="str">
            <v>R</v>
          </cell>
          <cell r="I1375" t="str">
            <v>06/12/2024</v>
          </cell>
          <cell r="J1375" t="str">
            <v>06/12/2024</v>
          </cell>
          <cell r="K1375" t="str">
            <v>06/21/2024</v>
          </cell>
          <cell r="L1375">
            <v>1</v>
          </cell>
          <cell r="M1375" t="str">
            <v>6/13/2024 7:53:54 AM</v>
          </cell>
          <cell r="N1375" t="str">
            <v>25</v>
          </cell>
          <cell r="O1375">
            <v>1</v>
          </cell>
          <cell r="P1375">
            <v>0.4</v>
          </cell>
        </row>
        <row r="1376">
          <cell r="A1376" t="str">
            <v>6727252</v>
          </cell>
          <cell r="B1376" t="str">
            <v>1336825</v>
          </cell>
          <cell r="C1376" t="str">
            <v>6360RDS-28252-131</v>
          </cell>
          <cell r="D1376" t="str">
            <v>6360RDS</v>
          </cell>
          <cell r="E1376" t="str">
            <v>6360RDS GLOCK23 GEN5 X300U STXTAC BLK RH</v>
          </cell>
          <cell r="F1376" t="str">
            <v>DG-HOLSTER-RDS-DTC</v>
          </cell>
          <cell r="G1376" t="str">
            <v>1420-210-FG</v>
          </cell>
          <cell r="H1376" t="str">
            <v>R</v>
          </cell>
          <cell r="I1376" t="str">
            <v>06/10/2024</v>
          </cell>
          <cell r="J1376" t="str">
            <v>06/10/2024</v>
          </cell>
          <cell r="K1376" t="str">
            <v>06/21/2024</v>
          </cell>
          <cell r="L1376">
            <v>1</v>
          </cell>
          <cell r="M1376" t="str">
            <v>6/13/2024 7:53:54 AM</v>
          </cell>
          <cell r="N1376" t="str">
            <v>25</v>
          </cell>
          <cell r="O1376">
            <v>1</v>
          </cell>
          <cell r="P1376">
            <v>0.4</v>
          </cell>
        </row>
        <row r="1377">
          <cell r="A1377" t="str">
            <v>6728695</v>
          </cell>
          <cell r="B1377" t="str">
            <v>1336827</v>
          </cell>
          <cell r="C1377" t="str">
            <v>6360RDS-28252-551</v>
          </cell>
          <cell r="D1377" t="str">
            <v>6360RDS</v>
          </cell>
          <cell r="E1377" t="str">
            <v>6360RDS GLOCK23 GEN5 X300U STXTAC FDE RH</v>
          </cell>
          <cell r="F1377" t="str">
            <v>DG-HOLSTER-RDS-DTC</v>
          </cell>
          <cell r="G1377" t="str">
            <v>1420-210-FG</v>
          </cell>
          <cell r="H1377" t="str">
            <v>R</v>
          </cell>
          <cell r="I1377" t="str">
            <v>06/12/2024</v>
          </cell>
          <cell r="J1377" t="str">
            <v>06/12/2024</v>
          </cell>
          <cell r="K1377" t="str">
            <v>06/21/2024</v>
          </cell>
          <cell r="L1377">
            <v>1</v>
          </cell>
          <cell r="M1377" t="str">
            <v>6/13/2024 7:53:54 AM</v>
          </cell>
          <cell r="N1377" t="str">
            <v>25</v>
          </cell>
          <cell r="O1377">
            <v>1</v>
          </cell>
          <cell r="P1377">
            <v>0.4</v>
          </cell>
        </row>
        <row r="1378">
          <cell r="A1378" t="str">
            <v>6723657</v>
          </cell>
          <cell r="B1378" t="str">
            <v>1326347</v>
          </cell>
          <cell r="C1378" t="str">
            <v>6360RDS-582-482</v>
          </cell>
          <cell r="D1378" t="str">
            <v>6360RDS</v>
          </cell>
          <cell r="E1378" t="str">
            <v>6360RDS PRODIGY 4.25" X300U STX BSK LH</v>
          </cell>
          <cell r="F1378" t="str">
            <v>DG-HOLSTER-RDS</v>
          </cell>
          <cell r="G1378" t="str">
            <v>1420-210-FG</v>
          </cell>
          <cell r="H1378" t="str">
            <v>R</v>
          </cell>
          <cell r="I1378" t="str">
            <v>06/03/2024</v>
          </cell>
          <cell r="J1378" t="str">
            <v>06/03/2024</v>
          </cell>
          <cell r="K1378" t="str">
            <v>06/21/2024</v>
          </cell>
          <cell r="L1378">
            <v>1</v>
          </cell>
          <cell r="M1378" t="str">
            <v>6/12/2024 4:00:35 PM</v>
          </cell>
          <cell r="N1378" t="str">
            <v>25</v>
          </cell>
          <cell r="O1378">
            <v>1</v>
          </cell>
          <cell r="P1378">
            <v>0.4</v>
          </cell>
        </row>
        <row r="1379">
          <cell r="A1379" t="str">
            <v>6728130</v>
          </cell>
          <cell r="B1379" t="str">
            <v>1208115</v>
          </cell>
          <cell r="C1379" t="str">
            <v>6360RDS-7502-482</v>
          </cell>
          <cell r="D1379" t="str">
            <v>6360RDS</v>
          </cell>
          <cell r="E1379" t="str">
            <v>6360RDS SIG 320CRX X300U STX BSK BLK LH</v>
          </cell>
          <cell r="F1379" t="str">
            <v>DG-HOLSTER-RDS</v>
          </cell>
          <cell r="G1379" t="str">
            <v>1420-210-FG</v>
          </cell>
          <cell r="H1379" t="str">
            <v>R</v>
          </cell>
          <cell r="I1379" t="str">
            <v>06/11/2024</v>
          </cell>
          <cell r="J1379" t="str">
            <v>06/14/2024</v>
          </cell>
          <cell r="K1379" t="str">
            <v>06/21/2024</v>
          </cell>
          <cell r="L1379">
            <v>21</v>
          </cell>
          <cell r="M1379" t="str">
            <v>6/13/2024 7:49:28 AM</v>
          </cell>
          <cell r="N1379" t="str">
            <v>25</v>
          </cell>
          <cell r="O1379">
            <v>21</v>
          </cell>
          <cell r="P1379">
            <v>8.4</v>
          </cell>
        </row>
        <row r="1380">
          <cell r="A1380" t="str">
            <v>6728143</v>
          </cell>
          <cell r="B1380" t="str">
            <v>1208115</v>
          </cell>
          <cell r="C1380" t="str">
            <v>6360RDS-7502-482</v>
          </cell>
          <cell r="D1380" t="str">
            <v>6360RDS</v>
          </cell>
          <cell r="E1380" t="str">
            <v>6360RDS SIG 320CRX X300U STX BSK BLK LH</v>
          </cell>
          <cell r="F1380" t="str">
            <v>DG-HOLSTER-RDS</v>
          </cell>
          <cell r="G1380" t="str">
            <v>1420-210-FG</v>
          </cell>
          <cell r="H1380" t="str">
            <v>R</v>
          </cell>
          <cell r="I1380" t="str">
            <v>06/11/2024</v>
          </cell>
          <cell r="J1380" t="str">
            <v>06/13/2024</v>
          </cell>
          <cell r="K1380" t="str">
            <v>06/21/2024</v>
          </cell>
          <cell r="L1380">
            <v>5</v>
          </cell>
          <cell r="M1380" t="str">
            <v>6/13/2024 7:49:56 AM</v>
          </cell>
          <cell r="N1380" t="str">
            <v>25</v>
          </cell>
          <cell r="O1380">
            <v>5</v>
          </cell>
          <cell r="P1380">
            <v>2</v>
          </cell>
        </row>
        <row r="1381">
          <cell r="A1381" t="str">
            <v>6728142</v>
          </cell>
          <cell r="B1381" t="str">
            <v>1208114</v>
          </cell>
          <cell r="C1381" t="str">
            <v>6360RDS-7502-481</v>
          </cell>
          <cell r="D1381" t="str">
            <v>6360RDS</v>
          </cell>
          <cell r="E1381" t="str">
            <v>6360RDS SIG 320CRX X300U STX BSK BLK RH</v>
          </cell>
          <cell r="F1381" t="str">
            <v>DG-HOLSTER-RDS</v>
          </cell>
          <cell r="G1381" t="str">
            <v>1420-210-FG</v>
          </cell>
          <cell r="H1381" t="str">
            <v>R</v>
          </cell>
          <cell r="I1381" t="str">
            <v>06/11/2024</v>
          </cell>
          <cell r="J1381" t="str">
            <v>06/14/2024</v>
          </cell>
          <cell r="K1381" t="str">
            <v>06/21/2024</v>
          </cell>
          <cell r="L1381">
            <v>19</v>
          </cell>
          <cell r="M1381" t="str">
            <v>6/13/2024 7:49:42 AM</v>
          </cell>
          <cell r="N1381" t="str">
            <v>25</v>
          </cell>
          <cell r="O1381">
            <v>19</v>
          </cell>
          <cell r="P1381">
            <v>7.6</v>
          </cell>
        </row>
        <row r="1382">
          <cell r="A1382" t="str">
            <v>6728595</v>
          </cell>
          <cell r="B1382" t="str">
            <v>1325592</v>
          </cell>
          <cell r="C1382" t="str">
            <v>6360RDS-4502-762</v>
          </cell>
          <cell r="D1382" t="str">
            <v>6360RDS</v>
          </cell>
          <cell r="E1382" t="str">
            <v>6360RDS SIG 320RX X300U STX TAC CBRN LH</v>
          </cell>
          <cell r="F1382" t="str">
            <v>DG-HOLSTER-RDS</v>
          </cell>
          <cell r="G1382" t="str">
            <v>1420-210-FG</v>
          </cell>
          <cell r="H1382" t="str">
            <v>R</v>
          </cell>
          <cell r="I1382" t="str">
            <v>06/12/2024</v>
          </cell>
          <cell r="J1382" t="str">
            <v>06/12/2024</v>
          </cell>
          <cell r="K1382" t="str">
            <v>06/21/2024</v>
          </cell>
          <cell r="L1382">
            <v>1</v>
          </cell>
          <cell r="M1382" t="str">
            <v>6/13/2024 7:51:52 AM</v>
          </cell>
          <cell r="N1382" t="str">
            <v>25</v>
          </cell>
          <cell r="O1382">
            <v>1</v>
          </cell>
          <cell r="P1382">
            <v>0.43</v>
          </cell>
        </row>
        <row r="1383">
          <cell r="A1383" t="str">
            <v>6728162</v>
          </cell>
          <cell r="B1383" t="str">
            <v>1333414</v>
          </cell>
          <cell r="C1383" t="str">
            <v>6360RDS-75227-412</v>
          </cell>
          <cell r="D1383" t="str">
            <v>6360RDS</v>
          </cell>
          <cell r="E1383" t="str">
            <v>6360RDS SIG P320C RX TLR7 STX PLN BLK LH</v>
          </cell>
          <cell r="F1383" t="str">
            <v>DG-HOLSTER-RDS</v>
          </cell>
          <cell r="G1383" t="str">
            <v>1420-210-FG</v>
          </cell>
          <cell r="H1383" t="str">
            <v>R</v>
          </cell>
          <cell r="I1383" t="str">
            <v>06/11/2024</v>
          </cell>
          <cell r="J1383" t="str">
            <v>06/13/2024</v>
          </cell>
          <cell r="K1383" t="str">
            <v>06/21/2024</v>
          </cell>
          <cell r="L1383">
            <v>1</v>
          </cell>
          <cell r="M1383" t="str">
            <v>6/13/2024 7:53:54 AM</v>
          </cell>
          <cell r="N1383" t="str">
            <v>25</v>
          </cell>
          <cell r="O1383">
            <v>1</v>
          </cell>
          <cell r="P1383">
            <v>0.43</v>
          </cell>
        </row>
        <row r="1384">
          <cell r="A1384" t="str">
            <v>6728159</v>
          </cell>
          <cell r="B1384" t="str">
            <v>1332673</v>
          </cell>
          <cell r="C1384" t="str">
            <v>6360RDS-2192-721</v>
          </cell>
          <cell r="D1384" t="str">
            <v>6360RDS</v>
          </cell>
          <cell r="E1384" t="str">
            <v>6360RDS SW MP 4IN X300U COR OD RNG GRNRH</v>
          </cell>
          <cell r="F1384" t="str">
            <v>DG-HOLSTER-RDS</v>
          </cell>
          <cell r="G1384" t="str">
            <v>1420-210-FG</v>
          </cell>
          <cell r="H1384" t="str">
            <v>R</v>
          </cell>
          <cell r="I1384" t="str">
            <v>06/11/2024</v>
          </cell>
          <cell r="J1384" t="str">
            <v>06/13/2024</v>
          </cell>
          <cell r="K1384" t="str">
            <v>06/21/2024</v>
          </cell>
          <cell r="L1384">
            <v>1</v>
          </cell>
          <cell r="M1384" t="str">
            <v>6/13/2024 8:03:10 AM</v>
          </cell>
          <cell r="N1384" t="str">
            <v>25</v>
          </cell>
          <cell r="O1384">
            <v>1</v>
          </cell>
          <cell r="P1384">
            <v>0.4</v>
          </cell>
        </row>
        <row r="1385">
          <cell r="A1385" t="str">
            <v>6728252</v>
          </cell>
          <cell r="B1385" t="str">
            <v>1336505</v>
          </cell>
          <cell r="C1385" t="str">
            <v>6360RDS-4842-131</v>
          </cell>
          <cell r="D1385" t="str">
            <v>6360RDS</v>
          </cell>
          <cell r="E1385" t="str">
            <v>6360RDS WLTHRPDP 4"  X300U STXTAC BLK RH</v>
          </cell>
          <cell r="F1385" t="str">
            <v>DG-HOLSTER-RDS-DTC</v>
          </cell>
          <cell r="G1385" t="str">
            <v>1420-210-FG</v>
          </cell>
          <cell r="H1385" t="str">
            <v>R</v>
          </cell>
          <cell r="I1385" t="str">
            <v>06/11/2024</v>
          </cell>
          <cell r="J1385" t="str">
            <v>06/13/2024</v>
          </cell>
          <cell r="K1385" t="str">
            <v>06/21/2024</v>
          </cell>
          <cell r="L1385">
            <v>2</v>
          </cell>
          <cell r="M1385" t="str">
            <v>6/13/2024 7:53:54 AM</v>
          </cell>
          <cell r="N1385" t="str">
            <v>25</v>
          </cell>
          <cell r="O1385">
            <v>2</v>
          </cell>
          <cell r="P1385">
            <v>0.87</v>
          </cell>
        </row>
        <row r="1386">
          <cell r="A1386" t="str">
            <v>6728249</v>
          </cell>
          <cell r="B1386" t="str">
            <v>1336400</v>
          </cell>
          <cell r="C1386" t="str">
            <v>6360RDS-5842-701</v>
          </cell>
          <cell r="D1386" t="str">
            <v>6360RDS</v>
          </cell>
          <cell r="E1386" t="str">
            <v>6360RDS WLTHRPDP 4.5 X300U COR MLTCM RH</v>
          </cell>
          <cell r="F1386" t="str">
            <v>DG-HOLSTER-RDS-DTC</v>
          </cell>
          <cell r="G1386" t="str">
            <v>1420-210-FG</v>
          </cell>
          <cell r="H1386" t="str">
            <v>R</v>
          </cell>
          <cell r="I1386" t="str">
            <v>06/11/2024</v>
          </cell>
          <cell r="J1386" t="str">
            <v>06/13/2024</v>
          </cell>
          <cell r="K1386" t="str">
            <v>06/21/2024</v>
          </cell>
          <cell r="L1386">
            <v>2</v>
          </cell>
          <cell r="M1386" t="str">
            <v>6/13/2024 8:03:10 AM</v>
          </cell>
          <cell r="N1386" t="str">
            <v>25</v>
          </cell>
          <cell r="O1386">
            <v>2</v>
          </cell>
          <cell r="P1386">
            <v>0.87</v>
          </cell>
        </row>
        <row r="1387">
          <cell r="A1387" t="str">
            <v>6728069</v>
          </cell>
          <cell r="B1387" t="str">
            <v>1142232</v>
          </cell>
          <cell r="C1387" t="str">
            <v>6365-83-552</v>
          </cell>
          <cell r="D1387" t="str">
            <v>6365</v>
          </cell>
          <cell r="E1387" t="str">
            <v>6365 GLOCK 17/22 STX TAC FDE LH</v>
          </cell>
          <cell r="F1387" t="str">
            <v>DG-HOLSTER-DTC</v>
          </cell>
          <cell r="G1387" t="str">
            <v>1420-210-FG</v>
          </cell>
          <cell r="H1387" t="str">
            <v>R</v>
          </cell>
          <cell r="I1387" t="str">
            <v>06/11/2024</v>
          </cell>
          <cell r="J1387" t="str">
            <v>06/12/2024</v>
          </cell>
          <cell r="K1387" t="str">
            <v>06/21/2024</v>
          </cell>
          <cell r="L1387">
            <v>1</v>
          </cell>
          <cell r="M1387" t="str">
            <v>6/12/2024 4:17:55 PM</v>
          </cell>
          <cell r="N1387" t="str">
            <v>25</v>
          </cell>
          <cell r="O1387">
            <v>1</v>
          </cell>
          <cell r="P1387">
            <v>0.22</v>
          </cell>
        </row>
        <row r="1388">
          <cell r="A1388" t="str">
            <v>6728068</v>
          </cell>
          <cell r="B1388" t="str">
            <v>1142231</v>
          </cell>
          <cell r="C1388" t="str">
            <v>6365-83-551</v>
          </cell>
          <cell r="D1388" t="str">
            <v>6365</v>
          </cell>
          <cell r="E1388" t="str">
            <v>6365 GLOCK 17/22 STX TAC FDE RH</v>
          </cell>
          <cell r="F1388" t="str">
            <v>DG-HOLSTER-DTC</v>
          </cell>
          <cell r="G1388" t="str">
            <v>1420-210-FG</v>
          </cell>
          <cell r="H1388" t="str">
            <v>R</v>
          </cell>
          <cell r="I1388" t="str">
            <v>06/11/2024</v>
          </cell>
          <cell r="J1388" t="str">
            <v>06/12/2024</v>
          </cell>
          <cell r="K1388" t="str">
            <v>06/21/2024</v>
          </cell>
          <cell r="L1388">
            <v>10</v>
          </cell>
          <cell r="M1388" t="str">
            <v>6/12/2024 4:17:55 PM</v>
          </cell>
          <cell r="N1388" t="str">
            <v>25</v>
          </cell>
          <cell r="O1388">
            <v>10</v>
          </cell>
          <cell r="P1388">
            <v>2.14</v>
          </cell>
        </row>
        <row r="1389">
          <cell r="A1389" t="str">
            <v>6728085</v>
          </cell>
          <cell r="B1389" t="str">
            <v>1182184</v>
          </cell>
          <cell r="C1389" t="str">
            <v>6365-832-552</v>
          </cell>
          <cell r="D1389" t="str">
            <v>6365</v>
          </cell>
          <cell r="E1389" t="str">
            <v>6365 GLOCK 17/22 X300 STX TAC FDE LH</v>
          </cell>
          <cell r="F1389" t="str">
            <v>DG-HOLSTER-DTC</v>
          </cell>
          <cell r="G1389" t="str">
            <v>1420-210-FG</v>
          </cell>
          <cell r="H1389" t="str">
            <v>R</v>
          </cell>
          <cell r="I1389" t="str">
            <v>06/11/2024</v>
          </cell>
          <cell r="J1389" t="str">
            <v>06/12/2024</v>
          </cell>
          <cell r="K1389" t="str">
            <v>06/21/2024</v>
          </cell>
          <cell r="L1389">
            <v>3</v>
          </cell>
          <cell r="M1389" t="str">
            <v>6/12/2024 4:17:55 PM</v>
          </cell>
          <cell r="N1389" t="str">
            <v>25</v>
          </cell>
          <cell r="O1389">
            <v>3</v>
          </cell>
          <cell r="P1389">
            <v>1.23</v>
          </cell>
        </row>
        <row r="1390">
          <cell r="A1390" t="str">
            <v>6728055</v>
          </cell>
          <cell r="B1390" t="str">
            <v>1129512</v>
          </cell>
          <cell r="C1390" t="str">
            <v>6365-832-482</v>
          </cell>
          <cell r="D1390" t="str">
            <v>6365</v>
          </cell>
          <cell r="E1390" t="str">
            <v>6365 GLOCK 17/22 X300U STX BSK BLK LH</v>
          </cell>
          <cell r="F1390" t="str">
            <v>DG-HOLSTER-DTC</v>
          </cell>
          <cell r="G1390" t="str">
            <v>1420-210-FG</v>
          </cell>
          <cell r="H1390" t="str">
            <v>R</v>
          </cell>
          <cell r="I1390" t="str">
            <v>06/11/2024</v>
          </cell>
          <cell r="J1390" t="str">
            <v>06/17/2024</v>
          </cell>
          <cell r="K1390" t="str">
            <v>06/21/2024</v>
          </cell>
          <cell r="L1390">
            <v>5</v>
          </cell>
          <cell r="M1390" t="str">
            <v>6/12/2024 4:20:21 PM</v>
          </cell>
          <cell r="N1390" t="str">
            <v>25</v>
          </cell>
          <cell r="O1390">
            <v>5</v>
          </cell>
          <cell r="P1390">
            <v>2.04</v>
          </cell>
        </row>
        <row r="1391">
          <cell r="A1391" t="str">
            <v>6728042</v>
          </cell>
          <cell r="B1391" t="str">
            <v>1123893</v>
          </cell>
          <cell r="C1391" t="str">
            <v>6365-832-131</v>
          </cell>
          <cell r="D1391" t="str">
            <v>6365</v>
          </cell>
          <cell r="E1391" t="str">
            <v>6365 GLOCK 17/22 X300U STX TAC BLK RH</v>
          </cell>
          <cell r="F1391" t="str">
            <v>DG-HOLSTER-DTC</v>
          </cell>
          <cell r="G1391" t="str">
            <v>1420-210-FG</v>
          </cell>
          <cell r="H1391" t="str">
            <v>R</v>
          </cell>
          <cell r="I1391" t="str">
            <v>06/11/2024</v>
          </cell>
          <cell r="J1391" t="str">
            <v>06/12/2024</v>
          </cell>
          <cell r="K1391" t="str">
            <v>06/21/2024</v>
          </cell>
          <cell r="L1391">
            <v>11</v>
          </cell>
          <cell r="M1391" t="str">
            <v>6/12/2024 4:13:49 PM</v>
          </cell>
          <cell r="N1391" t="str">
            <v>25</v>
          </cell>
          <cell r="O1391">
            <v>11</v>
          </cell>
          <cell r="P1391">
            <v>4.47</v>
          </cell>
        </row>
        <row r="1392">
          <cell r="A1392" t="str">
            <v>6728066</v>
          </cell>
          <cell r="B1392" t="str">
            <v>1139778</v>
          </cell>
          <cell r="C1392" t="str">
            <v>6365-832-551</v>
          </cell>
          <cell r="D1392" t="str">
            <v>6365</v>
          </cell>
          <cell r="E1392" t="str">
            <v>6365 GLOCK 17/22 X300U STX TAC FDE RH</v>
          </cell>
          <cell r="F1392" t="str">
            <v>DG-HOLSTER-DTC</v>
          </cell>
          <cell r="G1392" t="str">
            <v>1420-210-FG</v>
          </cell>
          <cell r="H1392" t="str">
            <v>R</v>
          </cell>
          <cell r="I1392" t="str">
            <v>06/11/2024</v>
          </cell>
          <cell r="J1392" t="str">
            <v>06/12/2024</v>
          </cell>
          <cell r="K1392" t="str">
            <v>06/21/2024</v>
          </cell>
          <cell r="L1392">
            <v>5</v>
          </cell>
          <cell r="M1392" t="str">
            <v>6/12/2024 4:17:55 PM</v>
          </cell>
          <cell r="N1392" t="str">
            <v>25</v>
          </cell>
          <cell r="O1392">
            <v>5</v>
          </cell>
          <cell r="P1392">
            <v>2.04</v>
          </cell>
        </row>
        <row r="1393">
          <cell r="A1393" t="str">
            <v>6728077</v>
          </cell>
          <cell r="B1393" t="str">
            <v>1155871</v>
          </cell>
          <cell r="C1393" t="str">
            <v>6365-283-551</v>
          </cell>
          <cell r="D1393" t="str">
            <v>6365</v>
          </cell>
          <cell r="E1393" t="str">
            <v>6365 GLOCK 19/23 STX TAC FDE RH</v>
          </cell>
          <cell r="F1393" t="str">
            <v>DG-HOLSTER-DTC</v>
          </cell>
          <cell r="G1393" t="str">
            <v>1420-210-FG</v>
          </cell>
          <cell r="H1393" t="str">
            <v>R</v>
          </cell>
          <cell r="I1393" t="str">
            <v>06/11/2024</v>
          </cell>
          <cell r="J1393" t="str">
            <v>06/14/2024</v>
          </cell>
          <cell r="K1393" t="str">
            <v>06/21/2024</v>
          </cell>
          <cell r="L1393">
            <v>1</v>
          </cell>
          <cell r="M1393" t="str">
            <v>6/12/2024 4:17:55 PM</v>
          </cell>
          <cell r="N1393" t="str">
            <v>25</v>
          </cell>
          <cell r="O1393">
            <v>1</v>
          </cell>
          <cell r="P1393">
            <v>0.27</v>
          </cell>
        </row>
        <row r="1394">
          <cell r="A1394" t="str">
            <v>6726936</v>
          </cell>
          <cell r="B1394" t="str">
            <v>1128827</v>
          </cell>
          <cell r="C1394" t="str">
            <v>6365-2832-131</v>
          </cell>
          <cell r="D1394" t="str">
            <v>6365</v>
          </cell>
          <cell r="E1394" t="str">
            <v>6365 GLOCK 19/23 X300U STX TAC BLK RH</v>
          </cell>
          <cell r="F1394" t="str">
            <v>DG-HOLSTER-DTC</v>
          </cell>
          <cell r="G1394" t="str">
            <v>1420-210-FG</v>
          </cell>
          <cell r="H1394" t="str">
            <v>F</v>
          </cell>
          <cell r="I1394" t="str">
            <v>06/10/2024</v>
          </cell>
          <cell r="J1394" t="str">
            <v>06/10/2024</v>
          </cell>
          <cell r="K1394" t="str">
            <v>06/21/2024</v>
          </cell>
          <cell r="L1394">
            <v>5</v>
          </cell>
          <cell r="M1394" t="str">
            <v/>
          </cell>
          <cell r="N1394" t="str">
            <v>25</v>
          </cell>
          <cell r="O1394">
            <v>5</v>
          </cell>
          <cell r="P1394">
            <v>2.04</v>
          </cell>
        </row>
        <row r="1395">
          <cell r="A1395" t="str">
            <v>6727950</v>
          </cell>
          <cell r="B1395" t="str">
            <v>1161416</v>
          </cell>
          <cell r="C1395" t="str">
            <v>6365-477-481</v>
          </cell>
          <cell r="D1395" t="str">
            <v>6365</v>
          </cell>
          <cell r="E1395" t="str">
            <v>6365 SIG P226R STX BSK BLK RH</v>
          </cell>
          <cell r="F1395" t="str">
            <v>DG-HOLSTER</v>
          </cell>
          <cell r="G1395" t="str">
            <v>1420-210-FG</v>
          </cell>
          <cell r="H1395" t="str">
            <v>R</v>
          </cell>
          <cell r="I1395" t="str">
            <v>06/11/2024</v>
          </cell>
          <cell r="J1395" t="str">
            <v>06/13/2024</v>
          </cell>
          <cell r="K1395" t="str">
            <v>06/21/2024</v>
          </cell>
          <cell r="L1395">
            <v>1</v>
          </cell>
          <cell r="M1395" t="str">
            <v>6/12/2024 4:01:13 PM</v>
          </cell>
          <cell r="N1395" t="str">
            <v>25</v>
          </cell>
          <cell r="O1395">
            <v>1</v>
          </cell>
          <cell r="P1395">
            <v>0.24</v>
          </cell>
        </row>
        <row r="1396">
          <cell r="A1396" t="str">
            <v>6727664</v>
          </cell>
          <cell r="B1396" t="str">
            <v>1329115</v>
          </cell>
          <cell r="C1396" t="str">
            <v>6365RDS-2712-411</v>
          </cell>
          <cell r="D1396" t="str">
            <v>6365RDS</v>
          </cell>
          <cell r="E1396" t="str">
            <v>6365RDS FN509T 4.5IN X300U STX PLNBLK RH</v>
          </cell>
          <cell r="F1396" t="str">
            <v>DG-HOLSTER-RDS</v>
          </cell>
          <cell r="G1396" t="str">
            <v>1420-210-FG</v>
          </cell>
          <cell r="H1396" t="str">
            <v>R</v>
          </cell>
          <cell r="I1396" t="str">
            <v>06/11/2024</v>
          </cell>
          <cell r="J1396" t="str">
            <v>06/11/2024</v>
          </cell>
          <cell r="K1396" t="str">
            <v>06/21/2024</v>
          </cell>
          <cell r="L1396">
            <v>1</v>
          </cell>
          <cell r="M1396" t="str">
            <v>6/13/2024 7:46:59 AM</v>
          </cell>
          <cell r="N1396" t="str">
            <v>25</v>
          </cell>
          <cell r="O1396">
            <v>1</v>
          </cell>
          <cell r="P1396">
            <v>0.4</v>
          </cell>
        </row>
        <row r="1397">
          <cell r="A1397" t="str">
            <v>6727187</v>
          </cell>
          <cell r="B1397" t="str">
            <v>1331691</v>
          </cell>
          <cell r="C1397" t="str">
            <v>6365RDS-832-61-CUBL</v>
          </cell>
          <cell r="D1397" t="str">
            <v>6365RDS</v>
          </cell>
          <cell r="E1397" t="str">
            <v>6365RDS GLOCK 17MOS X300U PLN BLK RH</v>
          </cell>
          <cell r="F1397" t="str">
            <v>DG-HOLSTER-RDS-DTC</v>
          </cell>
          <cell r="G1397" t="str">
            <v>1420-210-FG</v>
          </cell>
          <cell r="H1397" t="str">
            <v>R</v>
          </cell>
          <cell r="I1397" t="str">
            <v>06/10/2024</v>
          </cell>
          <cell r="J1397" t="str">
            <v>06/10/2024</v>
          </cell>
          <cell r="K1397" t="str">
            <v>06/21/2024</v>
          </cell>
          <cell r="L1397">
            <v>1</v>
          </cell>
          <cell r="M1397" t="str">
            <v>6/10/2024 12:51:41 PM</v>
          </cell>
          <cell r="N1397" t="str">
            <v>25</v>
          </cell>
          <cell r="O1397">
            <v>1</v>
          </cell>
          <cell r="P1397">
            <v>0.43</v>
          </cell>
        </row>
        <row r="1398">
          <cell r="A1398" t="str">
            <v>6728178</v>
          </cell>
          <cell r="B1398" t="str">
            <v>1200320</v>
          </cell>
          <cell r="C1398" t="str">
            <v>6365RDS-832-132</v>
          </cell>
          <cell r="D1398" t="str">
            <v>6365RDS</v>
          </cell>
          <cell r="E1398" t="str">
            <v>6365RDS GLOCK 17MOS X300U STX TAC BLK LH</v>
          </cell>
          <cell r="F1398" t="str">
            <v>DG-HOLSTER-RDS-DTC</v>
          </cell>
          <cell r="G1398" t="str">
            <v>1420-210-FG</v>
          </cell>
          <cell r="H1398" t="str">
            <v>R</v>
          </cell>
          <cell r="I1398" t="str">
            <v>06/11/2024</v>
          </cell>
          <cell r="J1398" t="str">
            <v>06/13/2024</v>
          </cell>
          <cell r="K1398" t="str">
            <v>06/21/2024</v>
          </cell>
          <cell r="L1398">
            <v>7</v>
          </cell>
          <cell r="M1398" t="str">
            <v>6/13/2024 7:45:59 AM</v>
          </cell>
          <cell r="N1398" t="str">
            <v>25</v>
          </cell>
          <cell r="O1398">
            <v>7</v>
          </cell>
          <cell r="P1398">
            <v>3.03</v>
          </cell>
        </row>
        <row r="1399">
          <cell r="A1399" t="str">
            <v>6727130</v>
          </cell>
          <cell r="B1399" t="str">
            <v>1200319</v>
          </cell>
          <cell r="C1399" t="str">
            <v>6365RDS-832-131</v>
          </cell>
          <cell r="D1399" t="str">
            <v>6365RDS</v>
          </cell>
          <cell r="E1399" t="str">
            <v>6365RDS GLOCK 17MOS X300U STX TAC BLK RH</v>
          </cell>
          <cell r="F1399" t="str">
            <v>DG-HOLSTER-RDS-DTC</v>
          </cell>
          <cell r="G1399" t="str">
            <v>1420-210-FG</v>
          </cell>
          <cell r="H1399" t="str">
            <v>R</v>
          </cell>
          <cell r="I1399" t="str">
            <v>06/10/2024</v>
          </cell>
          <cell r="J1399" t="str">
            <v>06/10/2024</v>
          </cell>
          <cell r="K1399" t="str">
            <v>06/21/2024</v>
          </cell>
          <cell r="L1399">
            <v>20</v>
          </cell>
          <cell r="M1399" t="str">
            <v>6/13/2024 7:45:59 AM</v>
          </cell>
          <cell r="N1399" t="str">
            <v>25</v>
          </cell>
          <cell r="O1399">
            <v>20</v>
          </cell>
          <cell r="P1399">
            <v>8.66</v>
          </cell>
        </row>
        <row r="1400">
          <cell r="A1400" t="str">
            <v>6728220</v>
          </cell>
          <cell r="B1400" t="str">
            <v>1328626</v>
          </cell>
          <cell r="C1400" t="str">
            <v>6365RDS-8314-131</v>
          </cell>
          <cell r="D1400" t="str">
            <v>6365RDS</v>
          </cell>
          <cell r="E1400" t="str">
            <v>6365RDS GLOCK 17MOS X400U STX TAC BLK RH</v>
          </cell>
          <cell r="F1400" t="str">
            <v>DG-HOLSTER-RDS-DTC</v>
          </cell>
          <cell r="G1400" t="str">
            <v>1420-210-FG</v>
          </cell>
          <cell r="H1400" t="str">
            <v>R</v>
          </cell>
          <cell r="I1400" t="str">
            <v>06/11/2024</v>
          </cell>
          <cell r="J1400" t="str">
            <v>06/13/2024</v>
          </cell>
          <cell r="K1400" t="str">
            <v>06/21/2024</v>
          </cell>
          <cell r="L1400">
            <v>1</v>
          </cell>
          <cell r="M1400" t="str">
            <v>6/13/2024 7:45:59 AM</v>
          </cell>
          <cell r="N1400" t="str">
            <v>25</v>
          </cell>
          <cell r="O1400">
            <v>1</v>
          </cell>
          <cell r="P1400">
            <v>0.43</v>
          </cell>
        </row>
        <row r="1401">
          <cell r="A1401" t="str">
            <v>6728684</v>
          </cell>
          <cell r="B1401" t="str">
            <v>1333727</v>
          </cell>
          <cell r="C1401" t="str">
            <v>6365RDS-28328-132</v>
          </cell>
          <cell r="D1401" t="str">
            <v>6365RDS</v>
          </cell>
          <cell r="E1401" t="str">
            <v>6365RDS GLOCK 19MOS TLR-8 STX TAC BLK LH</v>
          </cell>
          <cell r="F1401" t="str">
            <v>DG-HOLSTER-RDS</v>
          </cell>
          <cell r="G1401" t="str">
            <v>1420-210-FG</v>
          </cell>
          <cell r="H1401" t="str">
            <v>R</v>
          </cell>
          <cell r="I1401" t="str">
            <v>06/12/2024</v>
          </cell>
          <cell r="J1401" t="str">
            <v>06/12/2024</v>
          </cell>
          <cell r="K1401" t="str">
            <v>06/21/2024</v>
          </cell>
          <cell r="L1401">
            <v>4</v>
          </cell>
          <cell r="M1401" t="str">
            <v>6/12/2024 4:25:20 PM</v>
          </cell>
          <cell r="N1401" t="str">
            <v>25</v>
          </cell>
          <cell r="O1401">
            <v>4</v>
          </cell>
          <cell r="P1401">
            <v>1.73</v>
          </cell>
        </row>
        <row r="1402">
          <cell r="A1402" t="str">
            <v>6728682</v>
          </cell>
          <cell r="B1402" t="str">
            <v>1333726</v>
          </cell>
          <cell r="C1402" t="str">
            <v>6365RDS-28328-131</v>
          </cell>
          <cell r="D1402" t="str">
            <v>6365RDS</v>
          </cell>
          <cell r="E1402" t="str">
            <v>6365RDS GLOCK 19MOS TLR-8 STX TAC BLK RH</v>
          </cell>
          <cell r="F1402" t="str">
            <v>DG-HOLSTER-RDS</v>
          </cell>
          <cell r="G1402" t="str">
            <v>1420-210-FG</v>
          </cell>
          <cell r="H1402" t="str">
            <v>R</v>
          </cell>
          <cell r="I1402" t="str">
            <v>06/12/2024</v>
          </cell>
          <cell r="J1402" t="str">
            <v>06/12/2024</v>
          </cell>
          <cell r="K1402" t="str">
            <v>06/21/2024</v>
          </cell>
          <cell r="L1402">
            <v>11</v>
          </cell>
          <cell r="M1402" t="str">
            <v>6/12/2024 4:25:06 PM</v>
          </cell>
          <cell r="N1402" t="str">
            <v>25</v>
          </cell>
          <cell r="O1402">
            <v>11</v>
          </cell>
          <cell r="P1402">
            <v>4.76</v>
          </cell>
        </row>
        <row r="1403">
          <cell r="A1403" t="str">
            <v>6728203</v>
          </cell>
          <cell r="B1403" t="str">
            <v>1206348</v>
          </cell>
          <cell r="C1403" t="str">
            <v>6365RDS-2832-781</v>
          </cell>
          <cell r="D1403" t="str">
            <v>6365RDS</v>
          </cell>
          <cell r="E1403" t="str">
            <v>6365RDS GLOCK 19MOS X300U CORD BLK RH</v>
          </cell>
          <cell r="F1403" t="str">
            <v>DG-HOLSTER-RDS-DTC</v>
          </cell>
          <cell r="G1403" t="str">
            <v>1420-210-FG</v>
          </cell>
          <cell r="H1403" t="str">
            <v>R</v>
          </cell>
          <cell r="I1403" t="str">
            <v>06/11/2024</v>
          </cell>
          <cell r="J1403" t="str">
            <v>06/13/2024</v>
          </cell>
          <cell r="K1403" t="str">
            <v>06/21/2024</v>
          </cell>
          <cell r="L1403">
            <v>10</v>
          </cell>
          <cell r="M1403" t="str">
            <v>6/12/2024 4:08:13 PM</v>
          </cell>
          <cell r="N1403" t="str">
            <v>25</v>
          </cell>
          <cell r="O1403">
            <v>10</v>
          </cell>
          <cell r="P1403">
            <v>4</v>
          </cell>
        </row>
        <row r="1404">
          <cell r="A1404" t="str">
            <v>6728685</v>
          </cell>
          <cell r="B1404" t="str">
            <v>1325788</v>
          </cell>
          <cell r="C1404" t="str">
            <v>6365RDS-8972-701</v>
          </cell>
          <cell r="D1404" t="str">
            <v>6365RDS</v>
          </cell>
          <cell r="E1404" t="str">
            <v>6365RDS GLOCK 47 X300U COR MLTCM RH</v>
          </cell>
          <cell r="F1404" t="str">
            <v>DG-HOLSTER-RDS</v>
          </cell>
          <cell r="G1404" t="str">
            <v>1420-210-FG</v>
          </cell>
          <cell r="H1404" t="str">
            <v>R</v>
          </cell>
          <cell r="I1404" t="str">
            <v>06/12/2024</v>
          </cell>
          <cell r="J1404" t="str">
            <v>06/12/2024</v>
          </cell>
          <cell r="K1404" t="str">
            <v>06/21/2024</v>
          </cell>
          <cell r="L1404">
            <v>1</v>
          </cell>
          <cell r="M1404" t="str">
            <v>6/12/2024 4:08:46 PM</v>
          </cell>
          <cell r="N1404" t="str">
            <v>25</v>
          </cell>
          <cell r="O1404">
            <v>1</v>
          </cell>
          <cell r="P1404">
            <v>0.4</v>
          </cell>
        </row>
        <row r="1405">
          <cell r="A1405" t="str">
            <v>6723600</v>
          </cell>
          <cell r="B1405" t="str">
            <v>1207986</v>
          </cell>
          <cell r="C1405" t="str">
            <v>6365RDS-4502-411</v>
          </cell>
          <cell r="D1405" t="str">
            <v>6365RDS</v>
          </cell>
          <cell r="E1405" t="str">
            <v>6365RDS SIG 320RX X300U STX PLN BLK RH</v>
          </cell>
          <cell r="F1405" t="str">
            <v>DG-HOLSTER-RDS</v>
          </cell>
          <cell r="G1405" t="str">
            <v>1420-210-FG</v>
          </cell>
          <cell r="H1405" t="str">
            <v>R</v>
          </cell>
          <cell r="I1405" t="str">
            <v>06/03/2024</v>
          </cell>
          <cell r="J1405" t="str">
            <v>06/03/2024</v>
          </cell>
          <cell r="K1405" t="str">
            <v>06/21/2024</v>
          </cell>
          <cell r="L1405">
            <v>5</v>
          </cell>
          <cell r="M1405" t="str">
            <v>6/13/2024 7:46:31 AM</v>
          </cell>
          <cell r="N1405" t="str">
            <v>25</v>
          </cell>
          <cell r="O1405">
            <v>5</v>
          </cell>
          <cell r="P1405">
            <v>2.17</v>
          </cell>
        </row>
        <row r="1406">
          <cell r="A1406" t="str">
            <v>6723519</v>
          </cell>
          <cell r="B1406" t="str">
            <v>1207984</v>
          </cell>
          <cell r="C1406" t="str">
            <v>6365RDS-4502-131</v>
          </cell>
          <cell r="D1406" t="str">
            <v>6365RDS</v>
          </cell>
          <cell r="E1406" t="str">
            <v>6365RDS SIG 320RX X300U STX TAC BLK RH</v>
          </cell>
          <cell r="F1406" t="str">
            <v>DG-HOLSTER-RDS</v>
          </cell>
          <cell r="G1406" t="str">
            <v>1420-210-FG</v>
          </cell>
          <cell r="H1406" t="str">
            <v>R</v>
          </cell>
          <cell r="I1406" t="str">
            <v>06/03/2024</v>
          </cell>
          <cell r="J1406" t="str">
            <v>06/03/2024</v>
          </cell>
          <cell r="K1406" t="str">
            <v>06/21/2024</v>
          </cell>
          <cell r="L1406">
            <v>12</v>
          </cell>
          <cell r="M1406" t="str">
            <v>6/13/2024 7:45:59 AM</v>
          </cell>
          <cell r="N1406" t="str">
            <v>25</v>
          </cell>
          <cell r="O1406">
            <v>12</v>
          </cell>
          <cell r="P1406">
            <v>5.2</v>
          </cell>
        </row>
        <row r="1407">
          <cell r="A1407" t="str">
            <v>6728164</v>
          </cell>
          <cell r="B1407" t="str">
            <v>1333425</v>
          </cell>
          <cell r="C1407" t="str">
            <v>6365RDS-75227-481</v>
          </cell>
          <cell r="D1407" t="str">
            <v>6365RDS</v>
          </cell>
          <cell r="E1407" t="str">
            <v>6365RDS SIG P320C RX TLR7 STX BSK BLK RH</v>
          </cell>
          <cell r="F1407" t="str">
            <v>DG-HOLSTER-RDS</v>
          </cell>
          <cell r="G1407" t="str">
            <v>1420-210-FG</v>
          </cell>
          <cell r="H1407" t="str">
            <v>R</v>
          </cell>
          <cell r="I1407" t="str">
            <v>06/11/2024</v>
          </cell>
          <cell r="J1407" t="str">
            <v>06/17/2024</v>
          </cell>
          <cell r="K1407" t="str">
            <v>06/21/2024</v>
          </cell>
          <cell r="L1407">
            <v>1</v>
          </cell>
          <cell r="M1407" t="str">
            <v>6/13/2024 7:53:54 AM</v>
          </cell>
          <cell r="N1407" t="str">
            <v>25</v>
          </cell>
          <cell r="O1407">
            <v>1</v>
          </cell>
          <cell r="P1407">
            <v>0.43</v>
          </cell>
        </row>
        <row r="1408">
          <cell r="A1408" t="str">
            <v>6728688</v>
          </cell>
          <cell r="B1408" t="str">
            <v>1333425</v>
          </cell>
          <cell r="C1408" t="str">
            <v>6365RDS-75227-481</v>
          </cell>
          <cell r="D1408" t="str">
            <v>6365RDS</v>
          </cell>
          <cell r="E1408" t="str">
            <v>6365RDS SIG P320C RX TLR7 STX BSK BLK RH</v>
          </cell>
          <cell r="F1408" t="str">
            <v>DG-HOLSTER-RDS</v>
          </cell>
          <cell r="G1408" t="str">
            <v>1420-210-FG</v>
          </cell>
          <cell r="H1408" t="str">
            <v>R</v>
          </cell>
          <cell r="I1408" t="str">
            <v>06/12/2024</v>
          </cell>
          <cell r="J1408" t="str">
            <v>06/17/2024</v>
          </cell>
          <cell r="K1408" t="str">
            <v>06/21/2024</v>
          </cell>
          <cell r="L1408">
            <v>1</v>
          </cell>
          <cell r="M1408" t="str">
            <v>6/13/2024 7:53:54 AM</v>
          </cell>
          <cell r="N1408" t="str">
            <v>25</v>
          </cell>
          <cell r="O1408">
            <v>1</v>
          </cell>
          <cell r="P1408">
            <v>0.43</v>
          </cell>
        </row>
        <row r="1409">
          <cell r="A1409" t="str">
            <v>6728163</v>
          </cell>
          <cell r="B1409" t="str">
            <v>1333423</v>
          </cell>
          <cell r="C1409" t="str">
            <v>6365RDS-75227-411</v>
          </cell>
          <cell r="D1409" t="str">
            <v>6365RDS</v>
          </cell>
          <cell r="E1409" t="str">
            <v>6365RDS SIG P320C RX TLR7 STX PLN BLK RH</v>
          </cell>
          <cell r="F1409" t="str">
            <v>DG-HOLSTER-RDS</v>
          </cell>
          <cell r="G1409" t="str">
            <v>1420-210-FG</v>
          </cell>
          <cell r="H1409" t="str">
            <v>R</v>
          </cell>
          <cell r="I1409" t="str">
            <v>06/11/2024</v>
          </cell>
          <cell r="J1409" t="str">
            <v>06/17/2024</v>
          </cell>
          <cell r="K1409" t="str">
            <v>06/21/2024</v>
          </cell>
          <cell r="L1409">
            <v>1</v>
          </cell>
          <cell r="M1409" t="str">
            <v>6/13/2024 7:53:54 AM</v>
          </cell>
          <cell r="N1409" t="str">
            <v>25</v>
          </cell>
          <cell r="O1409">
            <v>1</v>
          </cell>
          <cell r="P1409">
            <v>0.43</v>
          </cell>
        </row>
        <row r="1410">
          <cell r="A1410" t="str">
            <v>6728594</v>
          </cell>
          <cell r="B1410" t="str">
            <v>1324644</v>
          </cell>
          <cell r="C1410" t="str">
            <v>6365RDS-1582-132</v>
          </cell>
          <cell r="D1410" t="str">
            <v>6365RDS</v>
          </cell>
          <cell r="E1410" t="str">
            <v>6365RDS STI STACC P 4.4" X300U STXBLK LH</v>
          </cell>
          <cell r="F1410" t="str">
            <v>DG-HOLSTER-RDS</v>
          </cell>
          <cell r="G1410" t="str">
            <v>1420-210-FG</v>
          </cell>
          <cell r="H1410" t="str">
            <v>R</v>
          </cell>
          <cell r="I1410" t="str">
            <v>06/12/2024</v>
          </cell>
          <cell r="J1410" t="str">
            <v>06/12/2024</v>
          </cell>
          <cell r="K1410" t="str">
            <v>06/21/2024</v>
          </cell>
          <cell r="L1410">
            <v>9</v>
          </cell>
          <cell r="M1410" t="str">
            <v>6/12/2024 3:55:19 PM</v>
          </cell>
          <cell r="N1410" t="str">
            <v>25</v>
          </cell>
          <cell r="O1410">
            <v>9</v>
          </cell>
          <cell r="P1410">
            <v>3.6</v>
          </cell>
        </row>
        <row r="1411">
          <cell r="A1411" t="str">
            <v>6728253</v>
          </cell>
          <cell r="B1411" t="str">
            <v>1336507</v>
          </cell>
          <cell r="C1411" t="str">
            <v>6365RDS-4842-131</v>
          </cell>
          <cell r="D1411" t="str">
            <v>6365RDS</v>
          </cell>
          <cell r="E1411" t="str">
            <v>6365RDS WLTHRPDP 4"  X300U STXTAC BLK RH</v>
          </cell>
          <cell r="F1411" t="str">
            <v>DG-HOLSTER-RDS-DTC</v>
          </cell>
          <cell r="G1411" t="str">
            <v>1420-210-FG</v>
          </cell>
          <cell r="H1411" t="str">
            <v>R</v>
          </cell>
          <cell r="I1411" t="str">
            <v>06/11/2024</v>
          </cell>
          <cell r="J1411" t="str">
            <v>06/17/2024</v>
          </cell>
          <cell r="K1411" t="str">
            <v>06/21/2024</v>
          </cell>
          <cell r="L1411">
            <v>2</v>
          </cell>
          <cell r="M1411" t="str">
            <v>6/13/2024 7:53:54 AM</v>
          </cell>
          <cell r="N1411" t="str">
            <v>25</v>
          </cell>
          <cell r="O1411">
            <v>2</v>
          </cell>
          <cell r="P1411">
            <v>0.87</v>
          </cell>
        </row>
        <row r="1412">
          <cell r="A1412" t="str">
            <v>6728248</v>
          </cell>
          <cell r="B1412" t="str">
            <v>1336348</v>
          </cell>
          <cell r="C1412" t="str">
            <v>6365RDS-5842-131</v>
          </cell>
          <cell r="D1412" t="str">
            <v>6365RDS</v>
          </cell>
          <cell r="E1412" t="str">
            <v>6365RDS WLTHRPDP 4.5 X300U STXTAC BLK RH</v>
          </cell>
          <cell r="F1412" t="str">
            <v>DG-HOLSTER-RDS-DTC</v>
          </cell>
          <cell r="G1412" t="str">
            <v>1420-210-FG</v>
          </cell>
          <cell r="H1412" t="str">
            <v>R</v>
          </cell>
          <cell r="I1412" t="str">
            <v>06/11/2024</v>
          </cell>
          <cell r="J1412" t="str">
            <v>06/13/2024</v>
          </cell>
          <cell r="K1412" t="str">
            <v>06/21/2024</v>
          </cell>
          <cell r="L1412">
            <v>2</v>
          </cell>
          <cell r="M1412" t="str">
            <v>6/13/2024 7:53:54 AM</v>
          </cell>
          <cell r="N1412" t="str">
            <v>25</v>
          </cell>
          <cell r="O1412">
            <v>2</v>
          </cell>
          <cell r="P1412">
            <v>0.87</v>
          </cell>
        </row>
        <row r="1413">
          <cell r="A1413" t="str">
            <v>6728636</v>
          </cell>
          <cell r="B1413" t="str">
            <v>1196887</v>
          </cell>
          <cell r="C1413" t="str">
            <v>6367-673-61</v>
          </cell>
          <cell r="D1413" t="str">
            <v>6367</v>
          </cell>
          <cell r="E1413" t="str">
            <v>6367 BERETTA APX PLN BLK RH</v>
          </cell>
          <cell r="F1413" t="str">
            <v>DG-HOLSTER</v>
          </cell>
          <cell r="G1413" t="str">
            <v>1420-210-FG</v>
          </cell>
          <cell r="H1413" t="str">
            <v>R</v>
          </cell>
          <cell r="I1413" t="str">
            <v>06/12/2024</v>
          </cell>
          <cell r="J1413" t="str">
            <v>06/12/2024</v>
          </cell>
          <cell r="K1413" t="str">
            <v>06/21/2024</v>
          </cell>
          <cell r="L1413">
            <v>1</v>
          </cell>
          <cell r="M1413" t="str">
            <v>6/12/2024 3:57:34 PM</v>
          </cell>
          <cell r="N1413" t="str">
            <v>25</v>
          </cell>
          <cell r="O1413">
            <v>1</v>
          </cell>
          <cell r="P1413">
            <v>0.2</v>
          </cell>
        </row>
        <row r="1414">
          <cell r="A1414" t="str">
            <v>6728694</v>
          </cell>
          <cell r="B1414" t="str">
            <v>1304590</v>
          </cell>
          <cell r="C1414" t="str">
            <v>6367-150-131</v>
          </cell>
          <cell r="D1414" t="str">
            <v>6367</v>
          </cell>
          <cell r="E1414" t="str">
            <v>6367 CANIK TP9SF STX TAC BLK RH</v>
          </cell>
          <cell r="F1414" t="str">
            <v>DG-HOLSTER</v>
          </cell>
          <cell r="G1414" t="str">
            <v>1420-210-FG</v>
          </cell>
          <cell r="H1414" t="str">
            <v>R</v>
          </cell>
          <cell r="I1414" t="str">
            <v>06/12/2024</v>
          </cell>
          <cell r="J1414" t="str">
            <v>06/12/2024</v>
          </cell>
          <cell r="K1414" t="str">
            <v>06/21/2024</v>
          </cell>
          <cell r="L1414">
            <v>1</v>
          </cell>
          <cell r="M1414" t="str">
            <v>6/12/2024 3:55:19 PM</v>
          </cell>
          <cell r="N1414" t="str">
            <v>25</v>
          </cell>
          <cell r="O1414">
            <v>1</v>
          </cell>
          <cell r="P1414">
            <v>0.19</v>
          </cell>
        </row>
        <row r="1415">
          <cell r="A1415" t="str">
            <v>6727935</v>
          </cell>
          <cell r="B1415" t="str">
            <v>1130054</v>
          </cell>
          <cell r="C1415" t="str">
            <v>6377-2192-411</v>
          </cell>
          <cell r="D1415" t="str">
            <v>6377</v>
          </cell>
          <cell r="E1415" t="str">
            <v>6377 S&amp;W M&amp;P9/40 4IN X300 STX PLN BLK RH</v>
          </cell>
          <cell r="F1415" t="str">
            <v>DG-HOLSTER</v>
          </cell>
          <cell r="G1415" t="str">
            <v>1420-210-FG</v>
          </cell>
          <cell r="H1415" t="str">
            <v>R</v>
          </cell>
          <cell r="I1415" t="str">
            <v>06/11/2024</v>
          </cell>
          <cell r="J1415" t="str">
            <v>06/14/2024</v>
          </cell>
          <cell r="K1415" t="str">
            <v>06/21/2024</v>
          </cell>
          <cell r="L1415">
            <v>6</v>
          </cell>
          <cell r="M1415" t="str">
            <v>6/12/2024 4:16:03 PM</v>
          </cell>
          <cell r="N1415" t="str">
            <v>25</v>
          </cell>
          <cell r="O1415">
            <v>6</v>
          </cell>
          <cell r="P1415">
            <v>3.87</v>
          </cell>
        </row>
        <row r="1416">
          <cell r="A1416" t="str">
            <v>6728014</v>
          </cell>
          <cell r="B1416" t="str">
            <v>1179174</v>
          </cell>
          <cell r="C1416" t="str">
            <v>6378-181-411-AG</v>
          </cell>
          <cell r="D1416" t="str">
            <v>6378</v>
          </cell>
          <cell r="E1416" t="str">
            <v>6378 BER PX4 STORM DAO STX PLN BLK RH</v>
          </cell>
          <cell r="F1416" t="str">
            <v>DG-HOLSTER-DTC</v>
          </cell>
          <cell r="G1416" t="str">
            <v>1420-210-FG</v>
          </cell>
          <cell r="H1416" t="str">
            <v>R</v>
          </cell>
          <cell r="I1416" t="str">
            <v>06/11/2024</v>
          </cell>
          <cell r="J1416" t="str">
            <v>06/13/2024</v>
          </cell>
          <cell r="K1416" t="str">
            <v>06/21/2024</v>
          </cell>
          <cell r="L1416">
            <v>56</v>
          </cell>
          <cell r="M1416" t="str">
            <v>6/12/2024 4:16:03 PM</v>
          </cell>
          <cell r="N1416" t="str">
            <v>25</v>
          </cell>
          <cell r="O1416">
            <v>56</v>
          </cell>
          <cell r="P1416">
            <v>23.37</v>
          </cell>
        </row>
        <row r="1417">
          <cell r="A1417" t="str">
            <v>6728081</v>
          </cell>
          <cell r="B1417" t="str">
            <v>1164877</v>
          </cell>
          <cell r="C1417" t="str">
            <v>6378-53-762</v>
          </cell>
          <cell r="D1417" t="str">
            <v>6378</v>
          </cell>
          <cell r="E1417" t="str">
            <v>6378 COLT 1911 STX TAC CYTB LH</v>
          </cell>
          <cell r="F1417" t="str">
            <v>DG-HOLSTER-DTC</v>
          </cell>
          <cell r="G1417" t="str">
            <v>1420-210-FG</v>
          </cell>
          <cell r="H1417" t="str">
            <v>R</v>
          </cell>
          <cell r="I1417" t="str">
            <v>06/11/2024</v>
          </cell>
          <cell r="J1417" t="str">
            <v>06/13/2024</v>
          </cell>
          <cell r="K1417" t="str">
            <v>06/21/2024</v>
          </cell>
          <cell r="L1417">
            <v>1</v>
          </cell>
          <cell r="M1417" t="str">
            <v>6/12/2024 4:22:52 PM</v>
          </cell>
          <cell r="N1417" t="str">
            <v>25</v>
          </cell>
          <cell r="O1417">
            <v>1</v>
          </cell>
          <cell r="P1417">
            <v>0.41</v>
          </cell>
        </row>
        <row r="1418">
          <cell r="A1418" t="str">
            <v>6728047</v>
          </cell>
          <cell r="B1418" t="str">
            <v>1127302</v>
          </cell>
          <cell r="C1418" t="str">
            <v>6378-53-541</v>
          </cell>
          <cell r="D1418" t="str">
            <v>6378</v>
          </cell>
          <cell r="E1418" t="str">
            <v>6378 COLT 1911 STX TAC FGR RH</v>
          </cell>
          <cell r="F1418" t="str">
            <v>DG-HOLSTER-DTC</v>
          </cell>
          <cell r="G1418" t="str">
            <v>1420-210-FG</v>
          </cell>
          <cell r="H1418" t="str">
            <v>R</v>
          </cell>
          <cell r="I1418" t="str">
            <v>06/11/2024</v>
          </cell>
          <cell r="J1418" t="str">
            <v>06/17/2024</v>
          </cell>
          <cell r="K1418" t="str">
            <v>06/21/2024</v>
          </cell>
          <cell r="L1418">
            <v>1</v>
          </cell>
          <cell r="M1418" t="str">
            <v>6/12/2024 4:21:17 PM</v>
          </cell>
          <cell r="N1418" t="str">
            <v>25</v>
          </cell>
          <cell r="O1418">
            <v>1</v>
          </cell>
          <cell r="P1418">
            <v>0.41</v>
          </cell>
        </row>
        <row r="1419">
          <cell r="A1419" t="str">
            <v>6728097</v>
          </cell>
          <cell r="B1419" t="str">
            <v>1305232</v>
          </cell>
          <cell r="C1419" t="str">
            <v>6378-8310-761-DM-NP</v>
          </cell>
          <cell r="D1419" t="str">
            <v>6378</v>
          </cell>
          <cell r="E1419" t="str">
            <v>6378 GLOCK 17/22 GTL10 STX TAC CYB RH</v>
          </cell>
          <cell r="F1419" t="str">
            <v>DG-HOLSTER-DTC</v>
          </cell>
          <cell r="G1419" t="str">
            <v>1420-210-FG</v>
          </cell>
          <cell r="H1419" t="str">
            <v>R</v>
          </cell>
          <cell r="I1419" t="str">
            <v>06/11/2024</v>
          </cell>
          <cell r="J1419" t="str">
            <v>06/13/2024</v>
          </cell>
          <cell r="K1419" t="str">
            <v>06/21/2024</v>
          </cell>
          <cell r="L1419">
            <v>1</v>
          </cell>
          <cell r="M1419" t="str">
            <v>6/12/2024 4:23:07 PM</v>
          </cell>
          <cell r="N1419" t="str">
            <v>25</v>
          </cell>
          <cell r="O1419">
            <v>1</v>
          </cell>
          <cell r="P1419">
            <v>0.37</v>
          </cell>
        </row>
        <row r="1420">
          <cell r="A1420" t="str">
            <v>6728064</v>
          </cell>
          <cell r="B1420" t="str">
            <v>1137945</v>
          </cell>
          <cell r="C1420" t="str">
            <v>6378-832-562</v>
          </cell>
          <cell r="D1420" t="str">
            <v>6378</v>
          </cell>
          <cell r="E1420" t="str">
            <v>6378 GLOCK 17/22 W/X300 STX TAC ODG LH</v>
          </cell>
          <cell r="F1420" t="str">
            <v>DG-HOLSTER-DTC</v>
          </cell>
          <cell r="G1420" t="str">
            <v>1420-210-FG</v>
          </cell>
          <cell r="H1420" t="str">
            <v>R</v>
          </cell>
          <cell r="I1420" t="str">
            <v>06/11/2024</v>
          </cell>
          <cell r="J1420" t="str">
            <v>06/17/2024</v>
          </cell>
          <cell r="K1420" t="str">
            <v>06/21/2024</v>
          </cell>
          <cell r="L1420">
            <v>1</v>
          </cell>
          <cell r="M1420" t="str">
            <v>6/12/2024 4:18:37 PM</v>
          </cell>
          <cell r="N1420" t="str">
            <v>25</v>
          </cell>
          <cell r="O1420">
            <v>1</v>
          </cell>
          <cell r="P1420">
            <v>0.66</v>
          </cell>
        </row>
        <row r="1421">
          <cell r="A1421" t="str">
            <v>6728086</v>
          </cell>
          <cell r="B1421" t="str">
            <v>1201049</v>
          </cell>
          <cell r="C1421" t="str">
            <v>6378-283-492</v>
          </cell>
          <cell r="D1421" t="str">
            <v>6378</v>
          </cell>
          <cell r="E1421" t="str">
            <v>6378 GLOCK 19/23 STX HGS BLK LH</v>
          </cell>
          <cell r="F1421" t="str">
            <v>DG-HOLSTER-DTC</v>
          </cell>
          <cell r="G1421" t="str">
            <v>1420-210-FG</v>
          </cell>
          <cell r="H1421" t="str">
            <v>R</v>
          </cell>
          <cell r="I1421" t="str">
            <v>06/11/2024</v>
          </cell>
          <cell r="J1421" t="str">
            <v>06/17/2024</v>
          </cell>
          <cell r="K1421" t="str">
            <v>06/21/2024</v>
          </cell>
          <cell r="L1421">
            <v>1</v>
          </cell>
          <cell r="M1421" t="str">
            <v>6/12/2024 4:22:27 PM</v>
          </cell>
          <cell r="N1421" t="str">
            <v>25</v>
          </cell>
          <cell r="O1421">
            <v>1</v>
          </cell>
          <cell r="P1421">
            <v>0.25</v>
          </cell>
        </row>
        <row r="1422">
          <cell r="A1422" t="str">
            <v>6728073</v>
          </cell>
          <cell r="B1422" t="str">
            <v>1152305</v>
          </cell>
          <cell r="C1422" t="str">
            <v>6378-383-492</v>
          </cell>
          <cell r="D1422" t="str">
            <v>6378</v>
          </cell>
          <cell r="E1422" t="str">
            <v>6378 GLOCK 20/21  STX HGS BLK LH</v>
          </cell>
          <cell r="F1422" t="str">
            <v>DG-HOLSTER-DTC</v>
          </cell>
          <cell r="G1422" t="str">
            <v>1420-210-FG</v>
          </cell>
          <cell r="H1422" t="str">
            <v>R</v>
          </cell>
          <cell r="I1422" t="str">
            <v>06/11/2024</v>
          </cell>
          <cell r="J1422" t="str">
            <v>06/17/2024</v>
          </cell>
          <cell r="K1422" t="str">
            <v>06/21/2024</v>
          </cell>
          <cell r="L1422">
            <v>1</v>
          </cell>
          <cell r="M1422" t="str">
            <v>6/12/2024 4:22:12 PM</v>
          </cell>
          <cell r="N1422" t="str">
            <v>25</v>
          </cell>
          <cell r="O1422">
            <v>1</v>
          </cell>
          <cell r="P1422">
            <v>0.42</v>
          </cell>
        </row>
        <row r="1423">
          <cell r="A1423" t="str">
            <v>6728045</v>
          </cell>
          <cell r="B1423" t="str">
            <v>1126608</v>
          </cell>
          <cell r="C1423" t="str">
            <v>6378-383-541</v>
          </cell>
          <cell r="D1423" t="str">
            <v>6378</v>
          </cell>
          <cell r="E1423" t="str">
            <v>6378 GLOCK 20/21  STX TAC FGR RH</v>
          </cell>
          <cell r="F1423" t="str">
            <v>DG-HOLSTER-DTC</v>
          </cell>
          <cell r="G1423" t="str">
            <v>1420-210-FG</v>
          </cell>
          <cell r="H1423" t="str">
            <v>R</v>
          </cell>
          <cell r="I1423" t="str">
            <v>06/11/2024</v>
          </cell>
          <cell r="J1423" t="str">
            <v>06/17/2024</v>
          </cell>
          <cell r="K1423" t="str">
            <v>06/21/2024</v>
          </cell>
          <cell r="L1423">
            <v>1</v>
          </cell>
          <cell r="M1423" t="str">
            <v>6/12/2024 4:21:00 PM</v>
          </cell>
          <cell r="N1423" t="str">
            <v>25</v>
          </cell>
          <cell r="O1423">
            <v>1</v>
          </cell>
          <cell r="P1423">
            <v>0.41</v>
          </cell>
        </row>
        <row r="1424">
          <cell r="A1424" t="str">
            <v>6727640</v>
          </cell>
          <cell r="B1424" t="str">
            <v>1139731</v>
          </cell>
          <cell r="C1424" t="str">
            <v>6378-3832-411</v>
          </cell>
          <cell r="D1424" t="str">
            <v>6378</v>
          </cell>
          <cell r="E1424" t="str">
            <v>6378 GLOCK 20/21 W/X300 STX PLN BLK RH</v>
          </cell>
          <cell r="F1424" t="str">
            <v>DG-HOLSTER-DTC</v>
          </cell>
          <cell r="G1424" t="str">
            <v>1420-210-FG</v>
          </cell>
          <cell r="H1424" t="str">
            <v>R</v>
          </cell>
          <cell r="I1424" t="str">
            <v>06/11/2024</v>
          </cell>
          <cell r="J1424" t="str">
            <v>06/11/2024</v>
          </cell>
          <cell r="K1424" t="str">
            <v>06/21/2024</v>
          </cell>
          <cell r="L1424">
            <v>10</v>
          </cell>
          <cell r="M1424" t="str">
            <v>6/12/2024 4:16:03 PM</v>
          </cell>
          <cell r="N1424" t="str">
            <v>25</v>
          </cell>
          <cell r="O1424">
            <v>10</v>
          </cell>
          <cell r="P1424">
            <v>6.42</v>
          </cell>
        </row>
        <row r="1425">
          <cell r="A1425" t="str">
            <v>6728084</v>
          </cell>
          <cell r="B1425" t="str">
            <v>1171793</v>
          </cell>
          <cell r="C1425" t="str">
            <v>6378-485-131</v>
          </cell>
          <cell r="D1425" t="str">
            <v>6378</v>
          </cell>
          <cell r="E1425" t="str">
            <v>6378 GLOCK 30S STX TAC BLK RH</v>
          </cell>
          <cell r="F1425" t="str">
            <v>DG-HOLSTER-DTC</v>
          </cell>
          <cell r="G1425" t="str">
            <v>1420-210-FG</v>
          </cell>
          <cell r="H1425" t="str">
            <v>R</v>
          </cell>
          <cell r="I1425" t="str">
            <v>06/11/2024</v>
          </cell>
          <cell r="J1425" t="str">
            <v>06/14/2024</v>
          </cell>
          <cell r="K1425" t="str">
            <v>06/21/2024</v>
          </cell>
          <cell r="L1425">
            <v>1</v>
          </cell>
          <cell r="M1425" t="str">
            <v>6/12/2024 4:13:49 PM</v>
          </cell>
          <cell r="N1425" t="str">
            <v>25</v>
          </cell>
          <cell r="O1425">
            <v>1</v>
          </cell>
          <cell r="P1425">
            <v>0.41</v>
          </cell>
        </row>
        <row r="1426">
          <cell r="A1426" t="str">
            <v>6728083</v>
          </cell>
          <cell r="B1426" t="str">
            <v>1167044</v>
          </cell>
          <cell r="C1426" t="str">
            <v>6378-395-561</v>
          </cell>
          <cell r="D1426" t="str">
            <v>6378</v>
          </cell>
          <cell r="E1426" t="str">
            <v>6378 H&amp;K P30L STX TAC ODG RH</v>
          </cell>
          <cell r="F1426" t="str">
            <v>DG-HOLSTER-DTC</v>
          </cell>
          <cell r="G1426" t="str">
            <v>1420-210-FG</v>
          </cell>
          <cell r="H1426" t="str">
            <v>R</v>
          </cell>
          <cell r="I1426" t="str">
            <v>06/11/2024</v>
          </cell>
          <cell r="J1426" t="str">
            <v>06/14/2024</v>
          </cell>
          <cell r="K1426" t="str">
            <v>06/21/2024</v>
          </cell>
          <cell r="L1426">
            <v>1</v>
          </cell>
          <cell r="M1426" t="str">
            <v>6/12/2024 4:19:10 PM</v>
          </cell>
          <cell r="N1426" t="str">
            <v>25</v>
          </cell>
          <cell r="O1426">
            <v>1</v>
          </cell>
          <cell r="P1426">
            <v>0.41</v>
          </cell>
        </row>
        <row r="1427">
          <cell r="A1427" t="str">
            <v>6728100</v>
          </cell>
          <cell r="B1427" t="str">
            <v>1325128</v>
          </cell>
          <cell r="C1427" t="str">
            <v>6378-91-411-NP</v>
          </cell>
          <cell r="D1427" t="str">
            <v>6378</v>
          </cell>
          <cell r="E1427" t="str">
            <v>6378 H&amp;K USP 9/40 STX PLN BLK RH</v>
          </cell>
          <cell r="F1427" t="str">
            <v>DG-HOLSTER-DTC</v>
          </cell>
          <cell r="G1427" t="str">
            <v>1420-210-FG</v>
          </cell>
          <cell r="H1427" t="str">
            <v>R</v>
          </cell>
          <cell r="I1427" t="str">
            <v>06/11/2024</v>
          </cell>
          <cell r="J1427" t="str">
            <v>06/18/2024</v>
          </cell>
          <cell r="K1427" t="str">
            <v>06/21/2024</v>
          </cell>
          <cell r="L1427">
            <v>12</v>
          </cell>
          <cell r="M1427" t="str">
            <v>6/12/2024 4:16:03 PM</v>
          </cell>
          <cell r="N1427" t="str">
            <v>25</v>
          </cell>
          <cell r="O1427">
            <v>12</v>
          </cell>
          <cell r="P1427">
            <v>2.72</v>
          </cell>
        </row>
        <row r="1428">
          <cell r="A1428" t="str">
            <v>6728059</v>
          </cell>
          <cell r="B1428" t="str">
            <v>1132433</v>
          </cell>
          <cell r="C1428" t="str">
            <v>6378-320-411</v>
          </cell>
          <cell r="D1428" t="str">
            <v>6378</v>
          </cell>
          <cell r="E1428" t="str">
            <v>6378 S&amp;W 5946 DAO STX PLN BLK RH</v>
          </cell>
          <cell r="F1428" t="str">
            <v>DG-HOLSTER-DTC</v>
          </cell>
          <cell r="G1428" t="str">
            <v>1420-210-FG</v>
          </cell>
          <cell r="H1428" t="str">
            <v>R</v>
          </cell>
          <cell r="I1428" t="str">
            <v>06/11/2024</v>
          </cell>
          <cell r="J1428" t="str">
            <v>06/17/2024</v>
          </cell>
          <cell r="K1428" t="str">
            <v>06/21/2024</v>
          </cell>
          <cell r="L1428">
            <v>5</v>
          </cell>
          <cell r="M1428" t="str">
            <v>6/12/2024 4:16:03 PM</v>
          </cell>
          <cell r="N1428" t="str">
            <v>25</v>
          </cell>
          <cell r="O1428">
            <v>5</v>
          </cell>
          <cell r="P1428">
            <v>1.1399999999999999</v>
          </cell>
        </row>
        <row r="1429">
          <cell r="A1429" t="str">
            <v>6728095</v>
          </cell>
          <cell r="B1429" t="str">
            <v>1209650</v>
          </cell>
          <cell r="C1429" t="str">
            <v>6378-2222-412</v>
          </cell>
          <cell r="D1429" t="str">
            <v>6378</v>
          </cell>
          <cell r="E1429" t="str">
            <v>6378 S&amp;W M&amp;P9 2.0 X300U STX PLN BLK LH</v>
          </cell>
          <cell r="F1429" t="str">
            <v>DG-HOLSTER-DTC</v>
          </cell>
          <cell r="G1429" t="str">
            <v>1420-210-FG</v>
          </cell>
          <cell r="H1429" t="str">
            <v>R</v>
          </cell>
          <cell r="I1429" t="str">
            <v>06/11/2024</v>
          </cell>
          <cell r="J1429" t="str">
            <v>06/13/2024</v>
          </cell>
          <cell r="K1429" t="str">
            <v>06/21/2024</v>
          </cell>
          <cell r="L1429">
            <v>5</v>
          </cell>
          <cell r="M1429" t="str">
            <v>6/12/2024 4:16:03 PM</v>
          </cell>
          <cell r="N1429" t="str">
            <v>25</v>
          </cell>
          <cell r="O1429">
            <v>5</v>
          </cell>
          <cell r="P1429">
            <v>1.76</v>
          </cell>
        </row>
        <row r="1430">
          <cell r="A1430" t="str">
            <v>6728094</v>
          </cell>
          <cell r="B1430" t="str">
            <v>1209649</v>
          </cell>
          <cell r="C1430" t="str">
            <v>6378-2222-411</v>
          </cell>
          <cell r="D1430" t="str">
            <v>6378</v>
          </cell>
          <cell r="E1430" t="str">
            <v>6378 S&amp;W M&amp;P9 2.0 X300U STX PLN BLK RH</v>
          </cell>
          <cell r="F1430" t="str">
            <v>DG-HOLSTER-DTC</v>
          </cell>
          <cell r="G1430" t="str">
            <v>1420-210-FG</v>
          </cell>
          <cell r="H1430" t="str">
            <v>R</v>
          </cell>
          <cell r="I1430" t="str">
            <v>06/11/2024</v>
          </cell>
          <cell r="J1430" t="str">
            <v>06/13/2024</v>
          </cell>
          <cell r="K1430" t="str">
            <v>06/21/2024</v>
          </cell>
          <cell r="L1430">
            <v>6</v>
          </cell>
          <cell r="M1430" t="str">
            <v>6/12/2024 4:16:03 PM</v>
          </cell>
          <cell r="N1430" t="str">
            <v>25</v>
          </cell>
          <cell r="O1430">
            <v>6</v>
          </cell>
          <cell r="P1430">
            <v>2.1</v>
          </cell>
        </row>
        <row r="1431">
          <cell r="A1431" t="str">
            <v>6728062</v>
          </cell>
          <cell r="B1431" t="str">
            <v>1136626</v>
          </cell>
          <cell r="C1431" t="str">
            <v>6378-219-491</v>
          </cell>
          <cell r="D1431" t="str">
            <v>6378</v>
          </cell>
          <cell r="E1431" t="str">
            <v>6378 S&amp;W M&amp;P9/40 1.0 STX HI GLS BLK RH</v>
          </cell>
          <cell r="F1431" t="str">
            <v>DG-HOLSTER-DTC</v>
          </cell>
          <cell r="G1431" t="str">
            <v>1420-210-FG</v>
          </cell>
          <cell r="H1431" t="str">
            <v>R</v>
          </cell>
          <cell r="I1431" t="str">
            <v>06/11/2024</v>
          </cell>
          <cell r="J1431" t="str">
            <v>06/17/2024</v>
          </cell>
          <cell r="K1431" t="str">
            <v>06/21/2024</v>
          </cell>
          <cell r="L1431">
            <v>1</v>
          </cell>
          <cell r="M1431" t="str">
            <v>6/12/2024 4:21:58 PM</v>
          </cell>
          <cell r="N1431" t="str">
            <v>25</v>
          </cell>
          <cell r="O1431">
            <v>1</v>
          </cell>
          <cell r="P1431">
            <v>0.44</v>
          </cell>
        </row>
        <row r="1432">
          <cell r="A1432" t="str">
            <v>6728078</v>
          </cell>
          <cell r="B1432" t="str">
            <v>1160172</v>
          </cell>
          <cell r="C1432" t="str">
            <v>6378-7742-541</v>
          </cell>
          <cell r="D1432" t="str">
            <v>6378</v>
          </cell>
          <cell r="E1432" t="str">
            <v>6378 SIG P226R W/X200 STX TAC FGR RH</v>
          </cell>
          <cell r="F1432" t="str">
            <v>DG-HOLSTER-DTC</v>
          </cell>
          <cell r="G1432" t="str">
            <v>1420-210-FG</v>
          </cell>
          <cell r="H1432" t="str">
            <v>R</v>
          </cell>
          <cell r="I1432" t="str">
            <v>06/11/2024</v>
          </cell>
          <cell r="J1432" t="str">
            <v>06/14/2024</v>
          </cell>
          <cell r="K1432" t="str">
            <v>06/21/2024</v>
          </cell>
          <cell r="L1432">
            <v>1</v>
          </cell>
          <cell r="M1432" t="str">
            <v>6/12/2024 4:21:34 PM</v>
          </cell>
          <cell r="N1432" t="str">
            <v>25</v>
          </cell>
          <cell r="O1432">
            <v>1</v>
          </cell>
          <cell r="P1432">
            <v>0.63</v>
          </cell>
        </row>
        <row r="1433">
          <cell r="A1433" t="str">
            <v>6728076</v>
          </cell>
          <cell r="B1433" t="str">
            <v>1155590</v>
          </cell>
          <cell r="C1433" t="str">
            <v>6378-7742-561</v>
          </cell>
          <cell r="D1433" t="str">
            <v>6378</v>
          </cell>
          <cell r="E1433" t="str">
            <v>6378 SIG P226R W/X200 STX TAC ODG RH</v>
          </cell>
          <cell r="F1433" t="str">
            <v>DG-HOLSTER-DTC</v>
          </cell>
          <cell r="G1433" t="str">
            <v>1420-210-FG</v>
          </cell>
          <cell r="H1433" t="str">
            <v>R</v>
          </cell>
          <cell r="I1433" t="str">
            <v>06/11/2024</v>
          </cell>
          <cell r="J1433" t="str">
            <v>06/14/2024</v>
          </cell>
          <cell r="K1433" t="str">
            <v>06/21/2024</v>
          </cell>
          <cell r="L1433">
            <v>1</v>
          </cell>
          <cell r="M1433" t="str">
            <v>6/12/2024 4:18:51 PM</v>
          </cell>
          <cell r="N1433" t="str">
            <v>25</v>
          </cell>
          <cell r="O1433">
            <v>1</v>
          </cell>
          <cell r="P1433">
            <v>0.63</v>
          </cell>
        </row>
        <row r="1434">
          <cell r="A1434" t="str">
            <v>6728072</v>
          </cell>
          <cell r="B1434" t="str">
            <v>1151676</v>
          </cell>
          <cell r="C1434" t="str">
            <v>6378-754-551</v>
          </cell>
          <cell r="D1434" t="str">
            <v>6378</v>
          </cell>
          <cell r="E1434" t="str">
            <v>6378 SIG P239 STX TAC FDE RH</v>
          </cell>
          <cell r="F1434" t="str">
            <v>DG-HOLSTER-DTC</v>
          </cell>
          <cell r="G1434" t="str">
            <v>1420-210-FG</v>
          </cell>
          <cell r="H1434" t="str">
            <v>R</v>
          </cell>
          <cell r="I1434" t="str">
            <v>06/11/2024</v>
          </cell>
          <cell r="J1434" t="str">
            <v>06/17/2024</v>
          </cell>
          <cell r="K1434" t="str">
            <v>06/21/2024</v>
          </cell>
          <cell r="L1434">
            <v>1</v>
          </cell>
          <cell r="M1434" t="str">
            <v>6/12/2024 4:27:36 PM</v>
          </cell>
          <cell r="N1434" t="str">
            <v>25</v>
          </cell>
          <cell r="O1434">
            <v>1</v>
          </cell>
          <cell r="P1434">
            <v>0.41</v>
          </cell>
        </row>
        <row r="1435">
          <cell r="A1435" t="str">
            <v>6728247</v>
          </cell>
          <cell r="B1435" t="str">
            <v>1336326</v>
          </cell>
          <cell r="C1435" t="str">
            <v>6378RDS-2582-411</v>
          </cell>
          <cell r="D1435" t="str">
            <v>6378RDS</v>
          </cell>
          <cell r="E1435" t="str">
            <v>6378RDS 2011 STCC 5"X300U STX PLN BLK RH</v>
          </cell>
          <cell r="F1435" t="str">
            <v>DG-HOLSTER-RDS-DTC</v>
          </cell>
          <cell r="G1435" t="str">
            <v>1420-210-FG</v>
          </cell>
          <cell r="H1435" t="str">
            <v>R</v>
          </cell>
          <cell r="I1435" t="str">
            <v>06/11/2024</v>
          </cell>
          <cell r="J1435" t="str">
            <v>06/17/2024</v>
          </cell>
          <cell r="K1435" t="str">
            <v>06/21/2024</v>
          </cell>
          <cell r="L1435">
            <v>2</v>
          </cell>
          <cell r="M1435" t="str">
            <v>6/12/2024 4:06:03 PM</v>
          </cell>
          <cell r="N1435" t="str">
            <v>25</v>
          </cell>
          <cell r="O1435">
            <v>2</v>
          </cell>
          <cell r="P1435">
            <v>0.8</v>
          </cell>
        </row>
        <row r="1436">
          <cell r="A1436" t="str">
            <v>6728251</v>
          </cell>
          <cell r="B1436" t="str">
            <v>1336477</v>
          </cell>
          <cell r="C1436" t="str">
            <v>6378RDS-27027-411</v>
          </cell>
          <cell r="D1436" t="str">
            <v>6378RDS</v>
          </cell>
          <cell r="E1436" t="str">
            <v>6378RDS FN 509 TLR-7  STX PLN BLK RH</v>
          </cell>
          <cell r="F1436" t="str">
            <v>DG-HOLSTER-RDS-DTC</v>
          </cell>
          <cell r="G1436" t="str">
            <v>1420-210-FG</v>
          </cell>
          <cell r="H1436" t="str">
            <v>R</v>
          </cell>
          <cell r="I1436" t="str">
            <v>06/11/2024</v>
          </cell>
          <cell r="J1436" t="str">
            <v>06/14/2024</v>
          </cell>
          <cell r="K1436" t="str">
            <v>06/21/2024</v>
          </cell>
          <cell r="L1436">
            <v>1</v>
          </cell>
          <cell r="M1436" t="str">
            <v>6/13/2024 7:53:54 AM</v>
          </cell>
          <cell r="N1436" t="str">
            <v>25</v>
          </cell>
          <cell r="O1436">
            <v>1</v>
          </cell>
          <cell r="P1436">
            <v>0.4</v>
          </cell>
        </row>
        <row r="1437">
          <cell r="A1437" t="str">
            <v>6728197</v>
          </cell>
          <cell r="B1437" t="str">
            <v>1204760</v>
          </cell>
          <cell r="C1437" t="str">
            <v>6384RDS-832-701</v>
          </cell>
          <cell r="D1437" t="str">
            <v>6384RDS</v>
          </cell>
          <cell r="E1437" t="str">
            <v>6384RDS GLOCK 17MOS X300U COR MLTCM RH</v>
          </cell>
          <cell r="F1437" t="str">
            <v>DG-HOLSTER-RDS-DTC</v>
          </cell>
          <cell r="G1437" t="str">
            <v>1420-210-FG</v>
          </cell>
          <cell r="H1437" t="str">
            <v>R</v>
          </cell>
          <cell r="I1437" t="str">
            <v>06/11/2024</v>
          </cell>
          <cell r="J1437" t="str">
            <v>06/17/2024</v>
          </cell>
          <cell r="K1437" t="str">
            <v>06/21/2024</v>
          </cell>
          <cell r="L1437">
            <v>5</v>
          </cell>
          <cell r="M1437" t="str">
            <v>6/13/2024 7:59:21 AM</v>
          </cell>
          <cell r="N1437" t="str">
            <v>25</v>
          </cell>
          <cell r="O1437">
            <v>5</v>
          </cell>
          <cell r="P1437">
            <v>2.17</v>
          </cell>
        </row>
        <row r="1438">
          <cell r="A1438" t="str">
            <v>6728637</v>
          </cell>
          <cell r="B1438" t="str">
            <v>1305310</v>
          </cell>
          <cell r="C1438" t="str">
            <v>6390-6732-411</v>
          </cell>
          <cell r="D1438" t="str">
            <v>6390</v>
          </cell>
          <cell r="E1438" t="str">
            <v>6390 BERETTA APX X300U STX TAC BLK RH</v>
          </cell>
          <cell r="F1438" t="str">
            <v>DG-HOLSTER</v>
          </cell>
          <cell r="G1438" t="str">
            <v>1420-210-FG</v>
          </cell>
          <cell r="H1438" t="str">
            <v>R</v>
          </cell>
          <cell r="I1438" t="str">
            <v>06/12/2024</v>
          </cell>
          <cell r="J1438" t="str">
            <v>06/12/2024</v>
          </cell>
          <cell r="K1438" t="str">
            <v>06/21/2024</v>
          </cell>
          <cell r="L1438">
            <v>1</v>
          </cell>
          <cell r="M1438" t="str">
            <v>6/12/2024 3:57:34 PM</v>
          </cell>
          <cell r="N1438" t="str">
            <v>25</v>
          </cell>
          <cell r="O1438">
            <v>1</v>
          </cell>
          <cell r="P1438">
            <v>0.3</v>
          </cell>
        </row>
        <row r="1439">
          <cell r="A1439" t="str">
            <v>6728632</v>
          </cell>
          <cell r="B1439" t="str">
            <v>1160138</v>
          </cell>
          <cell r="C1439" t="str">
            <v>6390-53-412</v>
          </cell>
          <cell r="D1439" t="str">
            <v>6390</v>
          </cell>
          <cell r="E1439" t="str">
            <v>6390 COLT 1911 STX PLN BLK LH</v>
          </cell>
          <cell r="F1439" t="str">
            <v>DG-HOLSTER</v>
          </cell>
          <cell r="G1439" t="str">
            <v>1420-210-FG</v>
          </cell>
          <cell r="H1439" t="str">
            <v>R</v>
          </cell>
          <cell r="I1439" t="str">
            <v>06/12/2024</v>
          </cell>
          <cell r="J1439" t="str">
            <v>06/12/2024</v>
          </cell>
          <cell r="K1439" t="str">
            <v>06/21/2024</v>
          </cell>
          <cell r="L1439">
            <v>1</v>
          </cell>
          <cell r="M1439" t="str">
            <v>6/12/2024 3:57:34 PM</v>
          </cell>
          <cell r="N1439" t="str">
            <v>25</v>
          </cell>
          <cell r="O1439">
            <v>1</v>
          </cell>
          <cell r="P1439">
            <v>0.24</v>
          </cell>
        </row>
        <row r="1440">
          <cell r="A1440" t="str">
            <v>6728635</v>
          </cell>
          <cell r="B1440" t="str">
            <v>1177476</v>
          </cell>
          <cell r="C1440" t="str">
            <v>6390-292-411</v>
          </cell>
          <cell r="D1440" t="str">
            <v>6390</v>
          </cell>
          <cell r="E1440" t="str">
            <v>6390 CZ P07 STX PLN BLK RH</v>
          </cell>
          <cell r="F1440" t="str">
            <v>DG-HOLSTER</v>
          </cell>
          <cell r="G1440" t="str">
            <v>1420-210-FG</v>
          </cell>
          <cell r="H1440" t="str">
            <v>R</v>
          </cell>
          <cell r="I1440" t="str">
            <v>06/12/2024</v>
          </cell>
          <cell r="J1440" t="str">
            <v>06/12/2024</v>
          </cell>
          <cell r="K1440" t="str">
            <v>06/21/2024</v>
          </cell>
          <cell r="L1440">
            <v>1</v>
          </cell>
          <cell r="M1440" t="str">
            <v>6/12/2024 3:57:34 PM</v>
          </cell>
          <cell r="N1440" t="str">
            <v>25</v>
          </cell>
          <cell r="O1440">
            <v>1</v>
          </cell>
          <cell r="P1440">
            <v>0.24</v>
          </cell>
        </row>
        <row r="1441">
          <cell r="A1441" t="str">
            <v>6727952</v>
          </cell>
          <cell r="B1441" t="str">
            <v>1164060</v>
          </cell>
          <cell r="C1441" t="str">
            <v>6390-3832-552</v>
          </cell>
          <cell r="D1441" t="str">
            <v>6390</v>
          </cell>
          <cell r="E1441" t="str">
            <v>6390 GLOCK 20/21 X300 STX TAC FDE LH</v>
          </cell>
          <cell r="F1441" t="str">
            <v>DG-HOLSTER</v>
          </cell>
          <cell r="G1441" t="str">
            <v>1420-210-FG</v>
          </cell>
          <cell r="H1441" t="str">
            <v>R</v>
          </cell>
          <cell r="I1441" t="str">
            <v>06/11/2024</v>
          </cell>
          <cell r="J1441" t="str">
            <v>06/12/2024</v>
          </cell>
          <cell r="K1441" t="str">
            <v>06/21/2024</v>
          </cell>
          <cell r="L1441">
            <v>1</v>
          </cell>
          <cell r="M1441" t="str">
            <v>6/12/2024 3:58:46 PM</v>
          </cell>
          <cell r="N1441" t="str">
            <v>25</v>
          </cell>
          <cell r="O1441">
            <v>1</v>
          </cell>
          <cell r="P1441">
            <v>0.39</v>
          </cell>
        </row>
        <row r="1442">
          <cell r="A1442" t="str">
            <v>6728640</v>
          </cell>
          <cell r="B1442" t="str">
            <v>1328451</v>
          </cell>
          <cell r="C1442" t="str">
            <v>6390-29116-561</v>
          </cell>
          <cell r="D1442" t="str">
            <v>6390</v>
          </cell>
          <cell r="E1442" t="str">
            <v>6390 H&amp;K USP 9/40C TLR-3 STX TAC ODG RH</v>
          </cell>
          <cell r="F1442" t="str">
            <v>DG-HOLSTER</v>
          </cell>
          <cell r="G1442" t="str">
            <v>1420-210-FG</v>
          </cell>
          <cell r="H1442" t="str">
            <v>R</v>
          </cell>
          <cell r="I1442" t="str">
            <v>06/12/2024</v>
          </cell>
          <cell r="J1442" t="str">
            <v>06/12/2024</v>
          </cell>
          <cell r="K1442" t="str">
            <v>06/21/2024</v>
          </cell>
          <cell r="L1442">
            <v>1</v>
          </cell>
          <cell r="M1442" t="str">
            <v>6/12/2024 4:00:07 PM</v>
          </cell>
          <cell r="N1442" t="str">
            <v>25</v>
          </cell>
          <cell r="O1442">
            <v>1</v>
          </cell>
          <cell r="P1442">
            <v>0.39</v>
          </cell>
        </row>
        <row r="1443">
          <cell r="A1443" t="str">
            <v>6728696</v>
          </cell>
          <cell r="B1443" t="str">
            <v>1206280</v>
          </cell>
          <cell r="C1443" t="str">
            <v>6390-1462-491</v>
          </cell>
          <cell r="D1443" t="str">
            <v>6390</v>
          </cell>
          <cell r="E1443" t="str">
            <v>6390 SPRNFLD XDM 40 X300U STX HGS BLK RH</v>
          </cell>
          <cell r="F1443" t="str">
            <v>DG-HOLSTER</v>
          </cell>
          <cell r="G1443" t="str">
            <v>1420-210-FG</v>
          </cell>
          <cell r="H1443" t="str">
            <v>R</v>
          </cell>
          <cell r="I1443" t="str">
            <v>06/12/2024</v>
          </cell>
          <cell r="J1443" t="str">
            <v>06/12/2024</v>
          </cell>
          <cell r="K1443" t="str">
            <v>06/21/2024</v>
          </cell>
          <cell r="L1443">
            <v>1</v>
          </cell>
          <cell r="M1443" t="str">
            <v>6/12/2024 4:03:19 PM</v>
          </cell>
          <cell r="N1443" t="str">
            <v>25</v>
          </cell>
          <cell r="O1443">
            <v>1</v>
          </cell>
          <cell r="P1443">
            <v>0.3</v>
          </cell>
        </row>
        <row r="1444">
          <cell r="A1444" t="str">
            <v>6726860</v>
          </cell>
          <cell r="B1444" t="str">
            <v>1162250</v>
          </cell>
          <cell r="C1444" t="str">
            <v>6390-560-131</v>
          </cell>
          <cell r="D1444" t="str">
            <v>6390</v>
          </cell>
          <cell r="E1444" t="str">
            <v>6390 SPRNGFLD OPR X300  STX TAC BLK RH</v>
          </cell>
          <cell r="F1444" t="str">
            <v>DG-HOLSTER</v>
          </cell>
          <cell r="G1444" t="str">
            <v>1420-210-FG</v>
          </cell>
          <cell r="H1444" t="str">
            <v>F</v>
          </cell>
          <cell r="I1444" t="str">
            <v>06/10/2024</v>
          </cell>
          <cell r="J1444" t="str">
            <v>06/10/2024</v>
          </cell>
          <cell r="K1444" t="str">
            <v>06/21/2024</v>
          </cell>
          <cell r="L1444">
            <v>5</v>
          </cell>
          <cell r="M1444" t="str">
            <v/>
          </cell>
          <cell r="N1444" t="str">
            <v>25</v>
          </cell>
          <cell r="O1444">
            <v>5</v>
          </cell>
          <cell r="P1444">
            <v>1.79</v>
          </cell>
        </row>
        <row r="1445">
          <cell r="A1445" t="str">
            <v>6728634</v>
          </cell>
          <cell r="B1445" t="str">
            <v>1166152</v>
          </cell>
          <cell r="C1445" t="str">
            <v>6390-560-562</v>
          </cell>
          <cell r="D1445" t="str">
            <v>6390</v>
          </cell>
          <cell r="E1445" t="str">
            <v>6390 SPRNGFLD OPR X300  STX TAC ODG LH</v>
          </cell>
          <cell r="F1445" t="str">
            <v>DG-HOLSTER</v>
          </cell>
          <cell r="G1445" t="str">
            <v>1420-210-FG</v>
          </cell>
          <cell r="H1445" t="str">
            <v>R</v>
          </cell>
          <cell r="I1445" t="str">
            <v>06/12/2024</v>
          </cell>
          <cell r="J1445" t="str">
            <v>06/12/2024</v>
          </cell>
          <cell r="K1445" t="str">
            <v>06/21/2024</v>
          </cell>
          <cell r="L1445">
            <v>1</v>
          </cell>
          <cell r="M1445" t="str">
            <v>6/12/2024 3:59:39 PM</v>
          </cell>
          <cell r="N1445" t="str">
            <v>25</v>
          </cell>
          <cell r="O1445">
            <v>1</v>
          </cell>
          <cell r="P1445">
            <v>0.39</v>
          </cell>
        </row>
        <row r="1446">
          <cell r="A1446" t="str">
            <v>6723825</v>
          </cell>
          <cell r="B1446" t="str">
            <v>1204716</v>
          </cell>
          <cell r="C1446" t="str">
            <v>6390RDS-832-702</v>
          </cell>
          <cell r="D1446" t="str">
            <v>6390RDS</v>
          </cell>
          <cell r="E1446" t="str">
            <v>6390RDS GLOCK 17MOS X300U COR MLTCM LH</v>
          </cell>
          <cell r="F1446" t="str">
            <v>DG-HOLSTER-RDS-DTC</v>
          </cell>
          <cell r="G1446" t="str">
            <v>1420-210-FG</v>
          </cell>
          <cell r="H1446" t="str">
            <v>R</v>
          </cell>
          <cell r="I1446" t="str">
            <v>06/03/2024</v>
          </cell>
          <cell r="J1446" t="str">
            <v>06/03/2024</v>
          </cell>
          <cell r="K1446" t="str">
            <v>06/21/2024</v>
          </cell>
          <cell r="L1446">
            <v>5</v>
          </cell>
          <cell r="M1446" t="str">
            <v>6/13/2024 7:59:21 AM</v>
          </cell>
          <cell r="N1446" t="str">
            <v>25</v>
          </cell>
          <cell r="O1446">
            <v>5</v>
          </cell>
          <cell r="P1446">
            <v>2.17</v>
          </cell>
        </row>
        <row r="1447">
          <cell r="A1447" t="str">
            <v>6728180</v>
          </cell>
          <cell r="B1447" t="str">
            <v>1201633</v>
          </cell>
          <cell r="C1447" t="str">
            <v>6390RDS-832-482</v>
          </cell>
          <cell r="D1447" t="str">
            <v>6390RDS</v>
          </cell>
          <cell r="E1447" t="str">
            <v>6390RDS GLOCK 17MOS X300U STX BSK BLK LH</v>
          </cell>
          <cell r="F1447" t="str">
            <v>DG-HOLSTER-RDS-DTC</v>
          </cell>
          <cell r="G1447" t="str">
            <v>1420-210-FG</v>
          </cell>
          <cell r="H1447" t="str">
            <v>R</v>
          </cell>
          <cell r="I1447" t="str">
            <v>06/11/2024</v>
          </cell>
          <cell r="J1447" t="str">
            <v>06/14/2024</v>
          </cell>
          <cell r="K1447" t="str">
            <v>06/21/2024</v>
          </cell>
          <cell r="L1447">
            <v>12</v>
          </cell>
          <cell r="M1447" t="str">
            <v>6/13/2024 7:50:11 AM</v>
          </cell>
          <cell r="N1447" t="str">
            <v>25</v>
          </cell>
          <cell r="O1447">
            <v>12</v>
          </cell>
          <cell r="P1447">
            <v>5.2</v>
          </cell>
        </row>
        <row r="1448">
          <cell r="A1448" t="str">
            <v>6728211</v>
          </cell>
          <cell r="B1448" t="str">
            <v>1321333</v>
          </cell>
          <cell r="C1448" t="str">
            <v>6390RDS-832-492</v>
          </cell>
          <cell r="D1448" t="str">
            <v>6390RDS</v>
          </cell>
          <cell r="E1448" t="str">
            <v>6390RDS GLOCK 17MOS X300U STX HGS BLK LH</v>
          </cell>
          <cell r="F1448" t="str">
            <v>DG-HOLSTER-RDS-DTC</v>
          </cell>
          <cell r="G1448" t="str">
            <v>1420-210-FG</v>
          </cell>
          <cell r="H1448" t="str">
            <v>R</v>
          </cell>
          <cell r="I1448" t="str">
            <v>06/11/2024</v>
          </cell>
          <cell r="J1448" t="str">
            <v>06/17/2024</v>
          </cell>
          <cell r="K1448" t="str">
            <v>06/21/2024</v>
          </cell>
          <cell r="L1448">
            <v>6</v>
          </cell>
          <cell r="M1448" t="str">
            <v>6/13/2024 7:51:23 AM</v>
          </cell>
          <cell r="N1448" t="str">
            <v>25</v>
          </cell>
          <cell r="O1448">
            <v>6</v>
          </cell>
          <cell r="P1448">
            <v>2.6</v>
          </cell>
        </row>
        <row r="1449">
          <cell r="A1449" t="str">
            <v>6728181</v>
          </cell>
          <cell r="B1449" t="str">
            <v>1201956</v>
          </cell>
          <cell r="C1449" t="str">
            <v>6390RDS-832-491</v>
          </cell>
          <cell r="D1449" t="str">
            <v>6390RDS</v>
          </cell>
          <cell r="E1449" t="str">
            <v>6390RDS GLOCK 17MOS X300U STX HGS BLK RH</v>
          </cell>
          <cell r="F1449" t="str">
            <v>DG-HOLSTER-RDS-DTC</v>
          </cell>
          <cell r="G1449" t="str">
            <v>1420-210-FG</v>
          </cell>
          <cell r="H1449" t="str">
            <v>R</v>
          </cell>
          <cell r="I1449" t="str">
            <v>06/11/2024</v>
          </cell>
          <cell r="J1449" t="str">
            <v>06/17/2024</v>
          </cell>
          <cell r="K1449" t="str">
            <v>06/21/2024</v>
          </cell>
          <cell r="L1449">
            <v>27</v>
          </cell>
          <cell r="M1449" t="str">
            <v>6/13/2024 7:50:56 AM</v>
          </cell>
          <cell r="N1449" t="str">
            <v>25</v>
          </cell>
          <cell r="O1449">
            <v>27</v>
          </cell>
          <cell r="P1449">
            <v>11.69</v>
          </cell>
        </row>
        <row r="1450">
          <cell r="A1450" t="str">
            <v>6728231</v>
          </cell>
          <cell r="B1450" t="str">
            <v>1333035</v>
          </cell>
          <cell r="C1450" t="str">
            <v>6390RDS-28327-132</v>
          </cell>
          <cell r="D1450" t="str">
            <v>6390RDS</v>
          </cell>
          <cell r="E1450" t="str">
            <v>6390RDS GLOCK 19MOS TLR-7 STX TAC BLK LH</v>
          </cell>
          <cell r="F1450" t="str">
            <v>DG-HOLSTER-RDS-DTC</v>
          </cell>
          <cell r="G1450" t="str">
            <v>1420-210-FG</v>
          </cell>
          <cell r="H1450" t="str">
            <v>R</v>
          </cell>
          <cell r="I1450" t="str">
            <v>06/11/2024</v>
          </cell>
          <cell r="J1450" t="str">
            <v>06/13/2024</v>
          </cell>
          <cell r="K1450" t="str">
            <v>06/21/2024</v>
          </cell>
          <cell r="L1450">
            <v>5</v>
          </cell>
          <cell r="M1450" t="str">
            <v>6/12/2024 4:24:18 PM</v>
          </cell>
          <cell r="N1450" t="str">
            <v>25</v>
          </cell>
          <cell r="O1450">
            <v>5</v>
          </cell>
          <cell r="P1450">
            <v>2</v>
          </cell>
        </row>
        <row r="1451">
          <cell r="A1451" t="str">
            <v>6728230</v>
          </cell>
          <cell r="B1451" t="str">
            <v>1333034</v>
          </cell>
          <cell r="C1451" t="str">
            <v>6390RDS-28327-131</v>
          </cell>
          <cell r="D1451" t="str">
            <v>6390RDS</v>
          </cell>
          <cell r="E1451" t="str">
            <v>6390RDS GLOCK 19MOS TLR-7 STX TAC BLK RH</v>
          </cell>
          <cell r="F1451" t="str">
            <v>DG-HOLSTER-RDS-DTC</v>
          </cell>
          <cell r="G1451" t="str">
            <v>1420-210-FG</v>
          </cell>
          <cell r="H1451" t="str">
            <v>R</v>
          </cell>
          <cell r="I1451" t="str">
            <v>06/11/2024</v>
          </cell>
          <cell r="J1451" t="str">
            <v>06/14/2024</v>
          </cell>
          <cell r="K1451" t="str">
            <v>06/21/2024</v>
          </cell>
          <cell r="L1451">
            <v>20</v>
          </cell>
          <cell r="M1451" t="str">
            <v>6/12/2024 4:24:03 PM</v>
          </cell>
          <cell r="N1451" t="str">
            <v>25</v>
          </cell>
          <cell r="O1451">
            <v>20</v>
          </cell>
          <cell r="P1451">
            <v>8</v>
          </cell>
        </row>
        <row r="1452">
          <cell r="A1452" t="str">
            <v>6728279</v>
          </cell>
          <cell r="B1452" t="str">
            <v>1333034</v>
          </cell>
          <cell r="C1452" t="str">
            <v>6390RDS-28327-131</v>
          </cell>
          <cell r="D1452" t="str">
            <v>6390RDS</v>
          </cell>
          <cell r="E1452" t="str">
            <v>6390RDS GLOCK 19MOS TLR-7 STX TAC BLK RH</v>
          </cell>
          <cell r="F1452" t="str">
            <v>DG-HOLSTER-RDS-DTC</v>
          </cell>
          <cell r="G1452" t="str">
            <v>1420-210-FG</v>
          </cell>
          <cell r="H1452" t="str">
            <v>R</v>
          </cell>
          <cell r="I1452" t="str">
            <v>06/11/2024</v>
          </cell>
          <cell r="J1452" t="str">
            <v>06/13/2024</v>
          </cell>
          <cell r="K1452" t="str">
            <v>06/21/2024</v>
          </cell>
          <cell r="L1452">
            <v>32</v>
          </cell>
          <cell r="M1452" t="str">
            <v>6/12/2024 4:24:51 PM</v>
          </cell>
          <cell r="N1452" t="str">
            <v>25</v>
          </cell>
          <cell r="O1452">
            <v>32</v>
          </cell>
          <cell r="P1452">
            <v>12.8</v>
          </cell>
        </row>
        <row r="1453">
          <cell r="A1453" t="str">
            <v>6728184</v>
          </cell>
          <cell r="B1453" t="str">
            <v>1204221</v>
          </cell>
          <cell r="C1453" t="str">
            <v>6390RDS-2832-412</v>
          </cell>
          <cell r="D1453" t="str">
            <v>6390RDS</v>
          </cell>
          <cell r="E1453" t="str">
            <v>6390RDS GLOCK 19MOS X300U STX PLN BLK LH</v>
          </cell>
          <cell r="F1453" t="str">
            <v>DG-HOLSTER-RDS-DTC</v>
          </cell>
          <cell r="G1453" t="str">
            <v>1420-210-FG</v>
          </cell>
          <cell r="H1453" t="str">
            <v>R</v>
          </cell>
          <cell r="I1453" t="str">
            <v>06/11/2024</v>
          </cell>
          <cell r="J1453" t="str">
            <v>06/14/2024</v>
          </cell>
          <cell r="K1453" t="str">
            <v>06/21/2024</v>
          </cell>
          <cell r="L1453">
            <v>5</v>
          </cell>
          <cell r="M1453" t="str">
            <v>6/12/2024 3:57:34 PM</v>
          </cell>
          <cell r="N1453" t="str">
            <v>25</v>
          </cell>
          <cell r="O1453">
            <v>5</v>
          </cell>
          <cell r="P1453">
            <v>2</v>
          </cell>
        </row>
        <row r="1454">
          <cell r="A1454" t="str">
            <v>6728274</v>
          </cell>
          <cell r="B1454" t="str">
            <v>1204220</v>
          </cell>
          <cell r="C1454" t="str">
            <v>6390RDS-2832-411</v>
          </cell>
          <cell r="D1454" t="str">
            <v>6390RDS</v>
          </cell>
          <cell r="E1454" t="str">
            <v>6390RDS GLOCK 19MOS X300U STX PLN BLK RH</v>
          </cell>
          <cell r="F1454" t="str">
            <v>DG-HOLSTER-RDS-DTC</v>
          </cell>
          <cell r="G1454" t="str">
            <v>1420-210-FG</v>
          </cell>
          <cell r="H1454" t="str">
            <v>R</v>
          </cell>
          <cell r="I1454" t="str">
            <v>06/11/2024</v>
          </cell>
          <cell r="J1454" t="str">
            <v>06/14/2024</v>
          </cell>
          <cell r="K1454" t="str">
            <v>06/21/2024</v>
          </cell>
          <cell r="L1454">
            <v>64</v>
          </cell>
          <cell r="M1454" t="str">
            <v>6/12/2024 3:57:34 PM</v>
          </cell>
          <cell r="N1454" t="str">
            <v>25</v>
          </cell>
          <cell r="O1454">
            <v>64</v>
          </cell>
          <cell r="P1454">
            <v>25.6</v>
          </cell>
        </row>
        <row r="1455">
          <cell r="A1455" t="str">
            <v>6728157</v>
          </cell>
          <cell r="B1455" t="str">
            <v>1328990</v>
          </cell>
          <cell r="C1455" t="str">
            <v>6390RDS-68314-131</v>
          </cell>
          <cell r="D1455" t="str">
            <v>6390RDS</v>
          </cell>
          <cell r="E1455" t="str">
            <v>6390RDS GLOCK 34MOS X400U STX STX BLK RH</v>
          </cell>
          <cell r="F1455" t="str">
            <v>DG-HOLSTER-RDS</v>
          </cell>
          <cell r="G1455" t="str">
            <v>1420-210-FG</v>
          </cell>
          <cell r="H1455" t="str">
            <v>R</v>
          </cell>
          <cell r="I1455" t="str">
            <v>06/11/2024</v>
          </cell>
          <cell r="J1455" t="str">
            <v>06/14/2024</v>
          </cell>
          <cell r="K1455" t="str">
            <v>06/21/2024</v>
          </cell>
          <cell r="L1455">
            <v>1</v>
          </cell>
          <cell r="M1455" t="str">
            <v>6/13/2024 7:45:59 AM</v>
          </cell>
          <cell r="N1455" t="str">
            <v>25</v>
          </cell>
          <cell r="O1455">
            <v>1</v>
          </cell>
          <cell r="P1455">
            <v>0.4</v>
          </cell>
        </row>
        <row r="1456">
          <cell r="A1456" t="str">
            <v>6727662</v>
          </cell>
          <cell r="B1456" t="str">
            <v>1328434</v>
          </cell>
          <cell r="C1456" t="str">
            <v>6390RDS-8182-701-MS30</v>
          </cell>
          <cell r="D1456" t="str">
            <v>6390RDS</v>
          </cell>
          <cell r="E1456" t="str">
            <v>6390RDS MP 2.0 9MM X300U CORD MTCM RH</v>
          </cell>
          <cell r="F1456" t="str">
            <v>DG-HOLSTER-RDS</v>
          </cell>
          <cell r="G1456" t="str">
            <v>1420-210-FG</v>
          </cell>
          <cell r="H1456" t="str">
            <v>R</v>
          </cell>
          <cell r="I1456" t="str">
            <v>06/11/2024</v>
          </cell>
          <cell r="J1456" t="str">
            <v>06/11/2024</v>
          </cell>
          <cell r="K1456" t="str">
            <v>06/21/2024</v>
          </cell>
          <cell r="L1456">
            <v>1</v>
          </cell>
          <cell r="M1456" t="str">
            <v>6/13/2024 7:59:21 AM</v>
          </cell>
          <cell r="N1456" t="str">
            <v>25</v>
          </cell>
          <cell r="O1456">
            <v>1</v>
          </cell>
          <cell r="P1456">
            <v>0.4</v>
          </cell>
        </row>
        <row r="1457">
          <cell r="A1457" t="str">
            <v>6723623</v>
          </cell>
          <cell r="B1457" t="str">
            <v>1319547</v>
          </cell>
          <cell r="C1457" t="str">
            <v>6390RDS-2222-132</v>
          </cell>
          <cell r="D1457" t="str">
            <v>6390RDS</v>
          </cell>
          <cell r="E1457" t="str">
            <v>6390RDS MP2.0 9 CORE X300U STXTAC BLK LH</v>
          </cell>
          <cell r="F1457" t="str">
            <v>DG-HOLSTER-RDS</v>
          </cell>
          <cell r="G1457" t="str">
            <v>1420-210-FG</v>
          </cell>
          <cell r="H1457" t="str">
            <v>R</v>
          </cell>
          <cell r="I1457" t="str">
            <v>06/03/2024</v>
          </cell>
          <cell r="J1457" t="str">
            <v>06/03/2024</v>
          </cell>
          <cell r="K1457" t="str">
            <v>06/21/2024</v>
          </cell>
          <cell r="L1457">
            <v>5</v>
          </cell>
          <cell r="M1457" t="str">
            <v>6/13/2024 7:45:59 AM</v>
          </cell>
          <cell r="N1457" t="str">
            <v>25</v>
          </cell>
          <cell r="O1457">
            <v>5</v>
          </cell>
          <cell r="P1457">
            <v>2</v>
          </cell>
        </row>
        <row r="1458">
          <cell r="A1458" t="str">
            <v>6728129</v>
          </cell>
          <cell r="B1458" t="str">
            <v>1205991</v>
          </cell>
          <cell r="C1458" t="str">
            <v>6390RDS-2192-132</v>
          </cell>
          <cell r="D1458" t="str">
            <v>6390RDS</v>
          </cell>
          <cell r="E1458" t="str">
            <v>6390RDS S&amp;W M&amp;P 4IN X300U STX TAC BLK LH</v>
          </cell>
          <cell r="F1458" t="str">
            <v>DG-HOLSTER-RDS</v>
          </cell>
          <cell r="G1458" t="str">
            <v>1420-210-FG</v>
          </cell>
          <cell r="H1458" t="str">
            <v>R</v>
          </cell>
          <cell r="I1458" t="str">
            <v>06/11/2024</v>
          </cell>
          <cell r="J1458" t="str">
            <v>06/17/2024</v>
          </cell>
          <cell r="K1458" t="str">
            <v>06/21/2024</v>
          </cell>
          <cell r="L1458">
            <v>35</v>
          </cell>
          <cell r="M1458" t="str">
            <v>6/13/2024 7:45:59 AM</v>
          </cell>
          <cell r="N1458" t="str">
            <v>25</v>
          </cell>
          <cell r="O1458">
            <v>35</v>
          </cell>
          <cell r="P1458">
            <v>14</v>
          </cell>
        </row>
        <row r="1459">
          <cell r="A1459" t="str">
            <v>6726993</v>
          </cell>
          <cell r="B1459" t="str">
            <v>1205990</v>
          </cell>
          <cell r="C1459" t="str">
            <v>6390RDS-2192-131</v>
          </cell>
          <cell r="D1459" t="str">
            <v>6390RDS</v>
          </cell>
          <cell r="E1459" t="str">
            <v>6390RDS S&amp;W M&amp;P 4IN X300U STX TAC BLK RH</v>
          </cell>
          <cell r="F1459" t="str">
            <v>DG-HOLSTER-RDS</v>
          </cell>
          <cell r="G1459" t="str">
            <v>1420-210-FG</v>
          </cell>
          <cell r="H1459" t="str">
            <v>R</v>
          </cell>
          <cell r="I1459" t="str">
            <v>06/10/2024</v>
          </cell>
          <cell r="J1459" t="str">
            <v>06/10/2024</v>
          </cell>
          <cell r="K1459" t="str">
            <v>06/21/2024</v>
          </cell>
          <cell r="L1459">
            <v>5</v>
          </cell>
          <cell r="M1459" t="str">
            <v>6/13/2024 7:45:59 AM</v>
          </cell>
          <cell r="N1459" t="str">
            <v>25</v>
          </cell>
          <cell r="O1459">
            <v>5</v>
          </cell>
          <cell r="P1459">
            <v>2</v>
          </cell>
        </row>
        <row r="1460">
          <cell r="A1460" t="str">
            <v>6728125</v>
          </cell>
          <cell r="B1460" t="str">
            <v>1205990</v>
          </cell>
          <cell r="C1460" t="str">
            <v>6390RDS-2192-131</v>
          </cell>
          <cell r="D1460" t="str">
            <v>6390RDS</v>
          </cell>
          <cell r="E1460" t="str">
            <v>6390RDS S&amp;W M&amp;P 4IN X300U STX TAC BLK RH</v>
          </cell>
          <cell r="F1460" t="str">
            <v>DG-HOLSTER-RDS</v>
          </cell>
          <cell r="G1460" t="str">
            <v>1420-210-FG</v>
          </cell>
          <cell r="H1460" t="str">
            <v>R</v>
          </cell>
          <cell r="I1460" t="str">
            <v>06/11/2024</v>
          </cell>
          <cell r="J1460" t="str">
            <v>06/17/2024</v>
          </cell>
          <cell r="K1460" t="str">
            <v>06/21/2024</v>
          </cell>
          <cell r="L1460">
            <v>24</v>
          </cell>
          <cell r="M1460" t="str">
            <v>6/13/2024 7:45:59 AM</v>
          </cell>
          <cell r="N1460" t="str">
            <v>25</v>
          </cell>
          <cell r="O1460">
            <v>24</v>
          </cell>
          <cell r="P1460">
            <v>9.6</v>
          </cell>
        </row>
        <row r="1461">
          <cell r="A1461" t="str">
            <v>6728126</v>
          </cell>
          <cell r="B1461" t="str">
            <v>1205990</v>
          </cell>
          <cell r="C1461" t="str">
            <v>6390RDS-2192-131</v>
          </cell>
          <cell r="D1461" t="str">
            <v>6390RDS</v>
          </cell>
          <cell r="E1461" t="str">
            <v>6390RDS S&amp;W M&amp;P 4IN X300U STX TAC BLK RH</v>
          </cell>
          <cell r="F1461" t="str">
            <v>DG-HOLSTER-RDS</v>
          </cell>
          <cell r="G1461" t="str">
            <v>1420-210-FG</v>
          </cell>
          <cell r="H1461" t="str">
            <v>R</v>
          </cell>
          <cell r="I1461" t="str">
            <v>06/11/2024</v>
          </cell>
          <cell r="J1461" t="str">
            <v>06/17/2024</v>
          </cell>
          <cell r="K1461" t="str">
            <v>06/21/2024</v>
          </cell>
          <cell r="L1461">
            <v>50</v>
          </cell>
          <cell r="M1461" t="str">
            <v>6/13/2024 7:45:59 AM</v>
          </cell>
          <cell r="N1461" t="str">
            <v>25</v>
          </cell>
          <cell r="O1461">
            <v>50</v>
          </cell>
          <cell r="P1461">
            <v>20</v>
          </cell>
        </row>
        <row r="1462">
          <cell r="A1462" t="str">
            <v>6728127</v>
          </cell>
          <cell r="B1462" t="str">
            <v>1205990</v>
          </cell>
          <cell r="C1462" t="str">
            <v>6390RDS-2192-131</v>
          </cell>
          <cell r="D1462" t="str">
            <v>6390RDS</v>
          </cell>
          <cell r="E1462" t="str">
            <v>6390RDS S&amp;W M&amp;P 4IN X300U STX TAC BLK RH</v>
          </cell>
          <cell r="F1462" t="str">
            <v>DG-HOLSTER-RDS</v>
          </cell>
          <cell r="G1462" t="str">
            <v>1420-210-FG</v>
          </cell>
          <cell r="H1462" t="str">
            <v>R</v>
          </cell>
          <cell r="I1462" t="str">
            <v>06/11/2024</v>
          </cell>
          <cell r="J1462" t="str">
            <v>06/17/2024</v>
          </cell>
          <cell r="K1462" t="str">
            <v>06/21/2024</v>
          </cell>
          <cell r="L1462">
            <v>50</v>
          </cell>
          <cell r="M1462" t="str">
            <v>6/13/2024 7:45:59 AM</v>
          </cell>
          <cell r="N1462" t="str">
            <v>25</v>
          </cell>
          <cell r="O1462">
            <v>50</v>
          </cell>
          <cell r="P1462">
            <v>20</v>
          </cell>
        </row>
        <row r="1463">
          <cell r="A1463" t="str">
            <v>6728128</v>
          </cell>
          <cell r="B1463" t="str">
            <v>1205990</v>
          </cell>
          <cell r="C1463" t="str">
            <v>6390RDS-2192-131</v>
          </cell>
          <cell r="D1463" t="str">
            <v>6390RDS</v>
          </cell>
          <cell r="E1463" t="str">
            <v>6390RDS S&amp;W M&amp;P 4IN X300U STX TAC BLK RH</v>
          </cell>
          <cell r="F1463" t="str">
            <v>DG-HOLSTER-RDS</v>
          </cell>
          <cell r="G1463" t="str">
            <v>1420-210-FG</v>
          </cell>
          <cell r="H1463" t="str">
            <v>R</v>
          </cell>
          <cell r="I1463" t="str">
            <v>06/11/2024</v>
          </cell>
          <cell r="J1463" t="str">
            <v>06/17/2024</v>
          </cell>
          <cell r="K1463" t="str">
            <v>06/21/2024</v>
          </cell>
          <cell r="L1463">
            <v>50</v>
          </cell>
          <cell r="M1463" t="str">
            <v>6/13/2024 7:45:59 AM</v>
          </cell>
          <cell r="N1463" t="str">
            <v>25</v>
          </cell>
          <cell r="O1463">
            <v>50</v>
          </cell>
          <cell r="P1463">
            <v>20</v>
          </cell>
        </row>
        <row r="1464">
          <cell r="A1464" t="str">
            <v>6728139</v>
          </cell>
          <cell r="B1464" t="str">
            <v>1205999</v>
          </cell>
          <cell r="C1464" t="str">
            <v>6390RDS-2192-552</v>
          </cell>
          <cell r="D1464" t="str">
            <v>6390RDS</v>
          </cell>
          <cell r="E1464" t="str">
            <v>6390RDS S&amp;W M&amp;P 4IN X300U STX TAC FDE LH</v>
          </cell>
          <cell r="F1464" t="str">
            <v>DG-HOLSTER-RDS</v>
          </cell>
          <cell r="G1464" t="str">
            <v>1420-210-FG</v>
          </cell>
          <cell r="H1464" t="str">
            <v>R</v>
          </cell>
          <cell r="I1464" t="str">
            <v>06/11/2024</v>
          </cell>
          <cell r="J1464" t="str">
            <v>06/17/2024</v>
          </cell>
          <cell r="K1464" t="str">
            <v>06/21/2024</v>
          </cell>
          <cell r="L1464">
            <v>1</v>
          </cell>
          <cell r="M1464" t="str">
            <v>6/13/2024 7:48:36 AM</v>
          </cell>
          <cell r="N1464" t="str">
            <v>25</v>
          </cell>
          <cell r="O1464">
            <v>1</v>
          </cell>
          <cell r="P1464">
            <v>0.4</v>
          </cell>
        </row>
        <row r="1465">
          <cell r="A1465" t="str">
            <v>6727654</v>
          </cell>
          <cell r="B1465" t="str">
            <v>1324012</v>
          </cell>
          <cell r="C1465" t="str">
            <v>6390RDS-2252-551</v>
          </cell>
          <cell r="D1465" t="str">
            <v>6390RDS</v>
          </cell>
          <cell r="E1465" t="str">
            <v>6390RDS S&amp;WM&amp;P9C 2.0 4" X300U STX FDE RH</v>
          </cell>
          <cell r="F1465" t="str">
            <v>DG-HOLSTER-RDS</v>
          </cell>
          <cell r="G1465" t="str">
            <v>1420-210-FG</v>
          </cell>
          <cell r="H1465" t="str">
            <v>R</v>
          </cell>
          <cell r="I1465" t="str">
            <v>06/11/2024</v>
          </cell>
          <cell r="J1465" t="str">
            <v>06/11/2024</v>
          </cell>
          <cell r="K1465" t="str">
            <v>06/21/2024</v>
          </cell>
          <cell r="L1465">
            <v>1</v>
          </cell>
          <cell r="M1465" t="str">
            <v>6/13/2024 7:48:05 AM</v>
          </cell>
          <cell r="N1465" t="str">
            <v>25</v>
          </cell>
          <cell r="O1465">
            <v>1</v>
          </cell>
          <cell r="P1465">
            <v>0.4</v>
          </cell>
        </row>
        <row r="1466">
          <cell r="A1466" t="str">
            <v>6728250</v>
          </cell>
          <cell r="B1466" t="str">
            <v>1336410</v>
          </cell>
          <cell r="C1466" t="str">
            <v>6390RDS-5842-551</v>
          </cell>
          <cell r="D1466" t="str">
            <v>6390RDS</v>
          </cell>
          <cell r="E1466" t="str">
            <v>6390RDS WLTHRPDP 4.5 X300U STXTAC FDE RH</v>
          </cell>
          <cell r="F1466" t="str">
            <v>DG-HOLSTER-RDS-DTC</v>
          </cell>
          <cell r="G1466" t="str">
            <v>1420-210-FG</v>
          </cell>
          <cell r="H1466" t="str">
            <v>R</v>
          </cell>
          <cell r="I1466" t="str">
            <v>06/11/2024</v>
          </cell>
          <cell r="J1466" t="str">
            <v>06/17/2024</v>
          </cell>
          <cell r="K1466" t="str">
            <v>06/21/2024</v>
          </cell>
          <cell r="L1466">
            <v>1</v>
          </cell>
          <cell r="M1466" t="str">
            <v>6/13/2024 7:53:54 AM</v>
          </cell>
          <cell r="N1466" t="str">
            <v>25</v>
          </cell>
          <cell r="O1466">
            <v>1</v>
          </cell>
          <cell r="P1466">
            <v>0.43</v>
          </cell>
        </row>
        <row r="1467">
          <cell r="A1467" t="str">
            <v>6727238</v>
          </cell>
          <cell r="B1467" t="str">
            <v>1335584</v>
          </cell>
          <cell r="C1467" t="str">
            <v>6390RDSO-8972-131</v>
          </cell>
          <cell r="D1467" t="str">
            <v>6390RDSO</v>
          </cell>
          <cell r="E1467" t="str">
            <v>6390RDSO GLOCK 47 X300U STX TAC BLK RH</v>
          </cell>
          <cell r="F1467" t="str">
            <v>DG-HOLSTER-RDS-DTC</v>
          </cell>
          <cell r="G1467" t="str">
            <v>1420-210-FG</v>
          </cell>
          <cell r="H1467" t="str">
            <v>R</v>
          </cell>
          <cell r="I1467" t="str">
            <v>06/10/2024</v>
          </cell>
          <cell r="J1467" t="str">
            <v>06/10/2024</v>
          </cell>
          <cell r="K1467" t="str">
            <v>06/21/2024</v>
          </cell>
          <cell r="L1467">
            <v>20</v>
          </cell>
          <cell r="M1467" t="str">
            <v>6/12/2024 4:06:03 PM</v>
          </cell>
          <cell r="N1467" t="str">
            <v>25</v>
          </cell>
          <cell r="O1467">
            <v>20</v>
          </cell>
          <cell r="P1467">
            <v>8</v>
          </cell>
        </row>
        <row r="1468">
          <cell r="A1468" t="str">
            <v>6728241</v>
          </cell>
          <cell r="B1468" t="str">
            <v>1335224</v>
          </cell>
          <cell r="C1468" t="str">
            <v>6390RDSO-2832-412</v>
          </cell>
          <cell r="D1468" t="str">
            <v>6390RDSO</v>
          </cell>
          <cell r="E1468" t="str">
            <v>6390RDSO GLOCK19MOS X300U STX PLN BLK LH</v>
          </cell>
          <cell r="F1468" t="str">
            <v>DG-HOLSTER-RDS-DTC</v>
          </cell>
          <cell r="G1468" t="str">
            <v>1420-210-FG</v>
          </cell>
          <cell r="H1468" t="str">
            <v>R</v>
          </cell>
          <cell r="I1468" t="str">
            <v>06/11/2024</v>
          </cell>
          <cell r="J1468" t="str">
            <v>06/12/2024</v>
          </cell>
          <cell r="K1468" t="str">
            <v>06/21/2024</v>
          </cell>
          <cell r="L1468">
            <v>1</v>
          </cell>
          <cell r="M1468" t="str">
            <v>6/12/2024 4:06:03 PM</v>
          </cell>
          <cell r="N1468" t="str">
            <v>25</v>
          </cell>
          <cell r="O1468">
            <v>1</v>
          </cell>
          <cell r="P1468">
            <v>0.43</v>
          </cell>
        </row>
        <row r="1469">
          <cell r="A1469" t="str">
            <v>6728242</v>
          </cell>
          <cell r="B1469" t="str">
            <v>1335241</v>
          </cell>
          <cell r="C1469" t="str">
            <v>6390RDSO-45027-411</v>
          </cell>
          <cell r="D1469" t="str">
            <v>6390RDSO</v>
          </cell>
          <cell r="E1469" t="str">
            <v xml:space="preserve">6390RDSO SIG 320RX TLR-7 STX PLN BLK RH </v>
          </cell>
          <cell r="F1469" t="str">
            <v>DG-HOLSTER-RDS-DTC</v>
          </cell>
          <cell r="G1469" t="str">
            <v>1420-210-FG</v>
          </cell>
          <cell r="H1469" t="str">
            <v>R</v>
          </cell>
          <cell r="I1469" t="str">
            <v>06/11/2024</v>
          </cell>
          <cell r="J1469" t="str">
            <v>06/14/2024</v>
          </cell>
          <cell r="K1469" t="str">
            <v>06/21/2024</v>
          </cell>
          <cell r="L1469">
            <v>1</v>
          </cell>
          <cell r="M1469" t="str">
            <v>6/13/2024 7:53:54 AM</v>
          </cell>
          <cell r="N1469" t="str">
            <v>25</v>
          </cell>
          <cell r="O1469">
            <v>1</v>
          </cell>
          <cell r="P1469">
            <v>0.43</v>
          </cell>
        </row>
        <row r="1470">
          <cell r="A1470" t="str">
            <v>6728690</v>
          </cell>
          <cell r="B1470" t="str">
            <v>1336136</v>
          </cell>
          <cell r="C1470" t="str">
            <v>6390RDSO-5842-132</v>
          </cell>
          <cell r="D1470" t="str">
            <v>6390RDSO</v>
          </cell>
          <cell r="E1470" t="str">
            <v>6390RDSO WLTHRPDP 4.5 X300U STXTACBLK LH</v>
          </cell>
          <cell r="F1470" t="str">
            <v>DG-HOLSTER-RDS-DTC</v>
          </cell>
          <cell r="G1470" t="str">
            <v>1420-210-FG</v>
          </cell>
          <cell r="H1470" t="str">
            <v>R</v>
          </cell>
          <cell r="I1470" t="str">
            <v>06/12/2024</v>
          </cell>
          <cell r="J1470" t="str">
            <v>06/18/2024</v>
          </cell>
          <cell r="K1470" t="str">
            <v>06/21/2024</v>
          </cell>
          <cell r="L1470">
            <v>1</v>
          </cell>
          <cell r="M1470" t="str">
            <v>6/13/2024 7:53:54 AM</v>
          </cell>
          <cell r="N1470" t="str">
            <v>25</v>
          </cell>
          <cell r="O1470">
            <v>1</v>
          </cell>
          <cell r="P1470">
            <v>0.4</v>
          </cell>
        </row>
        <row r="1471">
          <cell r="A1471" t="str">
            <v>6728246</v>
          </cell>
          <cell r="B1471" t="str">
            <v>1336134</v>
          </cell>
          <cell r="C1471" t="str">
            <v>6390RDSO-5842-131</v>
          </cell>
          <cell r="D1471" t="str">
            <v>6390RDSO</v>
          </cell>
          <cell r="E1471" t="str">
            <v>6390RDSO WLTHRPDP 4.5 X300U STXTACBLK RH</v>
          </cell>
          <cell r="F1471" t="str">
            <v>DG-HOLSTER-RDS-DTC</v>
          </cell>
          <cell r="G1471" t="str">
            <v>1420-210-FG</v>
          </cell>
          <cell r="H1471" t="str">
            <v>R</v>
          </cell>
          <cell r="I1471" t="str">
            <v>06/11/2024</v>
          </cell>
          <cell r="J1471" t="str">
            <v>06/17/2024</v>
          </cell>
          <cell r="K1471" t="str">
            <v>06/21/2024</v>
          </cell>
          <cell r="L1471">
            <v>2</v>
          </cell>
          <cell r="M1471" t="str">
            <v>6/13/2024 7:53:54 AM</v>
          </cell>
          <cell r="N1471" t="str">
            <v>25</v>
          </cell>
          <cell r="O1471">
            <v>2</v>
          </cell>
          <cell r="P1471">
            <v>0.8</v>
          </cell>
        </row>
        <row r="1472">
          <cell r="A1472" t="str">
            <v>6728633</v>
          </cell>
          <cell r="B1472" t="str">
            <v>1160512</v>
          </cell>
          <cell r="C1472" t="str">
            <v>6395-53-492</v>
          </cell>
          <cell r="D1472" t="str">
            <v>6395</v>
          </cell>
          <cell r="E1472" t="str">
            <v>6395 COLT 1911 STX HGS BLK LH</v>
          </cell>
          <cell r="F1472" t="str">
            <v>DG-HOLSTER</v>
          </cell>
          <cell r="G1472" t="str">
            <v>1420-210-FG</v>
          </cell>
          <cell r="H1472" t="str">
            <v>R</v>
          </cell>
          <cell r="I1472" t="str">
            <v>06/12/2024</v>
          </cell>
          <cell r="J1472" t="str">
            <v>06/12/2024</v>
          </cell>
          <cell r="K1472" t="str">
            <v>06/21/2024</v>
          </cell>
          <cell r="L1472">
            <v>1</v>
          </cell>
          <cell r="M1472" t="str">
            <v>6/12/2024 4:02:55 PM</v>
          </cell>
          <cell r="N1472" t="str">
            <v>25</v>
          </cell>
          <cell r="O1472">
            <v>1</v>
          </cell>
          <cell r="P1472">
            <v>0.24</v>
          </cell>
        </row>
        <row r="1473">
          <cell r="A1473" t="str">
            <v>6726900</v>
          </cell>
          <cell r="B1473" t="str">
            <v>1328374</v>
          </cell>
          <cell r="C1473" t="str">
            <v>6395-8252-132</v>
          </cell>
          <cell r="D1473" t="str">
            <v>6395</v>
          </cell>
          <cell r="E1473" t="str">
            <v>6395 GLOCK 22 GEN 5 X300U STX TAC BLK LH</v>
          </cell>
          <cell r="F1473" t="str">
            <v>DG-HOLSTER</v>
          </cell>
          <cell r="G1473" t="str">
            <v>1420-210-FG</v>
          </cell>
          <cell r="H1473" t="str">
            <v>R</v>
          </cell>
          <cell r="I1473" t="str">
            <v>06/10/2024</v>
          </cell>
          <cell r="J1473" t="str">
            <v>06/10/2024</v>
          </cell>
          <cell r="K1473" t="str">
            <v>06/21/2024</v>
          </cell>
          <cell r="L1473">
            <v>5</v>
          </cell>
          <cell r="M1473" t="str">
            <v>6/12/2024 3:55:19 PM</v>
          </cell>
          <cell r="N1473" t="str">
            <v>25</v>
          </cell>
          <cell r="O1473">
            <v>5</v>
          </cell>
          <cell r="P1473">
            <v>1.44</v>
          </cell>
        </row>
        <row r="1474">
          <cell r="A1474" t="str">
            <v>6727943</v>
          </cell>
          <cell r="B1474" t="str">
            <v>1156348</v>
          </cell>
          <cell r="C1474" t="str">
            <v>6395-683-131</v>
          </cell>
          <cell r="D1474" t="str">
            <v>6395</v>
          </cell>
          <cell r="E1474" t="str">
            <v>6395 GLOCK 34/35 STX TAC BLK RH</v>
          </cell>
          <cell r="F1474" t="str">
            <v>DG-HOLSTER</v>
          </cell>
          <cell r="G1474" t="str">
            <v>1420-210-FG</v>
          </cell>
          <cell r="H1474" t="str">
            <v>R</v>
          </cell>
          <cell r="I1474" t="str">
            <v>06/11/2024</v>
          </cell>
          <cell r="J1474" t="str">
            <v>06/14/2024</v>
          </cell>
          <cell r="K1474" t="str">
            <v>06/21/2024</v>
          </cell>
          <cell r="L1474">
            <v>1</v>
          </cell>
          <cell r="M1474" t="str">
            <v>6/12/2024 3:55:19 PM</v>
          </cell>
          <cell r="N1474" t="str">
            <v>25</v>
          </cell>
          <cell r="O1474">
            <v>1</v>
          </cell>
          <cell r="P1474">
            <v>0.24</v>
          </cell>
        </row>
        <row r="1475">
          <cell r="A1475" t="str">
            <v>6727652</v>
          </cell>
          <cell r="B1475" t="str">
            <v>1322987</v>
          </cell>
          <cell r="C1475" t="str">
            <v>6395RDS-2702-132</v>
          </cell>
          <cell r="D1475" t="str">
            <v>6395RDS</v>
          </cell>
          <cell r="E1475" t="str">
            <v>6395RDS FN 509 X300U STX TAC BLK LH</v>
          </cell>
          <cell r="F1475" t="str">
            <v>DG-HOLSTER-RDS</v>
          </cell>
          <cell r="G1475" t="str">
            <v>1420-210-FG</v>
          </cell>
          <cell r="H1475" t="str">
            <v>R</v>
          </cell>
          <cell r="I1475" t="str">
            <v>06/11/2024</v>
          </cell>
          <cell r="J1475" t="str">
            <v>06/11/2024</v>
          </cell>
          <cell r="K1475" t="str">
            <v>06/21/2024</v>
          </cell>
          <cell r="L1475">
            <v>2</v>
          </cell>
          <cell r="M1475" t="str">
            <v>6/13/2024 7:45:59 AM</v>
          </cell>
          <cell r="N1475" t="str">
            <v>25</v>
          </cell>
          <cell r="O1475">
            <v>2</v>
          </cell>
          <cell r="P1475">
            <v>0.8</v>
          </cell>
        </row>
        <row r="1476">
          <cell r="A1476" t="str">
            <v>6727669</v>
          </cell>
          <cell r="B1476" t="str">
            <v>1322986</v>
          </cell>
          <cell r="C1476" t="str">
            <v>6395RDS-2702-131</v>
          </cell>
          <cell r="D1476" t="str">
            <v>6395RDS</v>
          </cell>
          <cell r="E1476" t="str">
            <v>6395RDS FN 509 X300U STX TAC BLK RH</v>
          </cell>
          <cell r="F1476" t="str">
            <v>DG-HOLSTER-RDS</v>
          </cell>
          <cell r="G1476" t="str">
            <v>1420-210-FG</v>
          </cell>
          <cell r="H1476" t="str">
            <v>R</v>
          </cell>
          <cell r="I1476" t="str">
            <v>06/11/2024</v>
          </cell>
          <cell r="J1476" t="str">
            <v>06/11/2024</v>
          </cell>
          <cell r="K1476" t="str">
            <v>06/21/2024</v>
          </cell>
          <cell r="L1476">
            <v>22</v>
          </cell>
          <cell r="M1476" t="str">
            <v>6/13/2024 7:45:59 AM</v>
          </cell>
          <cell r="N1476" t="str">
            <v>25</v>
          </cell>
          <cell r="O1476">
            <v>22</v>
          </cell>
          <cell r="P1476">
            <v>8.8000000000000007</v>
          </cell>
        </row>
        <row r="1477">
          <cell r="A1477" t="str">
            <v>6727665</v>
          </cell>
          <cell r="B1477" t="str">
            <v>1329174</v>
          </cell>
          <cell r="C1477" t="str">
            <v>6395RDS-2712-481</v>
          </cell>
          <cell r="D1477" t="str">
            <v>6395RDS</v>
          </cell>
          <cell r="E1477" t="str">
            <v>6395RDS FN509T 4.5IN X300U STX BSKBLK RH</v>
          </cell>
          <cell r="F1477" t="str">
            <v>DG-HOLSTER-RDS</v>
          </cell>
          <cell r="G1477" t="str">
            <v>1420-210-FG</v>
          </cell>
          <cell r="H1477" t="str">
            <v>R</v>
          </cell>
          <cell r="I1477" t="str">
            <v>06/11/2024</v>
          </cell>
          <cell r="J1477" t="str">
            <v>06/11/2024</v>
          </cell>
          <cell r="K1477" t="str">
            <v>06/21/2024</v>
          </cell>
          <cell r="L1477">
            <v>1</v>
          </cell>
          <cell r="M1477" t="str">
            <v>6/13/2024 7:49:14 AM</v>
          </cell>
          <cell r="N1477" t="str">
            <v>25</v>
          </cell>
          <cell r="O1477">
            <v>1</v>
          </cell>
          <cell r="P1477">
            <v>0.4</v>
          </cell>
        </row>
        <row r="1478">
          <cell r="A1478" t="str">
            <v>6728201</v>
          </cell>
          <cell r="B1478" t="str">
            <v>1206175</v>
          </cell>
          <cell r="C1478" t="str">
            <v>6395RDS-832-751</v>
          </cell>
          <cell r="D1478" t="str">
            <v>6395RDS</v>
          </cell>
          <cell r="E1478" t="str">
            <v>6395RDS GLOCK 17MOS X300U COR KHAKI RH</v>
          </cell>
          <cell r="F1478" t="str">
            <v>DG-HOLSTER-RDS-DTC</v>
          </cell>
          <cell r="G1478" t="str">
            <v>1420-210-FG</v>
          </cell>
          <cell r="H1478" t="str">
            <v>R</v>
          </cell>
          <cell r="I1478" t="str">
            <v>06/11/2024</v>
          </cell>
          <cell r="J1478" t="str">
            <v>06/14/2024</v>
          </cell>
          <cell r="K1478" t="str">
            <v>06/21/2024</v>
          </cell>
          <cell r="L1478">
            <v>1</v>
          </cell>
          <cell r="M1478" t="str">
            <v>6/13/2024 7:59:21 AM</v>
          </cell>
          <cell r="N1478" t="str">
            <v>25</v>
          </cell>
          <cell r="O1478">
            <v>1</v>
          </cell>
          <cell r="P1478">
            <v>0.43</v>
          </cell>
        </row>
        <row r="1479">
          <cell r="A1479" t="str">
            <v>6727166</v>
          </cell>
          <cell r="B1479" t="str">
            <v>1204575</v>
          </cell>
          <cell r="C1479" t="str">
            <v>6395RDS-832-701</v>
          </cell>
          <cell r="D1479" t="str">
            <v>6395RDS</v>
          </cell>
          <cell r="E1479" t="str">
            <v>6395RDS GLOCK 17MOS X300U COR MLTCM RH</v>
          </cell>
          <cell r="F1479" t="str">
            <v>DG-HOLSTER-RDS-DTC</v>
          </cell>
          <cell r="G1479" t="str">
            <v>1420-210-FG</v>
          </cell>
          <cell r="H1479" t="str">
            <v>R</v>
          </cell>
          <cell r="I1479" t="str">
            <v>06/10/2024</v>
          </cell>
          <cell r="J1479" t="str">
            <v>06/10/2024</v>
          </cell>
          <cell r="K1479" t="str">
            <v>06/21/2024</v>
          </cell>
          <cell r="L1479">
            <v>6</v>
          </cell>
          <cell r="M1479" t="str">
            <v>6/13/2024 7:59:21 AM</v>
          </cell>
          <cell r="N1479" t="str">
            <v>25</v>
          </cell>
          <cell r="O1479">
            <v>6</v>
          </cell>
          <cell r="P1479">
            <v>2.6</v>
          </cell>
        </row>
        <row r="1480">
          <cell r="A1480" t="str">
            <v>6728208</v>
          </cell>
          <cell r="B1480" t="str">
            <v>1319746</v>
          </cell>
          <cell r="C1480" t="str">
            <v>6395RDS-832-412</v>
          </cell>
          <cell r="D1480" t="str">
            <v>6395RDS</v>
          </cell>
          <cell r="E1480" t="str">
            <v>6395RDS GLOCK 17MOS X300U STX PLN BLK LH</v>
          </cell>
          <cell r="F1480" t="str">
            <v>DG-HOLSTER-RDS-DTC</v>
          </cell>
          <cell r="G1480" t="str">
            <v>1420-210-FG</v>
          </cell>
          <cell r="H1480" t="str">
            <v>R</v>
          </cell>
          <cell r="I1480" t="str">
            <v>06/11/2024</v>
          </cell>
          <cell r="J1480" t="str">
            <v>06/14/2024</v>
          </cell>
          <cell r="K1480" t="str">
            <v>06/21/2024</v>
          </cell>
          <cell r="L1480">
            <v>5</v>
          </cell>
          <cell r="M1480" t="str">
            <v>6/13/2024 7:47:13 AM</v>
          </cell>
          <cell r="N1480" t="str">
            <v>25</v>
          </cell>
          <cell r="O1480">
            <v>5</v>
          </cell>
          <cell r="P1480">
            <v>2.17</v>
          </cell>
        </row>
        <row r="1481">
          <cell r="A1481" t="str">
            <v>6727163</v>
          </cell>
          <cell r="B1481" t="str">
            <v>1204228</v>
          </cell>
          <cell r="C1481" t="str">
            <v>6395RDS-2832-411</v>
          </cell>
          <cell r="D1481" t="str">
            <v>6395RDS</v>
          </cell>
          <cell r="E1481" t="str">
            <v>6395RDS GLOCK 19MOS X300U STX PLN BLK RH</v>
          </cell>
          <cell r="F1481" t="str">
            <v>DG-HOLSTER-RDS-DTC</v>
          </cell>
          <cell r="G1481" t="str">
            <v>1420-210-FG</v>
          </cell>
          <cell r="H1481" t="str">
            <v>R</v>
          </cell>
          <cell r="I1481" t="str">
            <v>06/10/2024</v>
          </cell>
          <cell r="J1481" t="str">
            <v>06/10/2024</v>
          </cell>
          <cell r="K1481" t="str">
            <v>06/21/2024</v>
          </cell>
          <cell r="L1481">
            <v>5</v>
          </cell>
          <cell r="M1481" t="str">
            <v>6/12/2024 3:57:34 PM</v>
          </cell>
          <cell r="N1481" t="str">
            <v>25</v>
          </cell>
          <cell r="O1481">
            <v>5</v>
          </cell>
          <cell r="P1481">
            <v>2</v>
          </cell>
        </row>
        <row r="1482">
          <cell r="A1482" t="str">
            <v>6728186</v>
          </cell>
          <cell r="B1482" t="str">
            <v>1204227</v>
          </cell>
          <cell r="C1482" t="str">
            <v>6395RDS-2832-132</v>
          </cell>
          <cell r="D1482" t="str">
            <v>6395RDS</v>
          </cell>
          <cell r="E1482" t="str">
            <v>6395RDS GLOCK 19MOS X300U STX TAC BLK LH</v>
          </cell>
          <cell r="F1482" t="str">
            <v>DG-HOLSTER-RDS-DTC</v>
          </cell>
          <cell r="G1482" t="str">
            <v>1420-210-FG</v>
          </cell>
          <cell r="H1482" t="str">
            <v>R</v>
          </cell>
          <cell r="I1482" t="str">
            <v>06/11/2024</v>
          </cell>
          <cell r="J1482" t="str">
            <v>06/14/2024</v>
          </cell>
          <cell r="K1482" t="str">
            <v>06/21/2024</v>
          </cell>
          <cell r="L1482">
            <v>10</v>
          </cell>
          <cell r="M1482" t="str">
            <v>6/12/2024 3:55:19 PM</v>
          </cell>
          <cell r="N1482" t="str">
            <v>25</v>
          </cell>
          <cell r="O1482">
            <v>10</v>
          </cell>
          <cell r="P1482">
            <v>4</v>
          </cell>
        </row>
        <row r="1483">
          <cell r="A1483" t="str">
            <v>6727056</v>
          </cell>
          <cell r="B1483" t="str">
            <v>1325762</v>
          </cell>
          <cell r="C1483" t="str">
            <v>6395RDS-8972-131</v>
          </cell>
          <cell r="D1483" t="str">
            <v>6395RDS</v>
          </cell>
          <cell r="E1483" t="str">
            <v>6395RDS GLOCK 47 X300U STX TAC BLK RH</v>
          </cell>
          <cell r="F1483" t="str">
            <v>DG-HOLSTER-RDS</v>
          </cell>
          <cell r="G1483" t="str">
            <v>1420-210-FG</v>
          </cell>
          <cell r="H1483" t="str">
            <v>R</v>
          </cell>
          <cell r="I1483" t="str">
            <v>06/10/2024</v>
          </cell>
          <cell r="J1483" t="str">
            <v>06/10/2024</v>
          </cell>
          <cell r="K1483" t="str">
            <v>06/21/2024</v>
          </cell>
          <cell r="L1483">
            <v>3</v>
          </cell>
          <cell r="M1483" t="str">
            <v>6/12/2024 3:55:19 PM</v>
          </cell>
          <cell r="N1483" t="str">
            <v>25</v>
          </cell>
          <cell r="O1483">
            <v>3</v>
          </cell>
          <cell r="P1483">
            <v>1.2</v>
          </cell>
        </row>
        <row r="1484">
          <cell r="A1484" t="str">
            <v>6727026</v>
          </cell>
          <cell r="B1484" t="str">
            <v>1324409</v>
          </cell>
          <cell r="C1484" t="str">
            <v>6395RDS-582-132</v>
          </cell>
          <cell r="D1484" t="str">
            <v>6395RDS</v>
          </cell>
          <cell r="E1484" t="str">
            <v>6395RDS PRODIGY 4.25" X300U STX BLK LH</v>
          </cell>
          <cell r="F1484" t="str">
            <v>DG-HOLSTER-RDS</v>
          </cell>
          <cell r="G1484" t="str">
            <v>1420-210-FG</v>
          </cell>
          <cell r="H1484" t="str">
            <v>R</v>
          </cell>
          <cell r="I1484" t="str">
            <v>06/10/2024</v>
          </cell>
          <cell r="J1484" t="str">
            <v>06/10/2024</v>
          </cell>
          <cell r="K1484" t="str">
            <v>06/21/2024</v>
          </cell>
          <cell r="L1484">
            <v>1</v>
          </cell>
          <cell r="M1484" t="str">
            <v>6/12/2024 3:55:19 PM</v>
          </cell>
          <cell r="N1484" t="str">
            <v>25</v>
          </cell>
          <cell r="O1484">
            <v>1</v>
          </cell>
          <cell r="P1484">
            <v>0.4</v>
          </cell>
        </row>
        <row r="1485">
          <cell r="A1485" t="str">
            <v>6727655</v>
          </cell>
          <cell r="B1485" t="str">
            <v>1324016</v>
          </cell>
          <cell r="C1485" t="str">
            <v>6395RDS-2252-551</v>
          </cell>
          <cell r="D1485" t="str">
            <v>6395RDS</v>
          </cell>
          <cell r="E1485" t="str">
            <v>6395RDS S&amp;WM&amp;P9C 2.0 4" X300U STX FDE RH</v>
          </cell>
          <cell r="F1485" t="str">
            <v>DG-HOLSTER-RDS</v>
          </cell>
          <cell r="G1485" t="str">
            <v>1420-210-FG</v>
          </cell>
          <cell r="H1485" t="str">
            <v>R</v>
          </cell>
          <cell r="I1485" t="str">
            <v>06/11/2024</v>
          </cell>
          <cell r="J1485" t="str">
            <v>06/11/2024</v>
          </cell>
          <cell r="K1485" t="str">
            <v>06/21/2024</v>
          </cell>
          <cell r="L1485">
            <v>1</v>
          </cell>
          <cell r="M1485" t="str">
            <v>6/13/2024 7:48:21 AM</v>
          </cell>
          <cell r="N1485" t="str">
            <v>25</v>
          </cell>
          <cell r="O1485">
            <v>1</v>
          </cell>
          <cell r="P1485">
            <v>0.4</v>
          </cell>
        </row>
        <row r="1486">
          <cell r="A1486" t="str">
            <v>6728245</v>
          </cell>
          <cell r="B1486" t="str">
            <v>1336064</v>
          </cell>
          <cell r="C1486" t="str">
            <v>6395RDSO-8314-702-NP</v>
          </cell>
          <cell r="D1486" t="str">
            <v>6395RDSO</v>
          </cell>
          <cell r="E1486" t="str">
            <v>6395RDSO GLOCK 17MOS X400U COR MLTCM LH</v>
          </cell>
          <cell r="F1486" t="str">
            <v>DG-HOLSTER-RDS-DTC</v>
          </cell>
          <cell r="G1486" t="str">
            <v>1420-210-FG</v>
          </cell>
          <cell r="H1486" t="str">
            <v>R</v>
          </cell>
          <cell r="I1486" t="str">
            <v>06/11/2024</v>
          </cell>
          <cell r="J1486" t="str">
            <v>06/14/2024</v>
          </cell>
          <cell r="K1486" t="str">
            <v>06/21/2024</v>
          </cell>
          <cell r="L1486">
            <v>2</v>
          </cell>
          <cell r="M1486" t="str">
            <v>6/13/2024 8:03:10 AM</v>
          </cell>
          <cell r="N1486" t="str">
            <v>25</v>
          </cell>
          <cell r="O1486">
            <v>2</v>
          </cell>
          <cell r="P1486">
            <v>0.8</v>
          </cell>
        </row>
        <row r="1487">
          <cell r="A1487" t="str">
            <v>6728223</v>
          </cell>
          <cell r="B1487" t="str">
            <v>1332136</v>
          </cell>
          <cell r="C1487" t="str">
            <v>6395RDS-8321-132-CUBL-2-MS30</v>
          </cell>
          <cell r="D1487" t="str">
            <v>6395RDS</v>
          </cell>
          <cell r="E1487" t="str">
            <v>6395RDS  GLOCK 17MOS TLR2 STX TAC BLK LH</v>
          </cell>
          <cell r="F1487" t="str">
            <v>DG-HOLSTER-RDS-DTC</v>
          </cell>
          <cell r="G1487" t="str">
            <v>1420-210-FG</v>
          </cell>
          <cell r="H1487" t="str">
            <v>R</v>
          </cell>
          <cell r="I1487" t="str">
            <v>06/11/2024</v>
          </cell>
          <cell r="J1487" t="str">
            <v>06/14/2024</v>
          </cell>
          <cell r="K1487" t="str">
            <v>06/21/2024</v>
          </cell>
          <cell r="L1487">
            <v>4</v>
          </cell>
          <cell r="M1487" t="str">
            <v>6/13/2024 7:53:54 AM</v>
          </cell>
          <cell r="N1487" t="str">
            <v>25</v>
          </cell>
          <cell r="O1487">
            <v>4</v>
          </cell>
          <cell r="P1487">
            <v>1.73</v>
          </cell>
        </row>
        <row r="1488">
          <cell r="A1488" t="str">
            <v>6728222</v>
          </cell>
          <cell r="B1488" t="str">
            <v>1332135</v>
          </cell>
          <cell r="C1488" t="str">
            <v>6395RDS-8321-131-CUBL-2-MS30</v>
          </cell>
          <cell r="D1488" t="str">
            <v>6395RDS</v>
          </cell>
          <cell r="E1488" t="str">
            <v>6395RDS  GLOCK 17MOS TLR2 STX TAC BLK RH</v>
          </cell>
          <cell r="F1488" t="str">
            <v>DG-HOLSTER-RDS-DTC</v>
          </cell>
          <cell r="G1488" t="str">
            <v>1420-210-FG</v>
          </cell>
          <cell r="H1488" t="str">
            <v>R</v>
          </cell>
          <cell r="I1488" t="str">
            <v>06/11/2024</v>
          </cell>
          <cell r="J1488" t="str">
            <v>06/14/2024</v>
          </cell>
          <cell r="K1488" t="str">
            <v>06/21/2024</v>
          </cell>
          <cell r="L1488">
            <v>10</v>
          </cell>
          <cell r="M1488" t="str">
            <v>6/13/2024 7:53:54 AM</v>
          </cell>
          <cell r="N1488" t="str">
            <v>25</v>
          </cell>
          <cell r="O1488">
            <v>10</v>
          </cell>
          <cell r="P1488">
            <v>4.33</v>
          </cell>
        </row>
        <row r="1489">
          <cell r="A1489" t="str">
            <v>6726871</v>
          </cell>
          <cell r="B1489" t="str">
            <v>1170327</v>
          </cell>
          <cell r="C1489" t="str">
            <v>6520-364-131</v>
          </cell>
          <cell r="D1489" t="str">
            <v>6520</v>
          </cell>
          <cell r="E1489" t="str">
            <v>6520 X26P STX TAC BLK RH</v>
          </cell>
          <cell r="F1489" t="str">
            <v>DG-HOLSTER</v>
          </cell>
          <cell r="G1489" t="str">
            <v>1420-210-FG</v>
          </cell>
          <cell r="H1489" t="str">
            <v>R</v>
          </cell>
          <cell r="I1489" t="str">
            <v>06/10/2024</v>
          </cell>
          <cell r="J1489" t="str">
            <v>06/10/2024</v>
          </cell>
          <cell r="K1489" t="str">
            <v>06/21/2024</v>
          </cell>
          <cell r="L1489">
            <v>7</v>
          </cell>
          <cell r="M1489" t="str">
            <v>6/12/2024 4:13:49 PM</v>
          </cell>
          <cell r="N1489" t="str">
            <v>25</v>
          </cell>
          <cell r="O1489">
            <v>7</v>
          </cell>
          <cell r="P1489">
            <v>1.41</v>
          </cell>
        </row>
        <row r="1490">
          <cell r="A1490" t="str">
            <v>6724571</v>
          </cell>
          <cell r="B1490" t="str">
            <v>1102437</v>
          </cell>
          <cell r="C1490" t="str">
            <v>87-30-8</v>
          </cell>
          <cell r="D1490" t="str">
            <v>87</v>
          </cell>
          <cell r="E1490" t="str">
            <v>87 SZ30 BSK BLK</v>
          </cell>
          <cell r="F1490" t="str">
            <v>DG-BELT</v>
          </cell>
          <cell r="G1490" t="str">
            <v>1420-210-FG</v>
          </cell>
          <cell r="H1490" t="str">
            <v>R</v>
          </cell>
          <cell r="I1490" t="str">
            <v>06/04/2024</v>
          </cell>
          <cell r="J1490" t="str">
            <v>06/07/2024</v>
          </cell>
          <cell r="K1490" t="str">
            <v>06/21/2024</v>
          </cell>
          <cell r="L1490">
            <v>5</v>
          </cell>
          <cell r="M1490" t="str">
            <v>6/5/2024 2:55:33 PM</v>
          </cell>
          <cell r="N1490" t="str">
            <v>25</v>
          </cell>
          <cell r="O1490">
            <v>5</v>
          </cell>
          <cell r="P1490">
            <v>1.1000000000000001</v>
          </cell>
        </row>
        <row r="1491">
          <cell r="A1491" t="str">
            <v>6724613</v>
          </cell>
          <cell r="B1491" t="str">
            <v>1102598</v>
          </cell>
          <cell r="C1491" t="str">
            <v>87-36-8</v>
          </cell>
          <cell r="D1491" t="str">
            <v>87</v>
          </cell>
          <cell r="E1491" t="str">
            <v>87 SZ36 BSK BLK</v>
          </cell>
          <cell r="F1491" t="str">
            <v>DG-BELT</v>
          </cell>
          <cell r="G1491" t="str">
            <v>1420-210-FG</v>
          </cell>
          <cell r="H1491" t="str">
            <v>R</v>
          </cell>
          <cell r="I1491" t="str">
            <v>06/04/2024</v>
          </cell>
          <cell r="J1491" t="str">
            <v>06/07/2024</v>
          </cell>
          <cell r="K1491" t="str">
            <v>06/21/2024</v>
          </cell>
          <cell r="L1491">
            <v>20</v>
          </cell>
          <cell r="M1491" t="str">
            <v>6/5/2024 2:55:33 PM</v>
          </cell>
          <cell r="N1491" t="str">
            <v>25</v>
          </cell>
          <cell r="O1491">
            <v>20</v>
          </cell>
          <cell r="P1491">
            <v>7.99</v>
          </cell>
        </row>
        <row r="1492">
          <cell r="A1492" t="str">
            <v>6726231</v>
          </cell>
          <cell r="B1492" t="str">
            <v>1100813</v>
          </cell>
          <cell r="C1492" t="str">
            <v>692S-4</v>
          </cell>
          <cell r="D1492" t="str">
            <v>692S</v>
          </cell>
          <cell r="E1492" t="str">
            <v>BATON RING 1 SNAP</v>
          </cell>
          <cell r="F1492" t="str">
            <v>DG-KEEPER</v>
          </cell>
          <cell r="G1492" t="str">
            <v>1420-210-FG</v>
          </cell>
          <cell r="H1492" t="str">
            <v>R</v>
          </cell>
          <cell r="I1492" t="str">
            <v>06/07/2024</v>
          </cell>
          <cell r="J1492" t="str">
            <v>06/14/2024</v>
          </cell>
          <cell r="K1492" t="str">
            <v>06/21/2024</v>
          </cell>
          <cell r="L1492">
            <v>20</v>
          </cell>
          <cell r="M1492" t="str">
            <v>6/7/2024 11:32:48 AM</v>
          </cell>
          <cell r="N1492" t="str">
            <v>25</v>
          </cell>
          <cell r="O1492">
            <v>20</v>
          </cell>
          <cell r="P1492">
            <v>1.08</v>
          </cell>
        </row>
        <row r="1493">
          <cell r="A1493" t="str">
            <v>6726630</v>
          </cell>
          <cell r="B1493" t="str">
            <v>1017369</v>
          </cell>
          <cell r="C1493" t="str">
            <v>22125</v>
          </cell>
          <cell r="D1493" t="str">
            <v>7950</v>
          </cell>
          <cell r="E1493" t="str">
            <v>DUTY BELT BSK BLK MED 34-40</v>
          </cell>
          <cell r="F1493" t="str">
            <v>BN-BELT</v>
          </cell>
          <cell r="G1493" t="str">
            <v>1420-210-FG</v>
          </cell>
          <cell r="H1493" t="str">
            <v>R</v>
          </cell>
          <cell r="I1493" t="str">
            <v>06/10/2024</v>
          </cell>
          <cell r="J1493" t="str">
            <v>06/10/2024</v>
          </cell>
          <cell r="K1493" t="str">
            <v>06/21/2024</v>
          </cell>
          <cell r="L1493">
            <v>100</v>
          </cell>
          <cell r="M1493" t="str">
            <v>6/11/2024 2:36:12 PM</v>
          </cell>
          <cell r="N1493" t="str">
            <v>25</v>
          </cell>
          <cell r="O1493">
            <v>100</v>
          </cell>
          <cell r="P1493">
            <v>15.13</v>
          </cell>
        </row>
        <row r="1494">
          <cell r="A1494" t="str">
            <v>6726710</v>
          </cell>
          <cell r="B1494" t="str">
            <v>1103352</v>
          </cell>
          <cell r="C1494" t="str">
            <v>99-3-2</v>
          </cell>
          <cell r="D1494" t="str">
            <v>99</v>
          </cell>
          <cell r="E1494" t="str">
            <v>DUTY BELTBUCKLELESS</v>
          </cell>
          <cell r="F1494" t="str">
            <v>DG-BELT</v>
          </cell>
          <cell r="G1494" t="str">
            <v>1420-210-FG</v>
          </cell>
          <cell r="H1494" t="str">
            <v>R</v>
          </cell>
          <cell r="I1494" t="str">
            <v>06/10/2024</v>
          </cell>
          <cell r="J1494" t="str">
            <v>06/10/2024</v>
          </cell>
          <cell r="K1494" t="str">
            <v>06/21/2024</v>
          </cell>
          <cell r="L1494">
            <v>100</v>
          </cell>
          <cell r="M1494" t="str">
            <v>6/11/2024 3:09:40 PM</v>
          </cell>
          <cell r="N1494" t="str">
            <v>25</v>
          </cell>
          <cell r="O1494">
            <v>100</v>
          </cell>
          <cell r="P1494">
            <v>29.13</v>
          </cell>
        </row>
        <row r="1495">
          <cell r="A1495" t="str">
            <v>6726232</v>
          </cell>
          <cell r="B1495" t="str">
            <v>1100877</v>
          </cell>
          <cell r="C1495" t="str">
            <v>730-4</v>
          </cell>
          <cell r="D1495" t="str">
            <v>730</v>
          </cell>
          <cell r="E1495" t="str">
            <v>FLSHLIGHT CARRIERHVY DTY</v>
          </cell>
          <cell r="F1495" t="str">
            <v>DG-KEEPER</v>
          </cell>
          <cell r="G1495" t="str">
            <v>1420-210-FG</v>
          </cell>
          <cell r="H1495" t="str">
            <v>R</v>
          </cell>
          <cell r="I1495" t="str">
            <v>06/07/2024</v>
          </cell>
          <cell r="J1495" t="str">
            <v>06/07/2024</v>
          </cell>
          <cell r="K1495" t="str">
            <v>06/21/2024</v>
          </cell>
          <cell r="L1495">
            <v>15</v>
          </cell>
          <cell r="M1495" t="str">
            <v>6/7/2024 11:32:48 AM</v>
          </cell>
          <cell r="N1495" t="str">
            <v>25</v>
          </cell>
          <cell r="O1495">
            <v>15</v>
          </cell>
          <cell r="P1495">
            <v>1.36</v>
          </cell>
        </row>
        <row r="1496">
          <cell r="A1496" t="str">
            <v>6726239</v>
          </cell>
          <cell r="B1496" t="str">
            <v>1101734</v>
          </cell>
          <cell r="C1496" t="str">
            <v>690-03B</v>
          </cell>
          <cell r="D1496" t="str">
            <v>690</v>
          </cell>
          <cell r="E1496" t="str">
            <v>HANDCUFF STRAP 1 SNAP</v>
          </cell>
          <cell r="F1496" t="str">
            <v>DG-KEEPER</v>
          </cell>
          <cell r="G1496" t="str">
            <v>1420-210-FG</v>
          </cell>
          <cell r="H1496" t="str">
            <v>R</v>
          </cell>
          <cell r="I1496" t="str">
            <v>06/07/2024</v>
          </cell>
          <cell r="J1496" t="str">
            <v>06/07/2024</v>
          </cell>
          <cell r="K1496" t="str">
            <v>06/21/2024</v>
          </cell>
          <cell r="L1496">
            <v>1</v>
          </cell>
          <cell r="M1496" t="str">
            <v>6/7/2024 11:32:48 AM</v>
          </cell>
          <cell r="N1496" t="str">
            <v>25</v>
          </cell>
          <cell r="O1496">
            <v>1</v>
          </cell>
          <cell r="P1496">
            <v>0.09</v>
          </cell>
        </row>
        <row r="1497">
          <cell r="A1497" t="str">
            <v>6726236</v>
          </cell>
          <cell r="B1497" t="str">
            <v>1101733</v>
          </cell>
          <cell r="C1497" t="str">
            <v>690-03</v>
          </cell>
          <cell r="D1497" t="str">
            <v>690</v>
          </cell>
          <cell r="E1497" t="str">
            <v>HANDCUFF STRAP1 SNAP</v>
          </cell>
          <cell r="F1497" t="str">
            <v>DG-KEEPER</v>
          </cell>
          <cell r="G1497" t="str">
            <v>1420-210-FG</v>
          </cell>
          <cell r="H1497" t="str">
            <v>R</v>
          </cell>
          <cell r="I1497" t="str">
            <v>06/07/2024</v>
          </cell>
          <cell r="J1497" t="str">
            <v>06/07/2024</v>
          </cell>
          <cell r="K1497" t="str">
            <v>06/21/2024</v>
          </cell>
          <cell r="L1497">
            <v>1</v>
          </cell>
          <cell r="M1497" t="str">
            <v>6/7/2024 11:32:48 AM</v>
          </cell>
          <cell r="N1497" t="str">
            <v>25</v>
          </cell>
          <cell r="O1497">
            <v>1</v>
          </cell>
          <cell r="P1497">
            <v>0.09</v>
          </cell>
        </row>
        <row r="1498">
          <cell r="A1498" t="str">
            <v>6728878</v>
          </cell>
          <cell r="B1498" t="str">
            <v>1101735</v>
          </cell>
          <cell r="C1498" t="str">
            <v>690-2</v>
          </cell>
          <cell r="D1498" t="str">
            <v>690</v>
          </cell>
          <cell r="E1498" t="str">
            <v>HANDCUFF STRAP1 SNAP</v>
          </cell>
          <cell r="F1498" t="str">
            <v>DG-KEEPER</v>
          </cell>
          <cell r="G1498" t="str">
            <v>1420-210-FG</v>
          </cell>
          <cell r="H1498" t="str">
            <v>F</v>
          </cell>
          <cell r="I1498" t="str">
            <v>06/13/2024</v>
          </cell>
          <cell r="J1498" t="str">
            <v>06/13/2024</v>
          </cell>
          <cell r="K1498" t="str">
            <v>06/21/2024</v>
          </cell>
          <cell r="L1498">
            <v>30</v>
          </cell>
          <cell r="M1498" t="str">
            <v/>
          </cell>
          <cell r="N1498" t="str">
            <v>25</v>
          </cell>
          <cell r="O1498">
            <v>30</v>
          </cell>
          <cell r="P1498">
            <v>2.2200000000000002</v>
          </cell>
        </row>
        <row r="1499">
          <cell r="A1499" t="str">
            <v>6728284</v>
          </cell>
          <cell r="B1499" t="str">
            <v>1097612</v>
          </cell>
          <cell r="C1499" t="str">
            <v>27-53-62</v>
          </cell>
          <cell r="D1499" t="str">
            <v>27</v>
          </cell>
          <cell r="E1499" t="str">
            <v>INSIDE THE PANTS HOLSTER</v>
          </cell>
          <cell r="F1499" t="str">
            <v>DG-HOLSTER-SEW-DTC</v>
          </cell>
          <cell r="G1499" t="str">
            <v>1420-210-FG</v>
          </cell>
          <cell r="H1499" t="str">
            <v>R</v>
          </cell>
          <cell r="I1499" t="str">
            <v>06/11/2024</v>
          </cell>
          <cell r="J1499" t="str">
            <v>06/13/2024</v>
          </cell>
          <cell r="K1499" t="str">
            <v>06/21/2024</v>
          </cell>
          <cell r="L1499">
            <v>1</v>
          </cell>
          <cell r="M1499" t="str">
            <v>6/12/2024 4:11:59 PM</v>
          </cell>
          <cell r="N1499" t="str">
            <v>25</v>
          </cell>
          <cell r="O1499">
            <v>1</v>
          </cell>
          <cell r="P1499">
            <v>0.21</v>
          </cell>
        </row>
        <row r="1500">
          <cell r="A1500" t="str">
            <v>6726222</v>
          </cell>
          <cell r="B1500" t="str">
            <v>1096652</v>
          </cell>
          <cell r="C1500" t="str">
            <v>169S-03</v>
          </cell>
          <cell r="D1500" t="str">
            <v>169S</v>
          </cell>
          <cell r="E1500" t="str">
            <v>KEY RING 1 SNAP</v>
          </cell>
          <cell r="F1500" t="str">
            <v>DG-KEEPER</v>
          </cell>
          <cell r="G1500" t="str">
            <v>1420-210-FG</v>
          </cell>
          <cell r="H1500" t="str">
            <v>R</v>
          </cell>
          <cell r="I1500" t="str">
            <v>06/07/2024</v>
          </cell>
          <cell r="J1500" t="str">
            <v>06/07/2024</v>
          </cell>
          <cell r="K1500" t="str">
            <v>06/21/2024</v>
          </cell>
          <cell r="L1500">
            <v>1</v>
          </cell>
          <cell r="M1500" t="str">
            <v>6/7/2024 11:32:48 AM</v>
          </cell>
          <cell r="N1500" t="str">
            <v>25</v>
          </cell>
          <cell r="O1500">
            <v>1</v>
          </cell>
          <cell r="P1500">
            <v>0.04</v>
          </cell>
        </row>
        <row r="1501">
          <cell r="A1501" t="str">
            <v>6726224</v>
          </cell>
          <cell r="B1501" t="str">
            <v>1096653</v>
          </cell>
          <cell r="C1501" t="str">
            <v>169S-03B</v>
          </cell>
          <cell r="D1501" t="str">
            <v>169S</v>
          </cell>
          <cell r="E1501" t="str">
            <v>KEY RING 1 SNAP</v>
          </cell>
          <cell r="F1501" t="str">
            <v>DG-KEEPER</v>
          </cell>
          <cell r="G1501" t="str">
            <v>1420-210-FG</v>
          </cell>
          <cell r="H1501" t="str">
            <v>R</v>
          </cell>
          <cell r="I1501" t="str">
            <v>06/07/2024</v>
          </cell>
          <cell r="J1501" t="str">
            <v>06/07/2024</v>
          </cell>
          <cell r="K1501" t="str">
            <v>06/21/2024</v>
          </cell>
          <cell r="L1501">
            <v>1</v>
          </cell>
          <cell r="M1501" t="str">
            <v>6/7/2024 11:32:48 AM</v>
          </cell>
          <cell r="N1501" t="str">
            <v>25</v>
          </cell>
          <cell r="O1501">
            <v>1</v>
          </cell>
          <cell r="P1501">
            <v>0.04</v>
          </cell>
        </row>
        <row r="1502">
          <cell r="A1502" t="str">
            <v>6726227</v>
          </cell>
          <cell r="B1502" t="str">
            <v>1096725</v>
          </cell>
          <cell r="C1502" t="str">
            <v>169S-4B</v>
          </cell>
          <cell r="D1502" t="str">
            <v>169S</v>
          </cell>
          <cell r="E1502" t="str">
            <v>KEY RING 1 SNAP</v>
          </cell>
          <cell r="F1502" t="str">
            <v>DG-KEEPER</v>
          </cell>
          <cell r="G1502" t="str">
            <v>1420-210-FG</v>
          </cell>
          <cell r="H1502" t="str">
            <v>R</v>
          </cell>
          <cell r="I1502" t="str">
            <v>06/07/2024</v>
          </cell>
          <cell r="J1502" t="str">
            <v>06/07/2024</v>
          </cell>
          <cell r="K1502" t="str">
            <v>06/21/2024</v>
          </cell>
          <cell r="L1502">
            <v>10</v>
          </cell>
          <cell r="M1502" t="str">
            <v>6/7/2024 11:32:48 AM</v>
          </cell>
          <cell r="N1502" t="str">
            <v>25</v>
          </cell>
          <cell r="O1502">
            <v>10</v>
          </cell>
          <cell r="P1502">
            <v>0.54</v>
          </cell>
        </row>
        <row r="1503">
          <cell r="A1503" t="str">
            <v>6726149</v>
          </cell>
          <cell r="B1503" t="str">
            <v>1099253</v>
          </cell>
          <cell r="C1503" t="str">
            <v>37-13</v>
          </cell>
          <cell r="D1503" t="str">
            <v>37</v>
          </cell>
          <cell r="E1503" t="str">
            <v>MACE HOLDER OPEN TOP</v>
          </cell>
          <cell r="F1503" t="str">
            <v>DG-POUCH-F1</v>
          </cell>
          <cell r="G1503" t="str">
            <v>1420-210-FG</v>
          </cell>
          <cell r="H1503" t="str">
            <v>R</v>
          </cell>
          <cell r="I1503" t="str">
            <v>06/07/2024</v>
          </cell>
          <cell r="J1503" t="str">
            <v>06/07/2024</v>
          </cell>
          <cell r="K1503" t="str">
            <v>06/21/2024</v>
          </cell>
          <cell r="L1503">
            <v>15</v>
          </cell>
          <cell r="M1503" t="str">
            <v>6/7/2024 11:41:41 AM</v>
          </cell>
          <cell r="N1503" t="str">
            <v>25</v>
          </cell>
          <cell r="O1503">
            <v>15</v>
          </cell>
          <cell r="P1503">
            <v>4.29</v>
          </cell>
        </row>
        <row r="1504">
          <cell r="A1504" t="str">
            <v>6724058</v>
          </cell>
          <cell r="B1504" t="str">
            <v>1098934</v>
          </cell>
          <cell r="C1504" t="str">
            <v>38-4-2HS</v>
          </cell>
          <cell r="D1504" t="str">
            <v>38</v>
          </cell>
          <cell r="E1504" t="str">
            <v>MACE HOLDERTOP FLAP</v>
          </cell>
          <cell r="F1504" t="str">
            <v>DG-POUCH-F1</v>
          </cell>
          <cell r="G1504" t="str">
            <v>1420-210-FG</v>
          </cell>
          <cell r="H1504" t="str">
            <v>R</v>
          </cell>
          <cell r="I1504" t="str">
            <v>06/03/2024</v>
          </cell>
          <cell r="J1504" t="str">
            <v>06/07/2024</v>
          </cell>
          <cell r="K1504" t="str">
            <v>06/21/2024</v>
          </cell>
          <cell r="L1504">
            <v>98</v>
          </cell>
          <cell r="M1504" t="str">
            <v>6/13/2024 4:45:31 PM</v>
          </cell>
          <cell r="N1504" t="str">
            <v>25</v>
          </cell>
          <cell r="O1504">
            <v>98</v>
          </cell>
          <cell r="P1504">
            <v>28.05</v>
          </cell>
        </row>
        <row r="1505">
          <cell r="A1505" t="str">
            <v>6726421</v>
          </cell>
          <cell r="B1505" t="str">
            <v>1113688</v>
          </cell>
          <cell r="C1505" t="str">
            <v>BA-MMC</v>
          </cell>
          <cell r="D1505" t="str">
            <v>BA</v>
          </cell>
          <cell r="E1505" t="str">
            <v>MOLDED MAG CLIP</v>
          </cell>
          <cell r="F1505" t="str">
            <v>DG-POUCH-F2-F3</v>
          </cell>
          <cell r="G1505" t="str">
            <v>1420-210-FG</v>
          </cell>
          <cell r="H1505" t="str">
            <v>R</v>
          </cell>
          <cell r="I1505" t="str">
            <v>06/07/2024</v>
          </cell>
          <cell r="J1505" t="str">
            <v>06/07/2024</v>
          </cell>
          <cell r="K1505" t="str">
            <v>06/21/2024</v>
          </cell>
          <cell r="L1505">
            <v>200</v>
          </cell>
          <cell r="M1505" t="str">
            <v>6/7/2024 11:55:24 AM</v>
          </cell>
          <cell r="N1505" t="str">
            <v>25</v>
          </cell>
          <cell r="O1505">
            <v>200</v>
          </cell>
          <cell r="P1505">
            <v>8.48</v>
          </cell>
        </row>
        <row r="1506">
          <cell r="A1506" t="str">
            <v>6726665</v>
          </cell>
          <cell r="B1506" t="str">
            <v>1017568</v>
          </cell>
          <cell r="C1506" t="str">
            <v>23379</v>
          </cell>
          <cell r="D1506" t="str">
            <v>7210</v>
          </cell>
          <cell r="E1506" t="str">
            <v>NYLON DUTY BELT BLK SZ SML 28-34 LOOP</v>
          </cell>
          <cell r="F1506" t="str">
            <v>BN-BELT</v>
          </cell>
          <cell r="G1506" t="str">
            <v>1420-210-FG</v>
          </cell>
          <cell r="H1506" t="str">
            <v>F</v>
          </cell>
          <cell r="I1506" t="str">
            <v>06/10/2024</v>
          </cell>
          <cell r="J1506" t="str">
            <v>06/10/2024</v>
          </cell>
          <cell r="K1506" t="str">
            <v>06/21/2024</v>
          </cell>
          <cell r="L1506">
            <v>10</v>
          </cell>
          <cell r="M1506" t="str">
            <v/>
          </cell>
          <cell r="N1506" t="str">
            <v>25</v>
          </cell>
          <cell r="O1506">
            <v>10</v>
          </cell>
          <cell r="P1506">
            <v>1.06</v>
          </cell>
        </row>
        <row r="1507">
          <cell r="A1507" t="str">
            <v>6726643</v>
          </cell>
          <cell r="B1507" t="str">
            <v>1013693</v>
          </cell>
          <cell r="C1507" t="str">
            <v>23382</v>
          </cell>
          <cell r="D1507" t="str">
            <v>7210</v>
          </cell>
          <cell r="E1507" t="str">
            <v>NYLON DUTY BELT BLK SZ XLG 46-52 LOOP</v>
          </cell>
          <cell r="F1507" t="str">
            <v>BN-BELT</v>
          </cell>
          <cell r="G1507" t="str">
            <v>1420-210-FG</v>
          </cell>
          <cell r="H1507" t="str">
            <v>F</v>
          </cell>
          <cell r="I1507" t="str">
            <v>06/10/2024</v>
          </cell>
          <cell r="J1507" t="str">
            <v>06/10/2024</v>
          </cell>
          <cell r="K1507" t="str">
            <v>06/21/2024</v>
          </cell>
          <cell r="L1507">
            <v>10</v>
          </cell>
          <cell r="M1507" t="str">
            <v/>
          </cell>
          <cell r="N1507" t="str">
            <v>25</v>
          </cell>
          <cell r="O1507">
            <v>10</v>
          </cell>
          <cell r="P1507">
            <v>1.06</v>
          </cell>
        </row>
        <row r="1508">
          <cell r="A1508" t="str">
            <v>6728011</v>
          </cell>
          <cell r="B1508" t="str">
            <v>1140284</v>
          </cell>
          <cell r="C1508" t="str">
            <v>34-4-48</v>
          </cell>
          <cell r="D1508" t="str">
            <v>34</v>
          </cell>
          <cell r="E1508" t="str">
            <v>OVERSIZED OPEN OC HLDR</v>
          </cell>
          <cell r="F1508" t="str">
            <v>DG-HOLSTER-DTC</v>
          </cell>
          <cell r="G1508" t="str">
            <v>1420-210-FG</v>
          </cell>
          <cell r="H1508" t="str">
            <v>R</v>
          </cell>
          <cell r="I1508" t="str">
            <v>06/11/2024</v>
          </cell>
          <cell r="J1508" t="str">
            <v>06/17/2024</v>
          </cell>
          <cell r="K1508" t="str">
            <v>06/21/2024</v>
          </cell>
          <cell r="L1508">
            <v>24</v>
          </cell>
          <cell r="M1508" t="str">
            <v>6/12/2024 4:20:06 PM</v>
          </cell>
          <cell r="N1508" t="str">
            <v>25</v>
          </cell>
          <cell r="O1508">
            <v>24</v>
          </cell>
          <cell r="P1508">
            <v>7.49</v>
          </cell>
        </row>
        <row r="1509">
          <cell r="A1509" t="str">
            <v>6726867</v>
          </cell>
          <cell r="B1509" t="str">
            <v>1166242</v>
          </cell>
          <cell r="C1509" t="str">
            <v>6280-180-551</v>
          </cell>
          <cell r="D1509" t="str">
            <v>6280</v>
          </cell>
          <cell r="E1509" t="str">
            <v>SLS MID RIDE LEVEL II DUTY HOLSTER</v>
          </cell>
          <cell r="F1509" t="str">
            <v>DG-HOLSTER</v>
          </cell>
          <cell r="G1509" t="str">
            <v>1420-210-FG</v>
          </cell>
          <cell r="H1509" t="str">
            <v>R</v>
          </cell>
          <cell r="I1509" t="str">
            <v>06/10/2024</v>
          </cell>
          <cell r="J1509" t="str">
            <v>06/10/2024</v>
          </cell>
          <cell r="K1509" t="str">
            <v>06/21/2024</v>
          </cell>
          <cell r="L1509">
            <v>1</v>
          </cell>
          <cell r="M1509" t="str">
            <v>6/10/2024 12:38:19 PM</v>
          </cell>
          <cell r="N1509" t="str">
            <v>25</v>
          </cell>
          <cell r="O1509">
            <v>1</v>
          </cell>
          <cell r="P1509">
            <v>0.3</v>
          </cell>
        </row>
        <row r="1510">
          <cell r="A1510" t="str">
            <v>6727962</v>
          </cell>
          <cell r="B1510" t="str">
            <v>1335676</v>
          </cell>
          <cell r="C1510" t="str">
            <v>20-283-781</v>
          </cell>
          <cell r="D1510" t="str">
            <v>SPECIES</v>
          </cell>
          <cell r="E1510" t="str">
            <v>SPECIES GLOCK 19 COR BLK RH</v>
          </cell>
          <cell r="F1510" t="str">
            <v>DG-HOLSTER</v>
          </cell>
          <cell r="G1510" t="str">
            <v>1420-210-FG</v>
          </cell>
          <cell r="H1510" t="str">
            <v>R</v>
          </cell>
          <cell r="I1510" t="str">
            <v>06/11/2024</v>
          </cell>
          <cell r="J1510" t="str">
            <v>06/13/2024</v>
          </cell>
          <cell r="K1510" t="str">
            <v>06/21/2024</v>
          </cell>
          <cell r="L1510">
            <v>1</v>
          </cell>
          <cell r="M1510" t="str">
            <v>6/12/2024 4:27:36 PM</v>
          </cell>
          <cell r="N1510" t="str">
            <v>25</v>
          </cell>
          <cell r="O1510">
            <v>1</v>
          </cell>
          <cell r="P1510">
            <v>0.25</v>
          </cell>
        </row>
        <row r="1511">
          <cell r="A1511" t="str">
            <v>6727961</v>
          </cell>
          <cell r="B1511" t="str">
            <v>1335673</v>
          </cell>
          <cell r="C1511" t="str">
            <v>20-283-241</v>
          </cell>
          <cell r="D1511" t="str">
            <v>SPECIES</v>
          </cell>
          <cell r="E1511" t="str">
            <v>SPECIES GLOCK 19 COR GREY RH</v>
          </cell>
          <cell r="F1511" t="str">
            <v>DG-HOLSTER</v>
          </cell>
          <cell r="G1511" t="str">
            <v>1420-210-FG</v>
          </cell>
          <cell r="H1511" t="str">
            <v>R</v>
          </cell>
          <cell r="I1511" t="str">
            <v>06/11/2024</v>
          </cell>
          <cell r="J1511" t="str">
            <v>06/13/2024</v>
          </cell>
          <cell r="K1511" t="str">
            <v>06/21/2024</v>
          </cell>
          <cell r="L1511">
            <v>1</v>
          </cell>
          <cell r="M1511" t="str">
            <v>6/12/2024 4:27:36 PM</v>
          </cell>
          <cell r="N1511" t="str">
            <v>25</v>
          </cell>
          <cell r="O1511">
            <v>1</v>
          </cell>
          <cell r="P1511">
            <v>0.25</v>
          </cell>
        </row>
        <row r="1512">
          <cell r="A1512" t="str">
            <v>6727963</v>
          </cell>
          <cell r="B1512" t="str">
            <v>1335677</v>
          </cell>
          <cell r="C1512" t="str">
            <v>20-283-701</v>
          </cell>
          <cell r="D1512" t="str">
            <v>SPECIES</v>
          </cell>
          <cell r="E1512" t="str">
            <v>SPECIES GLOCK 19 COR MLTCM RH</v>
          </cell>
          <cell r="F1512" t="str">
            <v>DG-HOLSTER</v>
          </cell>
          <cell r="G1512" t="str">
            <v>1420-210-FG</v>
          </cell>
          <cell r="H1512" t="str">
            <v>R</v>
          </cell>
          <cell r="I1512" t="str">
            <v>06/11/2024</v>
          </cell>
          <cell r="J1512" t="str">
            <v>06/17/2024</v>
          </cell>
          <cell r="K1512" t="str">
            <v>06/21/2024</v>
          </cell>
          <cell r="L1512">
            <v>4</v>
          </cell>
          <cell r="M1512" t="str">
            <v>6/12/2024 4:27:36 PM</v>
          </cell>
          <cell r="N1512" t="str">
            <v>25</v>
          </cell>
          <cell r="O1512">
            <v>4</v>
          </cell>
          <cell r="P1512">
            <v>0.9</v>
          </cell>
        </row>
        <row r="1513">
          <cell r="A1513" t="str">
            <v>6727964</v>
          </cell>
          <cell r="B1513" t="str">
            <v>1335680</v>
          </cell>
          <cell r="C1513" t="str">
            <v>20-283-B991</v>
          </cell>
          <cell r="D1513" t="str">
            <v>SPECIES</v>
          </cell>
          <cell r="E1513" t="str">
            <v>SPECIES GLOCK 19 COR VTS RH</v>
          </cell>
          <cell r="F1513" t="str">
            <v>DG-HOLSTER</v>
          </cell>
          <cell r="G1513" t="str">
            <v>1420-210-FG</v>
          </cell>
          <cell r="H1513" t="str">
            <v>R</v>
          </cell>
          <cell r="I1513" t="str">
            <v>06/11/2024</v>
          </cell>
          <cell r="J1513" t="str">
            <v>06/17/2024</v>
          </cell>
          <cell r="K1513" t="str">
            <v>06/21/2024</v>
          </cell>
          <cell r="L1513">
            <v>1</v>
          </cell>
          <cell r="M1513" t="str">
            <v>6/12/2024 4:27:36 PM</v>
          </cell>
          <cell r="N1513" t="str">
            <v>25</v>
          </cell>
          <cell r="O1513">
            <v>1</v>
          </cell>
          <cell r="P1513">
            <v>0.23</v>
          </cell>
        </row>
        <row r="1514">
          <cell r="A1514" t="str">
            <v>6727966</v>
          </cell>
          <cell r="B1514" t="str">
            <v>1335760</v>
          </cell>
          <cell r="C1514" t="str">
            <v>20-895-751</v>
          </cell>
          <cell r="D1514" t="str">
            <v>SPECIES</v>
          </cell>
          <cell r="E1514" t="str">
            <v>SPECIES GLOCK 43/43X COR  KHK RH</v>
          </cell>
          <cell r="F1514" t="str">
            <v>DG-HOLSTER</v>
          </cell>
          <cell r="G1514" t="str">
            <v>1420-210-FG</v>
          </cell>
          <cell r="H1514" t="str">
            <v>R</v>
          </cell>
          <cell r="I1514" t="str">
            <v>06/11/2024</v>
          </cell>
          <cell r="J1514" t="str">
            <v>06/17/2024</v>
          </cell>
          <cell r="K1514" t="str">
            <v>06/21/2024</v>
          </cell>
          <cell r="L1514">
            <v>1</v>
          </cell>
          <cell r="M1514" t="str">
            <v>6/12/2024 4:27:36 PM</v>
          </cell>
          <cell r="N1514" t="str">
            <v>25</v>
          </cell>
          <cell r="O1514">
            <v>1</v>
          </cell>
          <cell r="P1514">
            <v>0.22</v>
          </cell>
        </row>
        <row r="1515">
          <cell r="A1515" t="str">
            <v>6727965</v>
          </cell>
          <cell r="B1515" t="str">
            <v>1335758</v>
          </cell>
          <cell r="C1515" t="str">
            <v>20-895-241</v>
          </cell>
          <cell r="D1515" t="str">
            <v>SPECIES</v>
          </cell>
          <cell r="E1515" t="str">
            <v>SPECIES GLOCK 43/43X COR GREY RH</v>
          </cell>
          <cell r="F1515" t="str">
            <v>DG-HOLSTER</v>
          </cell>
          <cell r="G1515" t="str">
            <v>1420-210-FG</v>
          </cell>
          <cell r="H1515" t="str">
            <v>R</v>
          </cell>
          <cell r="I1515" t="str">
            <v>06/11/2024</v>
          </cell>
          <cell r="J1515" t="str">
            <v>06/17/2024</v>
          </cell>
          <cell r="K1515" t="str">
            <v>06/21/2024</v>
          </cell>
          <cell r="L1515">
            <v>2</v>
          </cell>
          <cell r="M1515" t="str">
            <v>6/12/2024 4:27:36 PM</v>
          </cell>
          <cell r="N1515" t="str">
            <v>25</v>
          </cell>
          <cell r="O1515">
            <v>2</v>
          </cell>
          <cell r="P1515">
            <v>0.41</v>
          </cell>
        </row>
        <row r="1516">
          <cell r="A1516" t="str">
            <v>6727970</v>
          </cell>
          <cell r="B1516" t="str">
            <v>1335789</v>
          </cell>
          <cell r="C1516" t="str">
            <v>20-144-B991</v>
          </cell>
          <cell r="D1516" t="str">
            <v>SPECIES</v>
          </cell>
          <cell r="E1516" t="str">
            <v>SPECIES HELLCAT COR VTS RH</v>
          </cell>
          <cell r="F1516" t="str">
            <v>DG-HOLSTER</v>
          </cell>
          <cell r="G1516" t="str">
            <v>1420-210-FG</v>
          </cell>
          <cell r="H1516" t="str">
            <v>R</v>
          </cell>
          <cell r="I1516" t="str">
            <v>06/11/2024</v>
          </cell>
          <cell r="J1516" t="str">
            <v>06/14/2024</v>
          </cell>
          <cell r="K1516" t="str">
            <v>06/21/2024</v>
          </cell>
          <cell r="L1516">
            <v>1</v>
          </cell>
          <cell r="M1516" t="str">
            <v>6/12/2024 4:27:36 PM</v>
          </cell>
          <cell r="N1516" t="str">
            <v>25</v>
          </cell>
          <cell r="O1516">
            <v>1</v>
          </cell>
          <cell r="P1516">
            <v>0.2</v>
          </cell>
        </row>
        <row r="1517">
          <cell r="A1517" t="str">
            <v>6728687</v>
          </cell>
          <cell r="B1517" t="str">
            <v>1335789</v>
          </cell>
          <cell r="C1517" t="str">
            <v>20-144-B991</v>
          </cell>
          <cell r="D1517" t="str">
            <v>SPECIES</v>
          </cell>
          <cell r="E1517" t="str">
            <v>SPECIES HELLCAT COR VTS RH</v>
          </cell>
          <cell r="F1517" t="str">
            <v>DG-HOLSTER</v>
          </cell>
          <cell r="G1517" t="str">
            <v>1420-210-FG</v>
          </cell>
          <cell r="H1517" t="str">
            <v>R</v>
          </cell>
          <cell r="I1517" t="str">
            <v>06/12/2024</v>
          </cell>
          <cell r="J1517" t="str">
            <v>06/18/2024</v>
          </cell>
          <cell r="K1517" t="str">
            <v>06/21/2024</v>
          </cell>
          <cell r="L1517">
            <v>1</v>
          </cell>
          <cell r="M1517" t="str">
            <v>6/12/2024 4:27:36 PM</v>
          </cell>
          <cell r="N1517" t="str">
            <v>25</v>
          </cell>
          <cell r="O1517">
            <v>1</v>
          </cell>
          <cell r="P1517">
            <v>0.2</v>
          </cell>
        </row>
        <row r="1518">
          <cell r="A1518" t="str">
            <v>6727977</v>
          </cell>
          <cell r="B1518" t="str">
            <v>1336911</v>
          </cell>
          <cell r="C1518" t="str">
            <v>20-244-701</v>
          </cell>
          <cell r="D1518" t="str">
            <v>SPECIES</v>
          </cell>
          <cell r="E1518" t="str">
            <v>SPECIES HELLCAT PRO COR MLTCM RH</v>
          </cell>
          <cell r="F1518" t="str">
            <v>DG-HOLSTER</v>
          </cell>
          <cell r="G1518" t="str">
            <v>1420-210-FG</v>
          </cell>
          <cell r="H1518" t="str">
            <v>R</v>
          </cell>
          <cell r="I1518" t="str">
            <v>06/11/2024</v>
          </cell>
          <cell r="J1518" t="str">
            <v>06/17/2024</v>
          </cell>
          <cell r="K1518" t="str">
            <v>06/21/2024</v>
          </cell>
          <cell r="L1518">
            <v>2</v>
          </cell>
          <cell r="M1518" t="str">
            <v>6/12/2024 4:27:36 PM</v>
          </cell>
          <cell r="N1518" t="str">
            <v>25</v>
          </cell>
          <cell r="O1518">
            <v>2</v>
          </cell>
          <cell r="P1518">
            <v>0.39</v>
          </cell>
        </row>
        <row r="1519">
          <cell r="A1519" t="str">
            <v>6727976</v>
          </cell>
          <cell r="B1519" t="str">
            <v>1336282</v>
          </cell>
          <cell r="C1519" t="str">
            <v>20-365-B991</v>
          </cell>
          <cell r="D1519" t="str">
            <v>SPECIES</v>
          </cell>
          <cell r="E1519" t="str">
            <v>SPECIES P365 COR VTS RH</v>
          </cell>
          <cell r="F1519" t="str">
            <v>DG-HOLSTER</v>
          </cell>
          <cell r="G1519" t="str">
            <v>1420-210-FG</v>
          </cell>
          <cell r="H1519" t="str">
            <v>R</v>
          </cell>
          <cell r="I1519" t="str">
            <v>06/11/2024</v>
          </cell>
          <cell r="J1519" t="str">
            <v>06/17/2024</v>
          </cell>
          <cell r="K1519" t="str">
            <v>06/21/2024</v>
          </cell>
          <cell r="L1519">
            <v>1</v>
          </cell>
          <cell r="M1519" t="str">
            <v>6/12/2024 4:27:36 PM</v>
          </cell>
          <cell r="N1519" t="str">
            <v>25</v>
          </cell>
          <cell r="O1519">
            <v>1</v>
          </cell>
          <cell r="P1519">
            <v>0.2</v>
          </cell>
        </row>
        <row r="1520">
          <cell r="A1520" t="str">
            <v>6727971</v>
          </cell>
          <cell r="B1520" t="str">
            <v>1335801</v>
          </cell>
          <cell r="C1520" t="str">
            <v>20-565-781</v>
          </cell>
          <cell r="D1520" t="str">
            <v>SPECIES</v>
          </cell>
          <cell r="E1520" t="str">
            <v>SPECIES P365 X-MACRO COR BLK RH</v>
          </cell>
          <cell r="F1520" t="str">
            <v>DG-HOLSTER</v>
          </cell>
          <cell r="G1520" t="str">
            <v>1420-210-FG</v>
          </cell>
          <cell r="H1520" t="str">
            <v>R</v>
          </cell>
          <cell r="I1520" t="str">
            <v>06/11/2024</v>
          </cell>
          <cell r="J1520" t="str">
            <v>06/17/2024</v>
          </cell>
          <cell r="K1520" t="str">
            <v>06/21/2024</v>
          </cell>
          <cell r="L1520">
            <v>2</v>
          </cell>
          <cell r="M1520" t="str">
            <v>6/12/2024 4:27:36 PM</v>
          </cell>
          <cell r="N1520" t="str">
            <v>25</v>
          </cell>
          <cell r="O1520">
            <v>2</v>
          </cell>
          <cell r="P1520">
            <v>0.41</v>
          </cell>
        </row>
        <row r="1521">
          <cell r="A1521" t="str">
            <v>6727972</v>
          </cell>
          <cell r="B1521" t="str">
            <v>1335802</v>
          </cell>
          <cell r="C1521" t="str">
            <v>20-565-701</v>
          </cell>
          <cell r="D1521" t="str">
            <v>SPECIES</v>
          </cell>
          <cell r="E1521" t="str">
            <v>SPECIES P365 X-MACRO COR MLTCM RH</v>
          </cell>
          <cell r="F1521" t="str">
            <v>DG-HOLSTER</v>
          </cell>
          <cell r="G1521" t="str">
            <v>1420-210-FG</v>
          </cell>
          <cell r="H1521" t="str">
            <v>R</v>
          </cell>
          <cell r="I1521" t="str">
            <v>06/11/2024</v>
          </cell>
          <cell r="J1521" t="str">
            <v>06/17/2024</v>
          </cell>
          <cell r="K1521" t="str">
            <v>06/21/2024</v>
          </cell>
          <cell r="L1521">
            <v>2</v>
          </cell>
          <cell r="M1521" t="str">
            <v>6/12/2024 4:27:36 PM</v>
          </cell>
          <cell r="N1521" t="str">
            <v>25</v>
          </cell>
          <cell r="O1521">
            <v>2</v>
          </cell>
          <cell r="P1521">
            <v>0.39</v>
          </cell>
        </row>
        <row r="1522">
          <cell r="A1522" t="str">
            <v>6727973</v>
          </cell>
          <cell r="B1522" t="str">
            <v>1335805</v>
          </cell>
          <cell r="C1522" t="str">
            <v>20-565-B991</v>
          </cell>
          <cell r="D1522" t="str">
            <v>SPECIES</v>
          </cell>
          <cell r="E1522" t="str">
            <v>SPECIES P365 X-MACRO COR VTS RH</v>
          </cell>
          <cell r="F1522" t="str">
            <v>DG-HOLSTER</v>
          </cell>
          <cell r="G1522" t="str">
            <v>1420-210-FG</v>
          </cell>
          <cell r="H1522" t="str">
            <v>R</v>
          </cell>
          <cell r="I1522" t="str">
            <v>06/11/2024</v>
          </cell>
          <cell r="J1522" t="str">
            <v>06/14/2024</v>
          </cell>
          <cell r="K1522" t="str">
            <v>06/21/2024</v>
          </cell>
          <cell r="L1522">
            <v>2</v>
          </cell>
          <cell r="M1522" t="str">
            <v>6/12/2024 4:27:36 PM</v>
          </cell>
          <cell r="N1522" t="str">
            <v>25</v>
          </cell>
          <cell r="O1522">
            <v>2</v>
          </cell>
          <cell r="P1522">
            <v>0.39</v>
          </cell>
        </row>
        <row r="1523">
          <cell r="A1523" t="str">
            <v>6726910</v>
          </cell>
          <cell r="B1523" t="str">
            <v>1336301</v>
          </cell>
          <cell r="C1523" t="str">
            <v>20-465-711</v>
          </cell>
          <cell r="D1523" t="str">
            <v>SPECIES</v>
          </cell>
          <cell r="E1523" t="str">
            <v>SPECIES P365XL COR BKMCAM RH</v>
          </cell>
          <cell r="F1523" t="str">
            <v>DG-HOLSTER</v>
          </cell>
          <cell r="G1523" t="str">
            <v>1420-210-FG</v>
          </cell>
          <cell r="H1523" t="str">
            <v>R</v>
          </cell>
          <cell r="I1523" t="str">
            <v>06/10/2024</v>
          </cell>
          <cell r="J1523" t="str">
            <v>06/10/2024</v>
          </cell>
          <cell r="K1523" t="str">
            <v>06/21/2024</v>
          </cell>
          <cell r="L1523">
            <v>1</v>
          </cell>
          <cell r="M1523" t="str">
            <v>6/12/2024 4:27:36 PM</v>
          </cell>
          <cell r="N1523" t="str">
            <v>25</v>
          </cell>
          <cell r="O1523">
            <v>1</v>
          </cell>
          <cell r="P1523">
            <v>0.2</v>
          </cell>
        </row>
        <row r="1524">
          <cell r="A1524" t="str">
            <v>6727969</v>
          </cell>
          <cell r="B1524" t="str">
            <v>1335778</v>
          </cell>
          <cell r="C1524" t="str">
            <v>20-172-701</v>
          </cell>
          <cell r="D1524" t="str">
            <v>SPECIES</v>
          </cell>
          <cell r="E1524" t="str">
            <v>SPECIES TAURUS G2C/G3C COR MLTCM RH</v>
          </cell>
          <cell r="F1524" t="str">
            <v>DG-HOLSTER</v>
          </cell>
          <cell r="G1524" t="str">
            <v>1420-210-FG</v>
          </cell>
          <cell r="H1524" t="str">
            <v>R</v>
          </cell>
          <cell r="I1524" t="str">
            <v>06/11/2024</v>
          </cell>
          <cell r="J1524" t="str">
            <v>06/17/2024</v>
          </cell>
          <cell r="K1524" t="str">
            <v>06/21/2024</v>
          </cell>
          <cell r="L1524">
            <v>2</v>
          </cell>
          <cell r="M1524" t="str">
            <v>6/12/2024 4:27:36 PM</v>
          </cell>
          <cell r="N1524" t="str">
            <v>25</v>
          </cell>
          <cell r="O1524">
            <v>2</v>
          </cell>
          <cell r="P1524">
            <v>0.39</v>
          </cell>
        </row>
        <row r="1525">
          <cell r="A1525" t="str">
            <v>6727492</v>
          </cell>
          <cell r="B1525" t="str">
            <v>1015927</v>
          </cell>
          <cell r="C1525" t="str">
            <v>14869</v>
          </cell>
          <cell r="D1525" t="str">
            <v>UM84R</v>
          </cell>
          <cell r="E1525" t="str">
            <v>UNIV. MIL. HOL. REVOLVER BLACK S-W19 4IN</v>
          </cell>
          <cell r="F1525" t="str">
            <v>BN-RANGER</v>
          </cell>
          <cell r="G1525" t="str">
            <v>1420-210-FG</v>
          </cell>
          <cell r="H1525" t="str">
            <v>R</v>
          </cell>
          <cell r="I1525" t="str">
            <v>06/11/2024</v>
          </cell>
          <cell r="J1525" t="str">
            <v>06/11/2024</v>
          </cell>
          <cell r="K1525" t="str">
            <v>06/21/2024</v>
          </cell>
          <cell r="L1525">
            <v>30</v>
          </cell>
          <cell r="M1525" t="str">
            <v>6/11/2024 7:32:13 AM</v>
          </cell>
          <cell r="N1525" t="str">
            <v>25</v>
          </cell>
          <cell r="O1525">
            <v>30</v>
          </cell>
          <cell r="P1525">
            <v>8.26</v>
          </cell>
        </row>
        <row r="1526">
          <cell r="A1526" t="str">
            <v>6726784</v>
          </cell>
          <cell r="B1526" t="str">
            <v>1139070</v>
          </cell>
          <cell r="C1526" t="str">
            <v>032-34-18</v>
          </cell>
          <cell r="D1526" t="str">
            <v>032</v>
          </cell>
          <cell r="E1526" t="str">
            <v>032 ELS COMP BLT SZ34 BASKET BLK</v>
          </cell>
          <cell r="F1526" t="str">
            <v>DG-BELT</v>
          </cell>
          <cell r="G1526" t="str">
            <v>1420-210-FG</v>
          </cell>
          <cell r="H1526" t="str">
            <v>R</v>
          </cell>
          <cell r="I1526" t="str">
            <v>06/10/2024</v>
          </cell>
          <cell r="J1526" t="str">
            <v>06/10/2024</v>
          </cell>
          <cell r="K1526" t="str">
            <v>06/24/2024</v>
          </cell>
          <cell r="L1526">
            <v>5</v>
          </cell>
          <cell r="M1526" t="str">
            <v>6/11/2024 3:09:40 PM</v>
          </cell>
          <cell r="N1526" t="str">
            <v>26</v>
          </cell>
          <cell r="O1526">
            <v>5</v>
          </cell>
          <cell r="P1526">
            <v>3.19</v>
          </cell>
        </row>
        <row r="1527">
          <cell r="A1527" t="str">
            <v>6724605</v>
          </cell>
          <cell r="B1527" t="str">
            <v>1198371</v>
          </cell>
          <cell r="C1527" t="str">
            <v>032-36-55</v>
          </cell>
          <cell r="D1527" t="str">
            <v>032</v>
          </cell>
          <cell r="E1527" t="str">
            <v>032 ELS COMP BLT SZ36 PLN FDE</v>
          </cell>
          <cell r="F1527" t="str">
            <v>DG-BELT</v>
          </cell>
          <cell r="G1527" t="str">
            <v>1420-210-FG</v>
          </cell>
          <cell r="H1527" t="str">
            <v>R</v>
          </cell>
          <cell r="I1527" t="str">
            <v>06/04/2024</v>
          </cell>
          <cell r="J1527" t="str">
            <v>06/10/2024</v>
          </cell>
          <cell r="K1527" t="str">
            <v>06/24/2024</v>
          </cell>
          <cell r="L1527">
            <v>5</v>
          </cell>
          <cell r="M1527" t="str">
            <v>6/4/2024 2:05:06 PM</v>
          </cell>
          <cell r="N1527" t="str">
            <v>26</v>
          </cell>
          <cell r="O1527">
            <v>5</v>
          </cell>
          <cell r="P1527">
            <v>1.44</v>
          </cell>
        </row>
        <row r="1528">
          <cell r="A1528" t="str">
            <v>6726787</v>
          </cell>
          <cell r="B1528" t="str">
            <v>1163636</v>
          </cell>
          <cell r="C1528" t="str">
            <v>032-46-35</v>
          </cell>
          <cell r="D1528" t="str">
            <v>032</v>
          </cell>
          <cell r="E1528" t="str">
            <v>032 ELS COMP BLT SZ46 PLN RED</v>
          </cell>
          <cell r="F1528" t="str">
            <v>DG-BELT</v>
          </cell>
          <cell r="G1528" t="str">
            <v>1420-210-FG</v>
          </cell>
          <cell r="H1528" t="str">
            <v>R</v>
          </cell>
          <cell r="I1528" t="str">
            <v>06/10/2024</v>
          </cell>
          <cell r="J1528" t="str">
            <v>06/10/2024</v>
          </cell>
          <cell r="K1528" t="str">
            <v>06/24/2024</v>
          </cell>
          <cell r="L1528">
            <v>2</v>
          </cell>
          <cell r="M1528" t="str">
            <v>6/11/2024 3:02:21 PM</v>
          </cell>
          <cell r="N1528" t="str">
            <v>26</v>
          </cell>
          <cell r="O1528">
            <v>2</v>
          </cell>
          <cell r="P1528">
            <v>1.05</v>
          </cell>
        </row>
        <row r="1529">
          <cell r="A1529" t="str">
            <v>6728579</v>
          </cell>
          <cell r="B1529" t="str">
            <v>1173829</v>
          </cell>
          <cell r="C1529" t="str">
            <v>SA-1052-2</v>
          </cell>
          <cell r="D1529" t="str">
            <v>SA</v>
          </cell>
          <cell r="E1529" t="str">
            <v>1052 PLAIN BLACK SHOULDER STRAP</v>
          </cell>
          <cell r="F1529" t="str">
            <v>DG-HOLSTER</v>
          </cell>
          <cell r="G1529" t="str">
            <v>1420-210-SB</v>
          </cell>
          <cell r="H1529" t="str">
            <v>R</v>
          </cell>
          <cell r="I1529" t="str">
            <v>06/12/2024</v>
          </cell>
          <cell r="J1529" t="str">
            <v>06/12/2024</v>
          </cell>
          <cell r="K1529" t="str">
            <v>06/24/2024</v>
          </cell>
          <cell r="L1529">
            <v>18</v>
          </cell>
          <cell r="M1529" t="str">
            <v>6/13/2024 11:11:52 AM</v>
          </cell>
          <cell r="N1529" t="str">
            <v>26</v>
          </cell>
          <cell r="O1529">
            <v>18</v>
          </cell>
          <cell r="P1529">
            <v>5.65</v>
          </cell>
        </row>
        <row r="1530">
          <cell r="A1530" t="str">
            <v>6726727</v>
          </cell>
          <cell r="B1530" t="str">
            <v>1097029</v>
          </cell>
          <cell r="C1530" t="str">
            <v>146-30-2</v>
          </cell>
          <cell r="D1530" t="str">
            <v>146</v>
          </cell>
          <cell r="E1530" t="str">
            <v>146 BORDER PATROL BLT PLN BLK SZ30 CH</v>
          </cell>
          <cell r="F1530" t="str">
            <v>DG-BELT</v>
          </cell>
          <cell r="G1530" t="str">
            <v>1420-210-FG</v>
          </cell>
          <cell r="H1530" t="str">
            <v>R</v>
          </cell>
          <cell r="I1530" t="str">
            <v>06/10/2024</v>
          </cell>
          <cell r="J1530" t="str">
            <v>06/10/2024</v>
          </cell>
          <cell r="K1530" t="str">
            <v>06/24/2024</v>
          </cell>
          <cell r="L1530">
            <v>1</v>
          </cell>
          <cell r="M1530" t="str">
            <v>6/11/2024 3:02:21 PM</v>
          </cell>
          <cell r="N1530" t="str">
            <v>26</v>
          </cell>
          <cell r="O1530">
            <v>1</v>
          </cell>
          <cell r="P1530">
            <v>0.48</v>
          </cell>
        </row>
        <row r="1531">
          <cell r="A1531" t="str">
            <v>6726780</v>
          </cell>
          <cell r="B1531" t="str">
            <v>1138018</v>
          </cell>
          <cell r="C1531" t="str">
            <v>146V-34-4</v>
          </cell>
          <cell r="D1531" t="str">
            <v>146V</v>
          </cell>
          <cell r="E1531" t="str">
            <v>146V BORDER PATROL BLT BSK BLK SZ34 CH</v>
          </cell>
          <cell r="F1531" t="str">
            <v>DG-BELT</v>
          </cell>
          <cell r="G1531" t="str">
            <v>1420-210-FG</v>
          </cell>
          <cell r="H1531" t="str">
            <v>R</v>
          </cell>
          <cell r="I1531" t="str">
            <v>06/10/2024</v>
          </cell>
          <cell r="J1531" t="str">
            <v>06/10/2024</v>
          </cell>
          <cell r="K1531" t="str">
            <v>06/24/2024</v>
          </cell>
          <cell r="L1531">
            <v>1</v>
          </cell>
          <cell r="M1531" t="str">
            <v>6/11/2024 3:02:21 PM</v>
          </cell>
          <cell r="N1531" t="str">
            <v>26</v>
          </cell>
          <cell r="O1531">
            <v>1</v>
          </cell>
          <cell r="P1531">
            <v>0.56000000000000005</v>
          </cell>
        </row>
        <row r="1532">
          <cell r="A1532" t="str">
            <v>6728292</v>
          </cell>
          <cell r="B1532" t="str">
            <v>1207879</v>
          </cell>
          <cell r="C1532" t="str">
            <v>17-183-131</v>
          </cell>
          <cell r="D1532" t="str">
            <v>17</v>
          </cell>
          <cell r="E1532" t="str">
            <v>17 GLOCK 26/27 STX TAC BLK RH</v>
          </cell>
          <cell r="F1532" t="str">
            <v>DG-HOLSTER-SEW-DTC</v>
          </cell>
          <cell r="G1532" t="str">
            <v>1420-210-FG</v>
          </cell>
          <cell r="H1532" t="str">
            <v>R</v>
          </cell>
          <cell r="I1532" t="str">
            <v>06/11/2024</v>
          </cell>
          <cell r="J1532" t="str">
            <v>06/12/2024</v>
          </cell>
          <cell r="K1532" t="str">
            <v>06/24/2024</v>
          </cell>
          <cell r="L1532">
            <v>5</v>
          </cell>
          <cell r="M1532" t="str">
            <v>6/13/2024 10:59:11 AM</v>
          </cell>
          <cell r="N1532" t="str">
            <v>26</v>
          </cell>
          <cell r="O1532">
            <v>5</v>
          </cell>
          <cell r="P1532">
            <v>0.76</v>
          </cell>
        </row>
        <row r="1533">
          <cell r="A1533" t="str">
            <v>6728291</v>
          </cell>
          <cell r="B1533" t="str">
            <v>1207775</v>
          </cell>
          <cell r="C1533" t="str">
            <v>17-895-131</v>
          </cell>
          <cell r="D1533" t="str">
            <v>17</v>
          </cell>
          <cell r="E1533" t="str">
            <v>17 GLOCK 43 STX TAC BLK RH</v>
          </cell>
          <cell r="F1533" t="str">
            <v>DG-HOLSTER-SEW-DTC</v>
          </cell>
          <cell r="G1533" t="str">
            <v>1420-210-FG</v>
          </cell>
          <cell r="H1533" t="str">
            <v>R</v>
          </cell>
          <cell r="I1533" t="str">
            <v>06/11/2024</v>
          </cell>
          <cell r="J1533" t="str">
            <v>06/13/2024</v>
          </cell>
          <cell r="K1533" t="str">
            <v>06/24/2024</v>
          </cell>
          <cell r="L1533">
            <v>10</v>
          </cell>
          <cell r="M1533" t="str">
            <v>6/13/2024 10:58:54 AM</v>
          </cell>
          <cell r="N1533" t="str">
            <v>26</v>
          </cell>
          <cell r="O1533">
            <v>10</v>
          </cell>
          <cell r="P1533">
            <v>1.52</v>
          </cell>
        </row>
        <row r="1534">
          <cell r="A1534" t="str">
            <v>6728294</v>
          </cell>
          <cell r="B1534" t="str">
            <v>1317563</v>
          </cell>
          <cell r="C1534" t="str">
            <v>17-365-131</v>
          </cell>
          <cell r="D1534" t="str">
            <v>17</v>
          </cell>
          <cell r="E1534" t="str">
            <v>17 SIG P365 STX TAC BLK RH</v>
          </cell>
          <cell r="F1534" t="str">
            <v>DG-HOLSTER-SEW-DTC</v>
          </cell>
          <cell r="G1534" t="str">
            <v>1420-210-FG</v>
          </cell>
          <cell r="H1534" t="str">
            <v>R</v>
          </cell>
          <cell r="I1534" t="str">
            <v>06/11/2024</v>
          </cell>
          <cell r="J1534" t="str">
            <v>06/14/2024</v>
          </cell>
          <cell r="K1534" t="str">
            <v>06/24/2024</v>
          </cell>
          <cell r="L1534">
            <v>5</v>
          </cell>
          <cell r="M1534" t="str">
            <v>6/13/2024 10:59:25 AM</v>
          </cell>
          <cell r="N1534" t="str">
            <v>26</v>
          </cell>
          <cell r="O1534">
            <v>5</v>
          </cell>
          <cell r="P1534">
            <v>0.76</v>
          </cell>
        </row>
        <row r="1535">
          <cell r="A1535" t="str">
            <v>6726196</v>
          </cell>
          <cell r="B1535" t="str">
            <v>1178429</v>
          </cell>
          <cell r="C1535" t="str">
            <v>27-894-61</v>
          </cell>
          <cell r="D1535" t="str">
            <v>27</v>
          </cell>
          <cell r="E1535" t="str">
            <v>27 GLOCK 42 SIG 365 PLN BLK RH</v>
          </cell>
          <cell r="F1535" t="str">
            <v>DG-HOLSTER-SEW-DTC</v>
          </cell>
          <cell r="G1535" t="str">
            <v>1420-210-FG</v>
          </cell>
          <cell r="H1535" t="str">
            <v>R</v>
          </cell>
          <cell r="I1535" t="str">
            <v>06/07/2024</v>
          </cell>
          <cell r="J1535" t="str">
            <v>06/07/2024</v>
          </cell>
          <cell r="K1535" t="str">
            <v>06/24/2024</v>
          </cell>
          <cell r="L1535">
            <v>5</v>
          </cell>
          <cell r="M1535" t="str">
            <v>6/13/2024 11:03:11 AM</v>
          </cell>
          <cell r="N1535" t="str">
            <v>26</v>
          </cell>
          <cell r="O1535">
            <v>5</v>
          </cell>
          <cell r="P1535">
            <v>1.05</v>
          </cell>
        </row>
        <row r="1536">
          <cell r="A1536" t="str">
            <v>6728299</v>
          </cell>
          <cell r="B1536" t="str">
            <v>1189668</v>
          </cell>
          <cell r="C1536" t="str">
            <v>27-895-61</v>
          </cell>
          <cell r="D1536" t="str">
            <v>27</v>
          </cell>
          <cell r="E1536" t="str">
            <v>27 GLOCK 43 PLN BLK RH</v>
          </cell>
          <cell r="F1536" t="str">
            <v>DG-HOLSTER-SEW-DTC</v>
          </cell>
          <cell r="G1536" t="str">
            <v>1420-210-FG</v>
          </cell>
          <cell r="H1536" t="str">
            <v>R</v>
          </cell>
          <cell r="I1536" t="str">
            <v>06/11/2024</v>
          </cell>
          <cell r="J1536" t="str">
            <v>06/14/2024</v>
          </cell>
          <cell r="K1536" t="str">
            <v>06/24/2024</v>
          </cell>
          <cell r="L1536">
            <v>50</v>
          </cell>
          <cell r="M1536" t="str">
            <v>6/13/2024 11:03:41 AM</v>
          </cell>
          <cell r="N1536" t="str">
            <v>26</v>
          </cell>
          <cell r="O1536">
            <v>50</v>
          </cell>
          <cell r="P1536">
            <v>8.15</v>
          </cell>
        </row>
        <row r="1537">
          <cell r="A1537" t="str">
            <v>6726207</v>
          </cell>
          <cell r="B1537" t="str">
            <v>1099523</v>
          </cell>
          <cell r="C1537" t="str">
            <v>306-11-13</v>
          </cell>
          <cell r="D1537" t="str">
            <v>306</v>
          </cell>
          <cell r="E1537" t="str">
            <v>306 STRINGER W/ PLY GRP STX TAC BLK</v>
          </cell>
          <cell r="F1537" t="str">
            <v>DG-POUCH-F1</v>
          </cell>
          <cell r="G1537" t="str">
            <v>1420-210-FG</v>
          </cell>
          <cell r="H1537" t="str">
            <v>R</v>
          </cell>
          <cell r="I1537" t="str">
            <v>06/07/2024</v>
          </cell>
          <cell r="J1537" t="str">
            <v>06/10/2024</v>
          </cell>
          <cell r="K1537" t="str">
            <v>06/24/2024</v>
          </cell>
          <cell r="L1537">
            <v>10</v>
          </cell>
          <cell r="M1537" t="str">
            <v>6/7/2024 11:47:10 AM</v>
          </cell>
          <cell r="N1537" t="str">
            <v>26</v>
          </cell>
          <cell r="O1537">
            <v>10</v>
          </cell>
          <cell r="P1537">
            <v>4.5599999999999996</v>
          </cell>
        </row>
        <row r="1538">
          <cell r="A1538" t="str">
            <v>6725693</v>
          </cell>
          <cell r="B1538" t="str">
            <v>1153607</v>
          </cell>
          <cell r="C1538" t="str">
            <v>5198-283-551</v>
          </cell>
          <cell r="D1538" t="str">
            <v>5198</v>
          </cell>
          <cell r="E1538" t="str">
            <v>5198 GLOCK 19/23 STX TAC FDE RH</v>
          </cell>
          <cell r="F1538" t="str">
            <v>DG-HOLSTER-SEW-DTC</v>
          </cell>
          <cell r="G1538" t="str">
            <v>1420-210-FG</v>
          </cell>
          <cell r="H1538" t="str">
            <v>R</v>
          </cell>
          <cell r="I1538" t="str">
            <v>06/06/2024</v>
          </cell>
          <cell r="J1538" t="str">
            <v>06/06/2024</v>
          </cell>
          <cell r="K1538" t="str">
            <v>06/24/2024</v>
          </cell>
          <cell r="L1538">
            <v>5</v>
          </cell>
          <cell r="M1538" t="str">
            <v>6/13/2024 11:08:13 AM</v>
          </cell>
          <cell r="N1538" t="str">
            <v>26</v>
          </cell>
          <cell r="O1538">
            <v>5</v>
          </cell>
          <cell r="P1538">
            <v>1.57</v>
          </cell>
        </row>
        <row r="1539">
          <cell r="A1539" t="str">
            <v>6727687</v>
          </cell>
          <cell r="B1539" t="str">
            <v>1328540</v>
          </cell>
          <cell r="C1539" t="str">
            <v>5198-365-411</v>
          </cell>
          <cell r="D1539" t="str">
            <v>5198</v>
          </cell>
          <cell r="E1539" t="str">
            <v>5198 SIG P365,3.10" BBL STX PLN BLK RH</v>
          </cell>
          <cell r="F1539" t="str">
            <v>DG-HOLSTER-SEW-DTC</v>
          </cell>
          <cell r="G1539" t="str">
            <v>1420-210-FG</v>
          </cell>
          <cell r="H1539" t="str">
            <v>R</v>
          </cell>
          <cell r="I1539" t="str">
            <v>06/11/2024</v>
          </cell>
          <cell r="J1539" t="str">
            <v>06/11/2024</v>
          </cell>
          <cell r="K1539" t="str">
            <v>06/24/2024</v>
          </cell>
          <cell r="L1539">
            <v>15</v>
          </cell>
          <cell r="M1539" t="str">
            <v>6/13/2024 11:06:12 AM</v>
          </cell>
          <cell r="N1539" t="str">
            <v>26</v>
          </cell>
          <cell r="O1539">
            <v>15</v>
          </cell>
          <cell r="P1539">
            <v>2.2799999999999998</v>
          </cell>
        </row>
        <row r="1540">
          <cell r="A1540" t="str">
            <v>6725692</v>
          </cell>
          <cell r="B1540" t="str">
            <v>1150973</v>
          </cell>
          <cell r="C1540" t="str">
            <v>5198-48-411</v>
          </cell>
          <cell r="D1540" t="str">
            <v>5198</v>
          </cell>
          <cell r="E1540" t="str">
            <v>5198 SPRGFLD XD 4IN STX PLN BLK RH</v>
          </cell>
          <cell r="F1540" t="str">
            <v>DG-HOLSTER-SEW-DTC</v>
          </cell>
          <cell r="G1540" t="str">
            <v>1420-210-FG</v>
          </cell>
          <cell r="H1540" t="str">
            <v>R</v>
          </cell>
          <cell r="I1540" t="str">
            <v>06/06/2024</v>
          </cell>
          <cell r="J1540" t="str">
            <v>06/06/2024</v>
          </cell>
          <cell r="K1540" t="str">
            <v>06/24/2024</v>
          </cell>
          <cell r="L1540">
            <v>10</v>
          </cell>
          <cell r="M1540" t="str">
            <v>6/13/2024 11:06:12 AM</v>
          </cell>
          <cell r="N1540" t="str">
            <v>26</v>
          </cell>
          <cell r="O1540">
            <v>10</v>
          </cell>
          <cell r="P1540">
            <v>2.81</v>
          </cell>
        </row>
        <row r="1541">
          <cell r="A1541" t="str">
            <v>6728584</v>
          </cell>
          <cell r="B1541" t="str">
            <v>1185107</v>
          </cell>
          <cell r="C1541" t="str">
            <v>547-283-411</v>
          </cell>
          <cell r="D1541" t="str">
            <v>547</v>
          </cell>
          <cell r="E1541" t="str">
            <v>547 GLOCK 19/23 STX PLN BLK RH</v>
          </cell>
          <cell r="F1541" t="str">
            <v>DG-HOLSTER-DTC</v>
          </cell>
          <cell r="G1541" t="str">
            <v>1420-210-FG</v>
          </cell>
          <cell r="H1541" t="str">
            <v>R</v>
          </cell>
          <cell r="I1541" t="str">
            <v>06/12/2024</v>
          </cell>
          <cell r="J1541" t="str">
            <v>06/12/2024</v>
          </cell>
          <cell r="K1541" t="str">
            <v>06/24/2024</v>
          </cell>
          <cell r="L1541">
            <v>5</v>
          </cell>
          <cell r="M1541" t="str">
            <v>6/13/2024 11:06:12 AM</v>
          </cell>
          <cell r="N1541" t="str">
            <v>26</v>
          </cell>
          <cell r="O1541">
            <v>5</v>
          </cell>
          <cell r="P1541">
            <v>2.2200000000000002</v>
          </cell>
        </row>
        <row r="1542">
          <cell r="A1542" t="str">
            <v>6728089</v>
          </cell>
          <cell r="B1542" t="str">
            <v>1208458</v>
          </cell>
          <cell r="C1542" t="str">
            <v>557-832-131</v>
          </cell>
          <cell r="D1542" t="str">
            <v>557</v>
          </cell>
          <cell r="E1542" t="str">
            <v>557 GLOCK 17/22 W/X300 STX TAC BLK RH</v>
          </cell>
          <cell r="F1542" t="str">
            <v>DG-HOLSTER-DTC</v>
          </cell>
          <cell r="G1542" t="str">
            <v>1420-210-FG</v>
          </cell>
          <cell r="H1542" t="str">
            <v>R</v>
          </cell>
          <cell r="I1542" t="str">
            <v>06/11/2024</v>
          </cell>
          <cell r="J1542" t="str">
            <v>06/14/2024</v>
          </cell>
          <cell r="K1542" t="str">
            <v>06/24/2024</v>
          </cell>
          <cell r="L1542">
            <v>5</v>
          </cell>
          <cell r="M1542" t="str">
            <v>6/13/2024 11:02:36 AM</v>
          </cell>
          <cell r="N1542" t="str">
            <v>26</v>
          </cell>
          <cell r="O1542">
            <v>5</v>
          </cell>
          <cell r="P1542">
            <v>1.03</v>
          </cell>
        </row>
        <row r="1543">
          <cell r="A1543" t="str">
            <v>6728091</v>
          </cell>
          <cell r="B1543" t="str">
            <v>1208479</v>
          </cell>
          <cell r="C1543" t="str">
            <v>557-2832-411</v>
          </cell>
          <cell r="D1543" t="str">
            <v>557</v>
          </cell>
          <cell r="E1543" t="str">
            <v>557 GLOCK 19/23 W/X300 STX PLN BLK RH</v>
          </cell>
          <cell r="F1543" t="str">
            <v>DG-HOLSTER-DTC</v>
          </cell>
          <cell r="G1543" t="str">
            <v>1420-210-FG</v>
          </cell>
          <cell r="H1543" t="str">
            <v>R</v>
          </cell>
          <cell r="I1543" t="str">
            <v>06/11/2024</v>
          </cell>
          <cell r="J1543" t="str">
            <v>06/14/2024</v>
          </cell>
          <cell r="K1543" t="str">
            <v>06/24/2024</v>
          </cell>
          <cell r="L1543">
            <v>5</v>
          </cell>
          <cell r="M1543" t="str">
            <v>6/13/2024 11:06:12 AM</v>
          </cell>
          <cell r="N1543" t="str">
            <v>26</v>
          </cell>
          <cell r="O1543">
            <v>5</v>
          </cell>
          <cell r="P1543">
            <v>1.03</v>
          </cell>
        </row>
        <row r="1544">
          <cell r="A1544" t="str">
            <v>6721502</v>
          </cell>
          <cell r="B1544" t="str">
            <v>1100320</v>
          </cell>
          <cell r="C1544" t="str">
            <v>572-83-2</v>
          </cell>
          <cell r="D1544" t="str">
            <v>572</v>
          </cell>
          <cell r="E1544" t="str">
            <v>572 GLOCK 17/22 PLN BLK</v>
          </cell>
          <cell r="F1544" t="str">
            <v>DG-POUCH-F2-F3</v>
          </cell>
          <cell r="G1544" t="str">
            <v>1420-210-FG</v>
          </cell>
          <cell r="H1544" t="str">
            <v>R</v>
          </cell>
          <cell r="I1544" t="str">
            <v>05/28/2024</v>
          </cell>
          <cell r="J1544" t="str">
            <v>06/10/2024</v>
          </cell>
          <cell r="K1544" t="str">
            <v>06/24/2024</v>
          </cell>
          <cell r="L1544">
            <v>50</v>
          </cell>
          <cell r="M1544" t="str">
            <v>5/28/2024 10:48:17 AM</v>
          </cell>
          <cell r="N1544" t="str">
            <v>26</v>
          </cell>
          <cell r="O1544">
            <v>50</v>
          </cell>
          <cell r="P1544">
            <v>11.72</v>
          </cell>
        </row>
        <row r="1545">
          <cell r="A1545" t="str">
            <v>6727263</v>
          </cell>
          <cell r="B1545" t="str">
            <v>1100320</v>
          </cell>
          <cell r="C1545" t="str">
            <v>572-83-2</v>
          </cell>
          <cell r="D1545" t="str">
            <v>572</v>
          </cell>
          <cell r="E1545" t="str">
            <v>572 GLOCK 17/22 PLN BLK</v>
          </cell>
          <cell r="F1545" t="str">
            <v>DG-POUCH-F2-F3</v>
          </cell>
          <cell r="G1545" t="str">
            <v>1420-210-FG</v>
          </cell>
          <cell r="H1545" t="str">
            <v>R</v>
          </cell>
          <cell r="I1545" t="str">
            <v>06/10/2024</v>
          </cell>
          <cell r="J1545" t="str">
            <v>06/10/2024</v>
          </cell>
          <cell r="K1545" t="str">
            <v>06/24/2024</v>
          </cell>
          <cell r="L1545">
            <v>15</v>
          </cell>
          <cell r="M1545" t="str">
            <v>6/11/2024 3:31:12 PM</v>
          </cell>
          <cell r="N1545" t="str">
            <v>26</v>
          </cell>
          <cell r="O1545">
            <v>15</v>
          </cell>
          <cell r="P1545">
            <v>3.5</v>
          </cell>
        </row>
        <row r="1546">
          <cell r="A1546" t="str">
            <v>6727267</v>
          </cell>
          <cell r="B1546" t="str">
            <v>1125998</v>
          </cell>
          <cell r="C1546" t="str">
            <v>573-76-411</v>
          </cell>
          <cell r="D1546" t="str">
            <v>573</v>
          </cell>
          <cell r="E1546" t="str">
            <v>573 BERETTA 92FS STX PLN BLK RH</v>
          </cell>
          <cell r="F1546" t="str">
            <v>DG-POUCH-F2-F3</v>
          </cell>
          <cell r="G1546" t="str">
            <v>1420-210-FG</v>
          </cell>
          <cell r="H1546" t="str">
            <v>R</v>
          </cell>
          <cell r="I1546" t="str">
            <v>06/10/2024</v>
          </cell>
          <cell r="J1546" t="str">
            <v>06/10/2024</v>
          </cell>
          <cell r="K1546" t="str">
            <v>06/24/2024</v>
          </cell>
          <cell r="L1546">
            <v>10</v>
          </cell>
          <cell r="M1546" t="str">
            <v>6/12/2024 11:32:04 AM</v>
          </cell>
          <cell r="N1546" t="str">
            <v>26</v>
          </cell>
          <cell r="O1546">
            <v>10</v>
          </cell>
          <cell r="P1546">
            <v>4.21</v>
          </cell>
        </row>
        <row r="1547">
          <cell r="A1547" t="str">
            <v>6728586</v>
          </cell>
          <cell r="B1547" t="str">
            <v>1117772</v>
          </cell>
          <cell r="C1547" t="str">
            <v>6005-53-121</v>
          </cell>
          <cell r="D1547" t="str">
            <v>6005</v>
          </cell>
          <cell r="E1547" t="str">
            <v>6005 COLT 1911 STX TAC BLK RH</v>
          </cell>
          <cell r="F1547" t="str">
            <v>DG-HOLSTER-H</v>
          </cell>
          <cell r="G1547" t="str">
            <v>1420-210-FG</v>
          </cell>
          <cell r="H1547" t="str">
            <v>R</v>
          </cell>
          <cell r="I1547" t="str">
            <v>06/12/2024</v>
          </cell>
          <cell r="J1547" t="str">
            <v>06/12/2024</v>
          </cell>
          <cell r="K1547" t="str">
            <v>06/24/2024</v>
          </cell>
          <cell r="L1547">
            <v>5</v>
          </cell>
          <cell r="M1547" t="str">
            <v>6/13/2024 11:02:36 AM</v>
          </cell>
          <cell r="N1547" t="str">
            <v>26</v>
          </cell>
          <cell r="O1547">
            <v>5</v>
          </cell>
          <cell r="P1547">
            <v>2.14</v>
          </cell>
        </row>
        <row r="1548">
          <cell r="A1548" t="str">
            <v>6727257</v>
          </cell>
          <cell r="B1548" t="str">
            <v>1114832</v>
          </cell>
          <cell r="C1548" t="str">
            <v>62-4-9HS</v>
          </cell>
          <cell r="D1548" t="str">
            <v>62</v>
          </cell>
          <cell r="E1548" t="str">
            <v>62 BELT KEEPER 4PK BLK HGS HS 2.25IN</v>
          </cell>
          <cell r="F1548" t="str">
            <v>DG-KEEPER</v>
          </cell>
          <cell r="G1548" t="str">
            <v>1420-210-FG</v>
          </cell>
          <cell r="H1548" t="str">
            <v>R</v>
          </cell>
          <cell r="I1548" t="str">
            <v>06/10/2024</v>
          </cell>
          <cell r="J1548" t="str">
            <v>06/10/2024</v>
          </cell>
          <cell r="K1548" t="str">
            <v>06/24/2024</v>
          </cell>
          <cell r="L1548">
            <v>75</v>
          </cell>
          <cell r="M1548" t="str">
            <v>6/11/2024 3:11:38 PM</v>
          </cell>
          <cell r="N1548" t="str">
            <v>26</v>
          </cell>
          <cell r="O1548">
            <v>75</v>
          </cell>
          <cell r="P1548">
            <v>18.899999999999999</v>
          </cell>
        </row>
        <row r="1549">
          <cell r="A1549" t="str">
            <v>6728625</v>
          </cell>
          <cell r="B1549" t="str">
            <v>1113425</v>
          </cell>
          <cell r="C1549" t="str">
            <v>6280-73-132-2</v>
          </cell>
          <cell r="D1549" t="str">
            <v>6280</v>
          </cell>
          <cell r="E1549" t="str">
            <v>6280 BERETTA 92FS STX TAC BLK LH</v>
          </cell>
          <cell r="F1549" t="str">
            <v>DG-HOLSTER</v>
          </cell>
          <cell r="G1549" t="str">
            <v>1420-210-FG</v>
          </cell>
          <cell r="H1549" t="str">
            <v>R</v>
          </cell>
          <cell r="I1549" t="str">
            <v>06/12/2024</v>
          </cell>
          <cell r="J1549" t="str">
            <v>06/12/2024</v>
          </cell>
          <cell r="K1549" t="str">
            <v>06/24/2024</v>
          </cell>
          <cell r="L1549">
            <v>3</v>
          </cell>
          <cell r="M1549" t="str">
            <v>6/13/2024 11:02:36 AM</v>
          </cell>
          <cell r="N1549" t="str">
            <v>26</v>
          </cell>
          <cell r="O1549">
            <v>3</v>
          </cell>
          <cell r="P1549">
            <v>0.78</v>
          </cell>
        </row>
        <row r="1550">
          <cell r="A1550" t="str">
            <v>6728624</v>
          </cell>
          <cell r="B1550" t="str">
            <v>1113178</v>
          </cell>
          <cell r="C1550" t="str">
            <v>6280-73-131-2</v>
          </cell>
          <cell r="D1550" t="str">
            <v>6280</v>
          </cell>
          <cell r="E1550" t="str">
            <v>6280 BERETTA 92FS STX TAC BLK RH</v>
          </cell>
          <cell r="F1550" t="str">
            <v>DG-HOLSTER</v>
          </cell>
          <cell r="G1550" t="str">
            <v>1420-210-FG</v>
          </cell>
          <cell r="H1550" t="str">
            <v>R</v>
          </cell>
          <cell r="I1550" t="str">
            <v>06/12/2024</v>
          </cell>
          <cell r="J1550" t="str">
            <v>06/12/2024</v>
          </cell>
          <cell r="K1550" t="str">
            <v>06/24/2024</v>
          </cell>
          <cell r="L1550">
            <v>2</v>
          </cell>
          <cell r="M1550" t="str">
            <v>6/13/2024 11:02:36 AM</v>
          </cell>
          <cell r="N1550" t="str">
            <v>26</v>
          </cell>
          <cell r="O1550">
            <v>2</v>
          </cell>
          <cell r="P1550">
            <v>0.53</v>
          </cell>
        </row>
        <row r="1551">
          <cell r="A1551" t="str">
            <v>6728032</v>
          </cell>
          <cell r="B1551" t="str">
            <v>1101684</v>
          </cell>
          <cell r="C1551" t="str">
            <v>6280-83-132</v>
          </cell>
          <cell r="D1551" t="str">
            <v>6280</v>
          </cell>
          <cell r="E1551" t="str">
            <v>6280 GLOCK 17/22 STX TAC BLK LH</v>
          </cell>
          <cell r="F1551" t="str">
            <v>DG-HOLSTER-DTC</v>
          </cell>
          <cell r="G1551" t="str">
            <v>1420-210-FG</v>
          </cell>
          <cell r="H1551" t="str">
            <v>R</v>
          </cell>
          <cell r="I1551" t="str">
            <v>06/11/2024</v>
          </cell>
          <cell r="J1551" t="str">
            <v>06/14/2024</v>
          </cell>
          <cell r="K1551" t="str">
            <v>06/24/2024</v>
          </cell>
          <cell r="L1551">
            <v>10</v>
          </cell>
          <cell r="M1551" t="str">
            <v>6/13/2024 11:02:36 AM</v>
          </cell>
          <cell r="N1551" t="str">
            <v>26</v>
          </cell>
          <cell r="O1551">
            <v>10</v>
          </cell>
          <cell r="P1551">
            <v>2.92</v>
          </cell>
        </row>
        <row r="1552">
          <cell r="A1552" t="str">
            <v>6726076</v>
          </cell>
          <cell r="B1552" t="str">
            <v>1111254</v>
          </cell>
          <cell r="C1552" t="str">
            <v>6280-8321-81</v>
          </cell>
          <cell r="D1552" t="str">
            <v>6280</v>
          </cell>
          <cell r="E1552" t="str">
            <v>6280 GLOCK 17/22 TLR2 BSK BLK RH</v>
          </cell>
          <cell r="F1552" t="str">
            <v>DG-HOLSTER-DTC</v>
          </cell>
          <cell r="G1552" t="str">
            <v>1420-210-FG</v>
          </cell>
          <cell r="H1552" t="str">
            <v>R</v>
          </cell>
          <cell r="I1552" t="str">
            <v>06/07/2024</v>
          </cell>
          <cell r="J1552" t="str">
            <v>06/07/2024</v>
          </cell>
          <cell r="K1552" t="str">
            <v>06/24/2024</v>
          </cell>
          <cell r="L1552">
            <v>5</v>
          </cell>
          <cell r="M1552" t="str">
            <v>6/13/2024 11:02:36 AM</v>
          </cell>
          <cell r="N1552" t="str">
            <v>26</v>
          </cell>
          <cell r="O1552">
            <v>5</v>
          </cell>
          <cell r="P1552">
            <v>2.93</v>
          </cell>
        </row>
        <row r="1553">
          <cell r="A1553" t="str">
            <v>6728033</v>
          </cell>
          <cell r="B1553" t="str">
            <v>1111258</v>
          </cell>
          <cell r="C1553" t="str">
            <v>6280-8321-131</v>
          </cell>
          <cell r="D1553" t="str">
            <v>6280</v>
          </cell>
          <cell r="E1553" t="str">
            <v>6280 GLOCK 17/22 TLR2 STX TAC BLK RH</v>
          </cell>
          <cell r="F1553" t="str">
            <v>DG-HOLSTER-DTC</v>
          </cell>
          <cell r="G1553" t="str">
            <v>1420-210-FG</v>
          </cell>
          <cell r="H1553" t="str">
            <v>R</v>
          </cell>
          <cell r="I1553" t="str">
            <v>06/11/2024</v>
          </cell>
          <cell r="J1553" t="str">
            <v>06/14/2024</v>
          </cell>
          <cell r="K1553" t="str">
            <v>06/24/2024</v>
          </cell>
          <cell r="L1553">
            <v>5</v>
          </cell>
          <cell r="M1553" t="str">
            <v>6/13/2024 11:02:36 AM</v>
          </cell>
          <cell r="N1553" t="str">
            <v>26</v>
          </cell>
          <cell r="O1553">
            <v>5</v>
          </cell>
          <cell r="P1553">
            <v>2.27</v>
          </cell>
        </row>
        <row r="1554">
          <cell r="A1554" t="str">
            <v>6728031</v>
          </cell>
          <cell r="B1554" t="str">
            <v>1100928</v>
          </cell>
          <cell r="C1554" t="str">
            <v>6280-283-91</v>
          </cell>
          <cell r="D1554" t="str">
            <v>6280</v>
          </cell>
          <cell r="E1554" t="str">
            <v>6280 GLOCK 19/23 HGS BLK RH</v>
          </cell>
          <cell r="F1554" t="str">
            <v>DG-HOLSTER-DTC</v>
          </cell>
          <cell r="G1554" t="str">
            <v>1420-210-FG</v>
          </cell>
          <cell r="H1554" t="str">
            <v>R</v>
          </cell>
          <cell r="I1554" t="str">
            <v>06/11/2024</v>
          </cell>
          <cell r="J1554" t="str">
            <v>06/17/2024</v>
          </cell>
          <cell r="K1554" t="str">
            <v>06/24/2024</v>
          </cell>
          <cell r="L1554">
            <v>5</v>
          </cell>
          <cell r="M1554" t="str">
            <v>6/13/2024 11:02:36 AM</v>
          </cell>
          <cell r="N1554" t="str">
            <v>26</v>
          </cell>
          <cell r="O1554">
            <v>5</v>
          </cell>
          <cell r="P1554">
            <v>2.02</v>
          </cell>
        </row>
        <row r="1555">
          <cell r="A1555" t="str">
            <v>6726929</v>
          </cell>
          <cell r="B1555" t="str">
            <v>1099672</v>
          </cell>
          <cell r="C1555" t="str">
            <v>6280-283-61</v>
          </cell>
          <cell r="D1555" t="str">
            <v>6280</v>
          </cell>
          <cell r="E1555" t="str">
            <v>6280 GLOCK 19/23 PLN BLK RH</v>
          </cell>
          <cell r="F1555" t="str">
            <v>DG-HOLSTER-DTC</v>
          </cell>
          <cell r="G1555" t="str">
            <v>1420-210-FG</v>
          </cell>
          <cell r="H1555" t="str">
            <v>R</v>
          </cell>
          <cell r="I1555" t="str">
            <v>06/10/2024</v>
          </cell>
          <cell r="J1555" t="str">
            <v>06/10/2024</v>
          </cell>
          <cell r="K1555" t="str">
            <v>06/24/2024</v>
          </cell>
          <cell r="L1555">
            <v>5</v>
          </cell>
          <cell r="M1555" t="str">
            <v>6/13/2024 11:02:36 AM</v>
          </cell>
          <cell r="N1555" t="str">
            <v>26</v>
          </cell>
          <cell r="O1555">
            <v>5</v>
          </cell>
          <cell r="P1555">
            <v>1.8</v>
          </cell>
        </row>
        <row r="1556">
          <cell r="A1556" t="str">
            <v>6728628</v>
          </cell>
          <cell r="B1556" t="str">
            <v>1124439</v>
          </cell>
          <cell r="C1556" t="str">
            <v>6280-9321-131</v>
          </cell>
          <cell r="D1556" t="str">
            <v>6280</v>
          </cell>
          <cell r="E1556" t="str">
            <v>6280 H&amp;K USP45 X300 STX TAC BLK RH</v>
          </cell>
          <cell r="F1556" t="str">
            <v>DG-HOLSTER</v>
          </cell>
          <cell r="G1556" t="str">
            <v>1420-210-FG</v>
          </cell>
          <cell r="H1556" t="str">
            <v>R</v>
          </cell>
          <cell r="I1556" t="str">
            <v>06/12/2024</v>
          </cell>
          <cell r="J1556" t="str">
            <v>06/12/2024</v>
          </cell>
          <cell r="K1556" t="str">
            <v>06/24/2024</v>
          </cell>
          <cell r="L1556">
            <v>10</v>
          </cell>
          <cell r="M1556" t="str">
            <v>6/13/2024 11:02:36 AM</v>
          </cell>
          <cell r="N1556" t="str">
            <v>26</v>
          </cell>
          <cell r="O1556">
            <v>10</v>
          </cell>
          <cell r="P1556">
            <v>4.17</v>
          </cell>
        </row>
        <row r="1557">
          <cell r="A1557" t="str">
            <v>6727942</v>
          </cell>
          <cell r="B1557" t="str">
            <v>1154510</v>
          </cell>
          <cell r="C1557" t="str">
            <v>6280-450-91</v>
          </cell>
          <cell r="D1557" t="str">
            <v>6280</v>
          </cell>
          <cell r="E1557" t="str">
            <v>6280 SIG P320 HGS BLK RH</v>
          </cell>
          <cell r="F1557" t="str">
            <v>DG-HOLSTER</v>
          </cell>
          <cell r="G1557" t="str">
            <v>1420-210-FG</v>
          </cell>
          <cell r="H1557" t="str">
            <v>R</v>
          </cell>
          <cell r="I1557" t="str">
            <v>06/11/2024</v>
          </cell>
          <cell r="J1557" t="str">
            <v>06/17/2024</v>
          </cell>
          <cell r="K1557" t="str">
            <v>06/24/2024</v>
          </cell>
          <cell r="L1557">
            <v>5</v>
          </cell>
          <cell r="M1557" t="str">
            <v>6/13/2024 11:02:36 AM</v>
          </cell>
          <cell r="N1557" t="str">
            <v>26</v>
          </cell>
          <cell r="O1557">
            <v>5</v>
          </cell>
          <cell r="P1557">
            <v>1.97</v>
          </cell>
        </row>
        <row r="1558">
          <cell r="A1558" t="str">
            <v>6727925</v>
          </cell>
          <cell r="B1558" t="str">
            <v>1119935</v>
          </cell>
          <cell r="C1558" t="str">
            <v>6285-219-131</v>
          </cell>
          <cell r="D1558" t="str">
            <v>6285</v>
          </cell>
          <cell r="E1558" t="str">
            <v>6285 S&amp;W M&amp;P9/40 1.0 STX TAC BLK RH</v>
          </cell>
          <cell r="F1558" t="str">
            <v>DG-HOLSTER</v>
          </cell>
          <cell r="G1558" t="str">
            <v>1420-210-FG</v>
          </cell>
          <cell r="H1558" t="str">
            <v>R</v>
          </cell>
          <cell r="I1558" t="str">
            <v>06/11/2024</v>
          </cell>
          <cell r="J1558" t="str">
            <v>06/14/2024</v>
          </cell>
          <cell r="K1558" t="str">
            <v>06/24/2024</v>
          </cell>
          <cell r="L1558">
            <v>5</v>
          </cell>
          <cell r="M1558" t="str">
            <v>6/13/2024 11:02:36 AM</v>
          </cell>
          <cell r="N1558" t="str">
            <v>26</v>
          </cell>
          <cell r="O1558">
            <v>5</v>
          </cell>
          <cell r="P1558">
            <v>1.3</v>
          </cell>
        </row>
        <row r="1559">
          <cell r="A1559" t="str">
            <v>6728626</v>
          </cell>
          <cell r="B1559" t="str">
            <v>1116560</v>
          </cell>
          <cell r="C1559" t="str">
            <v>6285-64-131</v>
          </cell>
          <cell r="D1559" t="str">
            <v>6285</v>
          </cell>
          <cell r="E1559" t="str">
            <v>6285 X26 STX TAC BLK RH</v>
          </cell>
          <cell r="F1559" t="str">
            <v>DG-HOLSTER</v>
          </cell>
          <cell r="G1559" t="str">
            <v>1420-210-FG</v>
          </cell>
          <cell r="H1559" t="str">
            <v>R</v>
          </cell>
          <cell r="I1559" t="str">
            <v>06/12/2024</v>
          </cell>
          <cell r="J1559" t="str">
            <v>06/12/2024</v>
          </cell>
          <cell r="K1559" t="str">
            <v>06/24/2024</v>
          </cell>
          <cell r="L1559">
            <v>15</v>
          </cell>
          <cell r="M1559" t="str">
            <v>6/13/2024 11:00:31 AM</v>
          </cell>
          <cell r="N1559" t="str">
            <v>26</v>
          </cell>
          <cell r="O1559">
            <v>15</v>
          </cell>
          <cell r="P1559">
            <v>3.77</v>
          </cell>
        </row>
        <row r="1560">
          <cell r="A1560" t="str">
            <v>6728115</v>
          </cell>
          <cell r="B1560" t="str">
            <v>1164669</v>
          </cell>
          <cell r="C1560" t="str">
            <v>6304-6832-761</v>
          </cell>
          <cell r="D1560" t="str">
            <v>6304</v>
          </cell>
          <cell r="E1560" t="str">
            <v>6304 GLOCK 34/35 X300 STX TAC CYTB RH</v>
          </cell>
          <cell r="F1560" t="str">
            <v>DG-HOLSTER-H</v>
          </cell>
          <cell r="G1560" t="str">
            <v>1420-210-FG</v>
          </cell>
          <cell r="H1560" t="str">
            <v>R</v>
          </cell>
          <cell r="I1560" t="str">
            <v>06/11/2024</v>
          </cell>
          <cell r="J1560" t="str">
            <v>06/17/2024</v>
          </cell>
          <cell r="K1560" t="str">
            <v>06/24/2024</v>
          </cell>
          <cell r="L1560">
            <v>1</v>
          </cell>
          <cell r="M1560" t="str">
            <v>6/13/2024 10:51:23 AM</v>
          </cell>
          <cell r="N1560" t="str">
            <v>26</v>
          </cell>
          <cell r="O1560">
            <v>1</v>
          </cell>
          <cell r="P1560">
            <v>0.39</v>
          </cell>
        </row>
        <row r="1561">
          <cell r="A1561" t="str">
            <v>6726947</v>
          </cell>
          <cell r="B1561" t="str">
            <v>1126985</v>
          </cell>
          <cell r="C1561" t="str">
            <v>6304-56-551</v>
          </cell>
          <cell r="D1561" t="str">
            <v>6304</v>
          </cell>
          <cell r="E1561" t="str">
            <v>6304 SPRNGFLD OPR STX TAC FDE RH</v>
          </cell>
          <cell r="F1561" t="str">
            <v>DG-HOLSTER-H</v>
          </cell>
          <cell r="G1561" t="str">
            <v>1420-210-FG</v>
          </cell>
          <cell r="H1561" t="str">
            <v>R</v>
          </cell>
          <cell r="I1561" t="str">
            <v>06/10/2024</v>
          </cell>
          <cell r="J1561" t="str">
            <v>06/10/2024</v>
          </cell>
          <cell r="K1561" t="str">
            <v>06/24/2024</v>
          </cell>
          <cell r="L1561">
            <v>5</v>
          </cell>
          <cell r="M1561" t="str">
            <v>6/13/2024 10:43:53 AM</v>
          </cell>
          <cell r="N1561" t="str">
            <v>26</v>
          </cell>
          <cell r="O1561">
            <v>5</v>
          </cell>
          <cell r="P1561">
            <v>1.18</v>
          </cell>
        </row>
        <row r="1562">
          <cell r="A1562" t="str">
            <v>6727233</v>
          </cell>
          <cell r="B1562" t="str">
            <v>1335314</v>
          </cell>
          <cell r="C1562" t="str">
            <v>6304RDS-2582-E991-MS19</v>
          </cell>
          <cell r="D1562" t="str">
            <v>6304RDS</v>
          </cell>
          <cell r="E1562" t="str">
            <v>6304RDS 2011 STCC 5" X300U CR KTK HLD RH</v>
          </cell>
          <cell r="F1562" t="str">
            <v>DG-HOLSTER-RDS-DTC</v>
          </cell>
          <cell r="G1562" t="str">
            <v>1420-210-FG</v>
          </cell>
          <cell r="H1562" t="str">
            <v>R</v>
          </cell>
          <cell r="I1562" t="str">
            <v>06/10/2024</v>
          </cell>
          <cell r="J1562" t="str">
            <v>06/10/2024</v>
          </cell>
          <cell r="K1562" t="str">
            <v>06/24/2024</v>
          </cell>
          <cell r="L1562">
            <v>5</v>
          </cell>
          <cell r="M1562" t="str">
            <v>6/13/2024 10:53:13 AM</v>
          </cell>
          <cell r="N1562" t="str">
            <v>26</v>
          </cell>
          <cell r="O1562">
            <v>5</v>
          </cell>
          <cell r="P1562">
            <v>2</v>
          </cell>
        </row>
        <row r="1563">
          <cell r="A1563" t="str">
            <v>6723910</v>
          </cell>
          <cell r="B1563" t="str">
            <v>1335886</v>
          </cell>
          <cell r="C1563" t="str">
            <v>6304RDS-2582-801-MS19</v>
          </cell>
          <cell r="D1563" t="str">
            <v>6304RDS</v>
          </cell>
          <cell r="E1563" t="str">
            <v>6304RDS 2011STCC 5"X300U CR MTCM ALPN RH</v>
          </cell>
          <cell r="F1563" t="str">
            <v>DG-HOLSTER-RDS-DTC</v>
          </cell>
          <cell r="G1563" t="str">
            <v>1420-210-FG</v>
          </cell>
          <cell r="H1563" t="str">
            <v>R</v>
          </cell>
          <cell r="I1563" t="str">
            <v>06/03/2024</v>
          </cell>
          <cell r="J1563" t="str">
            <v>06/03/2024</v>
          </cell>
          <cell r="K1563" t="str">
            <v>06/24/2024</v>
          </cell>
          <cell r="L1563">
            <v>1</v>
          </cell>
          <cell r="M1563" t="str">
            <v>6/13/2024 10:57:31 AM</v>
          </cell>
          <cell r="N1563" t="str">
            <v>26</v>
          </cell>
          <cell r="O1563">
            <v>1</v>
          </cell>
          <cell r="P1563">
            <v>0.4</v>
          </cell>
        </row>
        <row r="1564">
          <cell r="A1564" t="str">
            <v>6727203</v>
          </cell>
          <cell r="B1564" t="str">
            <v>1334972</v>
          </cell>
          <cell r="C1564" t="str">
            <v>6304RDS-832-251-MS19</v>
          </cell>
          <cell r="D1564" t="str">
            <v>6304RDS</v>
          </cell>
          <cell r="E1564" t="str">
            <v>6304RDS GLK 17MOS X300U CR ARID MLTCM RH</v>
          </cell>
          <cell r="F1564" t="str">
            <v>DG-HOLSTER-RDS-DTC</v>
          </cell>
          <cell r="G1564" t="str">
            <v>1420-210-FG</v>
          </cell>
          <cell r="H1564" t="str">
            <v>R</v>
          </cell>
          <cell r="I1564" t="str">
            <v>06/10/2024</v>
          </cell>
          <cell r="J1564" t="str">
            <v>06/10/2024</v>
          </cell>
          <cell r="K1564" t="str">
            <v>06/24/2024</v>
          </cell>
          <cell r="L1564">
            <v>5</v>
          </cell>
          <cell r="M1564" t="str">
            <v>6/13/2024 11:43:03 AM</v>
          </cell>
          <cell r="N1564" t="str">
            <v>26</v>
          </cell>
          <cell r="O1564">
            <v>5</v>
          </cell>
          <cell r="P1564">
            <v>2.17</v>
          </cell>
        </row>
        <row r="1565">
          <cell r="A1565" t="str">
            <v>6727667</v>
          </cell>
          <cell r="B1565" t="str">
            <v>1334978</v>
          </cell>
          <cell r="C1565" t="str">
            <v>6304RDS-28327-251-MS19</v>
          </cell>
          <cell r="D1565" t="str">
            <v>6304RDS</v>
          </cell>
          <cell r="E1565" t="str">
            <v>6304RDS GLK 19MOS TLR-7 CR ARID MLTCM RH</v>
          </cell>
          <cell r="F1565" t="str">
            <v>DG-HOLSTER-RDS</v>
          </cell>
          <cell r="G1565" t="str">
            <v>1420-210-FG</v>
          </cell>
          <cell r="H1565" t="str">
            <v>R</v>
          </cell>
          <cell r="I1565" t="str">
            <v>06/11/2024</v>
          </cell>
          <cell r="J1565" t="str">
            <v>06/11/2024</v>
          </cell>
          <cell r="K1565" t="str">
            <v>06/24/2024</v>
          </cell>
          <cell r="L1565">
            <v>5</v>
          </cell>
          <cell r="M1565" t="str">
            <v>6/13/2024 11:14:09 AM</v>
          </cell>
          <cell r="N1565" t="str">
            <v>26</v>
          </cell>
          <cell r="O1565">
            <v>5</v>
          </cell>
          <cell r="P1565">
            <v>2.17</v>
          </cell>
        </row>
        <row r="1566">
          <cell r="A1566" t="str">
            <v>6727150</v>
          </cell>
          <cell r="B1566" t="str">
            <v>1200397</v>
          </cell>
          <cell r="C1566" t="str">
            <v>6304RDS-832-131-SP10</v>
          </cell>
          <cell r="D1566" t="str">
            <v>6304RDS</v>
          </cell>
          <cell r="E1566" t="str">
            <v>6304RDS GLOCK 17MOS X300U STX TAC BLK RH</v>
          </cell>
          <cell r="F1566" t="str">
            <v>DG-HOLSTER-RDS-DTC</v>
          </cell>
          <cell r="G1566" t="str">
            <v>1420-210-FG</v>
          </cell>
          <cell r="H1566" t="str">
            <v>F</v>
          </cell>
          <cell r="I1566" t="str">
            <v>06/10/2024</v>
          </cell>
          <cell r="J1566" t="str">
            <v>06/10/2024</v>
          </cell>
          <cell r="K1566" t="str">
            <v>06/24/2024</v>
          </cell>
          <cell r="L1566">
            <v>5</v>
          </cell>
          <cell r="M1566" t="str">
            <v/>
          </cell>
          <cell r="N1566" t="str">
            <v>26</v>
          </cell>
          <cell r="O1566">
            <v>5</v>
          </cell>
          <cell r="P1566">
            <v>2.17</v>
          </cell>
        </row>
        <row r="1567">
          <cell r="A1567" t="str">
            <v>6727195</v>
          </cell>
          <cell r="B1567" t="str">
            <v>1333022</v>
          </cell>
          <cell r="C1567" t="str">
            <v>6304RDS-28327-131</v>
          </cell>
          <cell r="D1567" t="str">
            <v>6304RDS</v>
          </cell>
          <cell r="E1567" t="str">
            <v>6304RDS GLOCK 19MOS TLR-7 STX TAC BLK RH</v>
          </cell>
          <cell r="F1567" t="str">
            <v>DG-HOLSTER-RDS-DTC</v>
          </cell>
          <cell r="G1567" t="str">
            <v>1420-210-FG</v>
          </cell>
          <cell r="H1567" t="str">
            <v>R</v>
          </cell>
          <cell r="I1567" t="str">
            <v>06/10/2024</v>
          </cell>
          <cell r="J1567" t="str">
            <v>06/10/2024</v>
          </cell>
          <cell r="K1567" t="str">
            <v>06/24/2024</v>
          </cell>
          <cell r="L1567">
            <v>5</v>
          </cell>
          <cell r="M1567" t="str">
            <v>6/13/2024 11:14:09 AM</v>
          </cell>
          <cell r="N1567" t="str">
            <v>26</v>
          </cell>
          <cell r="O1567">
            <v>5</v>
          </cell>
          <cell r="P1567">
            <v>2</v>
          </cell>
        </row>
        <row r="1568">
          <cell r="A1568" t="str">
            <v>6728204</v>
          </cell>
          <cell r="B1568" t="str">
            <v>1206362</v>
          </cell>
          <cell r="C1568" t="str">
            <v>6304RDS-2832-781-SP10</v>
          </cell>
          <cell r="D1568" t="str">
            <v>6304RDS</v>
          </cell>
          <cell r="E1568" t="str">
            <v>6304RDS GLOCK 19MOS X300U CORD BLK RH</v>
          </cell>
          <cell r="F1568" t="str">
            <v>DG-HOLSTER-RDS-DTC</v>
          </cell>
          <cell r="G1568" t="str">
            <v>1420-210-FG</v>
          </cell>
          <cell r="H1568" t="str">
            <v>R</v>
          </cell>
          <cell r="I1568" t="str">
            <v>06/11/2024</v>
          </cell>
          <cell r="J1568" t="str">
            <v>06/17/2024</v>
          </cell>
          <cell r="K1568" t="str">
            <v>06/24/2024</v>
          </cell>
          <cell r="L1568">
            <v>1</v>
          </cell>
          <cell r="M1568" t="str">
            <v>6/13/2024 10:55:31 AM</v>
          </cell>
          <cell r="N1568" t="str">
            <v>26</v>
          </cell>
          <cell r="O1568">
            <v>1</v>
          </cell>
          <cell r="P1568">
            <v>0.4</v>
          </cell>
        </row>
        <row r="1569">
          <cell r="A1569" t="str">
            <v>6727000</v>
          </cell>
          <cell r="B1569" t="str">
            <v>1208002</v>
          </cell>
          <cell r="C1569" t="str">
            <v>6304RDS-4502-131</v>
          </cell>
          <cell r="D1569" t="str">
            <v>6304RDS</v>
          </cell>
          <cell r="E1569" t="str">
            <v>6304RDS SIG 320RX X300U STX TAC BLK RH</v>
          </cell>
          <cell r="F1569" t="str">
            <v>DG-HOLSTER-RDS</v>
          </cell>
          <cell r="G1569" t="str">
            <v>1420-210-FG</v>
          </cell>
          <cell r="H1569" t="str">
            <v>R</v>
          </cell>
          <cell r="I1569" t="str">
            <v>06/10/2024</v>
          </cell>
          <cell r="J1569" t="str">
            <v>06/10/2024</v>
          </cell>
          <cell r="K1569" t="str">
            <v>06/24/2024</v>
          </cell>
          <cell r="L1569">
            <v>5</v>
          </cell>
          <cell r="M1569" t="str">
            <v>6/13/2024 11:33:39 AM</v>
          </cell>
          <cell r="N1569" t="str">
            <v>26</v>
          </cell>
          <cell r="O1569">
            <v>5</v>
          </cell>
          <cell r="P1569">
            <v>2.17</v>
          </cell>
        </row>
        <row r="1570">
          <cell r="A1570" t="str">
            <v>6727001</v>
          </cell>
          <cell r="B1570" t="str">
            <v>1208006</v>
          </cell>
          <cell r="C1570" t="str">
            <v>6304RDS-4502-131-SP10</v>
          </cell>
          <cell r="D1570" t="str">
            <v>6304RDS</v>
          </cell>
          <cell r="E1570" t="str">
            <v>6304RDS SIG 320RX X300U STX TAC BLK RH</v>
          </cell>
          <cell r="F1570" t="str">
            <v>DG-HOLSTER-RDS</v>
          </cell>
          <cell r="G1570" t="str">
            <v>1420-210-FG</v>
          </cell>
          <cell r="H1570" t="str">
            <v>R</v>
          </cell>
          <cell r="I1570" t="str">
            <v>06/10/2024</v>
          </cell>
          <cell r="J1570" t="str">
            <v>06/10/2024</v>
          </cell>
          <cell r="K1570" t="str">
            <v>06/24/2024</v>
          </cell>
          <cell r="L1570">
            <v>5</v>
          </cell>
          <cell r="M1570" t="str">
            <v>6/13/2024 11:33:39 AM</v>
          </cell>
          <cell r="N1570" t="str">
            <v>26</v>
          </cell>
          <cell r="O1570">
            <v>5</v>
          </cell>
          <cell r="P1570">
            <v>2.17</v>
          </cell>
        </row>
        <row r="1571">
          <cell r="A1571" t="str">
            <v>6727204</v>
          </cell>
          <cell r="B1571" t="str">
            <v>1334976</v>
          </cell>
          <cell r="C1571" t="str">
            <v>6304RDS-1582-251-MS19</v>
          </cell>
          <cell r="D1571" t="str">
            <v>6304RDS</v>
          </cell>
          <cell r="E1571" t="str">
            <v>6304RDS STI STAC P 4.4"X300U ARID MCM RH</v>
          </cell>
          <cell r="F1571" t="str">
            <v>DG-HOLSTER-RDS-DTC</v>
          </cell>
          <cell r="G1571" t="str">
            <v>1420-210-FG</v>
          </cell>
          <cell r="H1571" t="str">
            <v>R</v>
          </cell>
          <cell r="I1571" t="str">
            <v>06/10/2024</v>
          </cell>
          <cell r="J1571" t="str">
            <v>06/10/2024</v>
          </cell>
          <cell r="K1571" t="str">
            <v>06/24/2024</v>
          </cell>
          <cell r="L1571">
            <v>5</v>
          </cell>
          <cell r="M1571" t="str">
            <v>6/13/2024 10:53:13 AM</v>
          </cell>
          <cell r="N1571" t="str">
            <v>26</v>
          </cell>
          <cell r="O1571">
            <v>5</v>
          </cell>
          <cell r="P1571">
            <v>2</v>
          </cell>
        </row>
        <row r="1572">
          <cell r="A1572" t="str">
            <v>6727084</v>
          </cell>
          <cell r="B1572" t="str">
            <v>1332581</v>
          </cell>
          <cell r="C1572" t="str">
            <v>6304RDS-1582-792-MS19</v>
          </cell>
          <cell r="D1572" t="str">
            <v>6304RDS</v>
          </cell>
          <cell r="E1572" t="str">
            <v>6304RDS STI STAC P 4.4"X300U TRPCMLTCMLH</v>
          </cell>
          <cell r="F1572" t="str">
            <v>DG-HOLSTER-RDS</v>
          </cell>
          <cell r="G1572" t="str">
            <v>1420-210-FG</v>
          </cell>
          <cell r="H1572" t="str">
            <v>R</v>
          </cell>
          <cell r="I1572" t="str">
            <v>06/10/2024</v>
          </cell>
          <cell r="J1572" t="str">
            <v>06/10/2024</v>
          </cell>
          <cell r="K1572" t="str">
            <v>06/24/2024</v>
          </cell>
          <cell r="L1572">
            <v>5</v>
          </cell>
          <cell r="M1572" t="str">
            <v>6/13/2024 10:53:13 AM</v>
          </cell>
          <cell r="N1572" t="str">
            <v>26</v>
          </cell>
          <cell r="O1572">
            <v>5</v>
          </cell>
          <cell r="P1572">
            <v>2</v>
          </cell>
        </row>
        <row r="1573">
          <cell r="A1573" t="str">
            <v>6724351</v>
          </cell>
          <cell r="B1573" t="str">
            <v>1332580</v>
          </cell>
          <cell r="C1573" t="str">
            <v>6304RDS-1582-791-MS19</v>
          </cell>
          <cell r="D1573" t="str">
            <v>6304RDS</v>
          </cell>
          <cell r="E1573" t="str">
            <v>6304RDS STI STAC P 4.4"X300U TRPCMLTCMRH</v>
          </cell>
          <cell r="F1573" t="str">
            <v>DG-HOLSTER-RDS</v>
          </cell>
          <cell r="G1573" t="str">
            <v>1420-210-FG</v>
          </cell>
          <cell r="H1573" t="str">
            <v>R</v>
          </cell>
          <cell r="I1573" t="str">
            <v>06/04/2024</v>
          </cell>
          <cell r="J1573" t="str">
            <v>06/04/2024</v>
          </cell>
          <cell r="K1573" t="str">
            <v>06/24/2024</v>
          </cell>
          <cell r="L1573">
            <v>5</v>
          </cell>
          <cell r="M1573" t="str">
            <v>6/13/2024 10:53:13 AM</v>
          </cell>
          <cell r="N1573" t="str">
            <v>26</v>
          </cell>
          <cell r="O1573">
            <v>5</v>
          </cell>
          <cell r="P1573">
            <v>2</v>
          </cell>
        </row>
        <row r="1574">
          <cell r="A1574" t="str">
            <v>6727063</v>
          </cell>
          <cell r="B1574" t="str">
            <v>1326725</v>
          </cell>
          <cell r="C1574" t="str">
            <v>6304RDS-1582-481-MS19</v>
          </cell>
          <cell r="D1574" t="str">
            <v>6304RDS</v>
          </cell>
          <cell r="E1574" t="str">
            <v>6304RDS STI STACC P 4.4" X300U BSKBLK RH</v>
          </cell>
          <cell r="F1574" t="str">
            <v>DG-HOLSTER-RDS</v>
          </cell>
          <cell r="G1574" t="str">
            <v>1420-210-FG</v>
          </cell>
          <cell r="H1574" t="str">
            <v>R</v>
          </cell>
          <cell r="I1574" t="str">
            <v>06/10/2024</v>
          </cell>
          <cell r="J1574" t="str">
            <v>06/10/2024</v>
          </cell>
          <cell r="K1574" t="str">
            <v>06/24/2024</v>
          </cell>
          <cell r="L1574">
            <v>5</v>
          </cell>
          <cell r="M1574" t="str">
            <v>6/13/2024 10:48:05 AM</v>
          </cell>
          <cell r="N1574" t="str">
            <v>26</v>
          </cell>
          <cell r="O1574">
            <v>5</v>
          </cell>
          <cell r="P1574">
            <v>2</v>
          </cell>
        </row>
        <row r="1575">
          <cell r="A1575" t="str">
            <v>6727035</v>
          </cell>
          <cell r="B1575" t="str">
            <v>1324659</v>
          </cell>
          <cell r="C1575" t="str">
            <v>6304RDS-1582-781</v>
          </cell>
          <cell r="D1575" t="str">
            <v>6304RDS</v>
          </cell>
          <cell r="E1575" t="str">
            <v>6304RDS STI STACC P 4.4" X300U CORBLK RH</v>
          </cell>
          <cell r="F1575" t="str">
            <v>DG-HOLSTER-RDS</v>
          </cell>
          <cell r="G1575" t="str">
            <v>1420-210-FG</v>
          </cell>
          <cell r="H1575" t="str">
            <v>R</v>
          </cell>
          <cell r="I1575" t="str">
            <v>06/10/2024</v>
          </cell>
          <cell r="J1575" t="str">
            <v>06/10/2024</v>
          </cell>
          <cell r="K1575" t="str">
            <v>06/24/2024</v>
          </cell>
          <cell r="L1575">
            <v>1</v>
          </cell>
          <cell r="M1575" t="str">
            <v>6/13/2024 10:55:31 AM</v>
          </cell>
          <cell r="N1575" t="str">
            <v>26</v>
          </cell>
          <cell r="O1575">
            <v>1</v>
          </cell>
          <cell r="P1575">
            <v>0.4</v>
          </cell>
        </row>
        <row r="1576">
          <cell r="A1576" t="str">
            <v>6726099</v>
          </cell>
          <cell r="B1576" t="str">
            <v>1123883</v>
          </cell>
          <cell r="C1576" t="str">
            <v>6305-832-131</v>
          </cell>
          <cell r="D1576" t="str">
            <v>6305</v>
          </cell>
          <cell r="E1576" t="str">
            <v>6305 GLOCK 17/22 X300U STX TAC BLK RH</v>
          </cell>
          <cell r="F1576" t="str">
            <v>DG-HOLSTER-H-DTC</v>
          </cell>
          <cell r="G1576" t="str">
            <v>1420-210-FG</v>
          </cell>
          <cell r="H1576" t="str">
            <v>R</v>
          </cell>
          <cell r="I1576" t="str">
            <v>06/07/2024</v>
          </cell>
          <cell r="J1576" t="str">
            <v>06/07/2024</v>
          </cell>
          <cell r="K1576" t="str">
            <v>06/24/2024</v>
          </cell>
          <cell r="L1576">
            <v>10</v>
          </cell>
          <cell r="M1576" t="str">
            <v>6/13/2024 11:02:36 AM</v>
          </cell>
          <cell r="N1576" t="str">
            <v>26</v>
          </cell>
          <cell r="O1576">
            <v>10</v>
          </cell>
          <cell r="P1576">
            <v>3.26</v>
          </cell>
        </row>
        <row r="1577">
          <cell r="A1577" t="str">
            <v>6726923</v>
          </cell>
          <cell r="B1577" t="str">
            <v>1164749</v>
          </cell>
          <cell r="C1577" t="str">
            <v>6354DO-832-731-MS19</v>
          </cell>
          <cell r="D1577" t="str">
            <v>6354DO</v>
          </cell>
          <cell r="E1577" t="str">
            <v>6354DO GLOCK 17/22 X300U COR CAM GRN RH</v>
          </cell>
          <cell r="F1577" t="str">
            <v>DG-HOLSTER-DO-DTC</v>
          </cell>
          <cell r="G1577" t="str">
            <v>1420-210-FG</v>
          </cell>
          <cell r="H1577" t="str">
            <v>R</v>
          </cell>
          <cell r="I1577" t="str">
            <v>06/10/2024</v>
          </cell>
          <cell r="J1577" t="str">
            <v>06/10/2024</v>
          </cell>
          <cell r="K1577" t="str">
            <v>06/24/2024</v>
          </cell>
          <cell r="L1577">
            <v>5</v>
          </cell>
          <cell r="M1577" t="str">
            <v>6/13/2024 11:46:14 AM</v>
          </cell>
          <cell r="N1577" t="str">
            <v>26</v>
          </cell>
          <cell r="O1577">
            <v>5</v>
          </cell>
          <cell r="P1577">
            <v>3.08</v>
          </cell>
        </row>
        <row r="1578">
          <cell r="A1578" t="str">
            <v>6727982</v>
          </cell>
          <cell r="B1578" t="str">
            <v>1167054</v>
          </cell>
          <cell r="C1578" t="str">
            <v>6354DO-832-781-MS19</v>
          </cell>
          <cell r="D1578" t="str">
            <v>6354DO</v>
          </cell>
          <cell r="E1578" t="str">
            <v>6354DO GLOCK 17/22 X300U CORD BLK RH</v>
          </cell>
          <cell r="F1578" t="str">
            <v>DG-HOLSTER-DO-DTC</v>
          </cell>
          <cell r="G1578" t="str">
            <v>1420-210-FG</v>
          </cell>
          <cell r="H1578" t="str">
            <v>R</v>
          </cell>
          <cell r="I1578" t="str">
            <v>06/11/2024</v>
          </cell>
          <cell r="J1578" t="str">
            <v>06/17/2024</v>
          </cell>
          <cell r="K1578" t="str">
            <v>06/24/2024</v>
          </cell>
          <cell r="L1578">
            <v>10</v>
          </cell>
          <cell r="M1578" t="str">
            <v>6/13/2024 11:46:14 AM</v>
          </cell>
          <cell r="N1578" t="str">
            <v>26</v>
          </cell>
          <cell r="O1578">
            <v>10</v>
          </cell>
          <cell r="P1578">
            <v>5.99</v>
          </cell>
        </row>
        <row r="1579">
          <cell r="A1579" t="str">
            <v>6726916</v>
          </cell>
          <cell r="B1579" t="str">
            <v>1168486</v>
          </cell>
          <cell r="C1579" t="str">
            <v>6354DO-832-741-MS19</v>
          </cell>
          <cell r="D1579" t="str">
            <v>6354DO</v>
          </cell>
          <cell r="E1579" t="str">
            <v>6354DO GLOCK 17/22 X300U CORD CYTB RH</v>
          </cell>
          <cell r="F1579" t="str">
            <v>DG-HOLSTER-DO-DTC</v>
          </cell>
          <cell r="G1579" t="str">
            <v>1420-210-FG</v>
          </cell>
          <cell r="H1579" t="str">
            <v>R</v>
          </cell>
          <cell r="I1579" t="str">
            <v>06/10/2024</v>
          </cell>
          <cell r="J1579" t="str">
            <v>06/10/2024</v>
          </cell>
          <cell r="K1579" t="str">
            <v>06/24/2024</v>
          </cell>
          <cell r="L1579">
            <v>5</v>
          </cell>
          <cell r="M1579" t="str">
            <v>6/13/2024 11:46:14 AM</v>
          </cell>
          <cell r="N1579" t="str">
            <v>26</v>
          </cell>
          <cell r="O1579">
            <v>5</v>
          </cell>
          <cell r="P1579">
            <v>2.42</v>
          </cell>
        </row>
        <row r="1580">
          <cell r="A1580" t="str">
            <v>6723457</v>
          </cell>
          <cell r="B1580" t="str">
            <v>1153960</v>
          </cell>
          <cell r="C1580" t="str">
            <v>6354DO-832-701-MS19</v>
          </cell>
          <cell r="D1580" t="str">
            <v>6354DO</v>
          </cell>
          <cell r="E1580" t="str">
            <v>6354DO GLOCK 17/22 X300U CORD MTCM RH</v>
          </cell>
          <cell r="F1580" t="str">
            <v>DG-HOLSTER-DO-DTC</v>
          </cell>
          <cell r="G1580" t="str">
            <v>1420-210-FG</v>
          </cell>
          <cell r="H1580" t="str">
            <v>R</v>
          </cell>
          <cell r="I1580" t="str">
            <v>06/03/2024</v>
          </cell>
          <cell r="J1580" t="str">
            <v>06/03/2024</v>
          </cell>
          <cell r="K1580" t="str">
            <v>06/24/2024</v>
          </cell>
          <cell r="L1580">
            <v>100</v>
          </cell>
          <cell r="M1580" t="str">
            <v>6/13/2024 11:46:14 AM</v>
          </cell>
          <cell r="N1580" t="str">
            <v>26</v>
          </cell>
          <cell r="O1580">
            <v>100</v>
          </cell>
          <cell r="P1580">
            <v>61.67</v>
          </cell>
        </row>
        <row r="1581">
          <cell r="A1581" t="str">
            <v>6723458</v>
          </cell>
          <cell r="B1581" t="str">
            <v>1153960</v>
          </cell>
          <cell r="C1581" t="str">
            <v>6354DO-832-701-MS19</v>
          </cell>
          <cell r="D1581" t="str">
            <v>6354DO</v>
          </cell>
          <cell r="E1581" t="str">
            <v>6354DO GLOCK 17/22 X300U CORD MTCM RH</v>
          </cell>
          <cell r="F1581" t="str">
            <v>DG-HOLSTER-DO-DTC</v>
          </cell>
          <cell r="G1581" t="str">
            <v>1420-210-FG</v>
          </cell>
          <cell r="H1581" t="str">
            <v>R</v>
          </cell>
          <cell r="I1581" t="str">
            <v>06/03/2024</v>
          </cell>
          <cell r="J1581" t="str">
            <v>06/03/2024</v>
          </cell>
          <cell r="K1581" t="str">
            <v>06/24/2024</v>
          </cell>
          <cell r="L1581">
            <v>100</v>
          </cell>
          <cell r="M1581" t="str">
            <v>6/13/2024 11:46:14 AM</v>
          </cell>
          <cell r="N1581" t="str">
            <v>26</v>
          </cell>
          <cell r="O1581">
            <v>100</v>
          </cell>
          <cell r="P1581">
            <v>61.67</v>
          </cell>
        </row>
        <row r="1582">
          <cell r="A1582" t="str">
            <v>6727990</v>
          </cell>
          <cell r="B1582" t="str">
            <v>1170053</v>
          </cell>
          <cell r="C1582" t="str">
            <v>6354DO-283-701-MS19</v>
          </cell>
          <cell r="D1582" t="str">
            <v>6354DO</v>
          </cell>
          <cell r="E1582" t="str">
            <v>6354DO GLOCK 19/23 CORD MTCM RH</v>
          </cell>
          <cell r="F1582" t="str">
            <v>DG-HOLSTER-DO-DTC</v>
          </cell>
          <cell r="G1582" t="str">
            <v>1420-210-FG</v>
          </cell>
          <cell r="H1582" t="str">
            <v>R</v>
          </cell>
          <cell r="I1582" t="str">
            <v>06/11/2024</v>
          </cell>
          <cell r="J1582" t="str">
            <v>06/14/2024</v>
          </cell>
          <cell r="K1582" t="str">
            <v>06/24/2024</v>
          </cell>
          <cell r="L1582">
            <v>70</v>
          </cell>
          <cell r="M1582" t="str">
            <v>6/13/2024 12:05:01 PM</v>
          </cell>
          <cell r="N1582" t="str">
            <v>26</v>
          </cell>
          <cell r="O1582">
            <v>70</v>
          </cell>
          <cell r="P1582">
            <v>41.04</v>
          </cell>
        </row>
        <row r="1583">
          <cell r="A1583" t="str">
            <v>6727991</v>
          </cell>
          <cell r="B1583" t="str">
            <v>1170053</v>
          </cell>
          <cell r="C1583" t="str">
            <v>6354DO-283-701-MS19</v>
          </cell>
          <cell r="D1583" t="str">
            <v>6354DO</v>
          </cell>
          <cell r="E1583" t="str">
            <v>6354DO GLOCK 19/23 CORD MTCM RH</v>
          </cell>
          <cell r="F1583" t="str">
            <v>DG-HOLSTER-DO-DTC</v>
          </cell>
          <cell r="G1583" t="str">
            <v>1420-210-FG</v>
          </cell>
          <cell r="H1583" t="str">
            <v>R</v>
          </cell>
          <cell r="I1583" t="str">
            <v>06/11/2024</v>
          </cell>
          <cell r="J1583" t="str">
            <v>06/14/2024</v>
          </cell>
          <cell r="K1583" t="str">
            <v>06/24/2024</v>
          </cell>
          <cell r="L1583">
            <v>70</v>
          </cell>
          <cell r="M1583" t="str">
            <v>6/13/2024 12:05:01 PM</v>
          </cell>
          <cell r="N1583" t="str">
            <v>26</v>
          </cell>
          <cell r="O1583">
            <v>70</v>
          </cell>
          <cell r="P1583">
            <v>41.04</v>
          </cell>
        </row>
        <row r="1584">
          <cell r="A1584" t="str">
            <v>6727992</v>
          </cell>
          <cell r="B1584" t="str">
            <v>1170053</v>
          </cell>
          <cell r="C1584" t="str">
            <v>6354DO-283-701-MS19</v>
          </cell>
          <cell r="D1584" t="str">
            <v>6354DO</v>
          </cell>
          <cell r="E1584" t="str">
            <v>6354DO GLOCK 19/23 CORD MTCM RH</v>
          </cell>
          <cell r="F1584" t="str">
            <v>DG-HOLSTER-DO-DTC</v>
          </cell>
          <cell r="G1584" t="str">
            <v>1420-210-FG</v>
          </cell>
          <cell r="H1584" t="str">
            <v>R</v>
          </cell>
          <cell r="I1584" t="str">
            <v>06/11/2024</v>
          </cell>
          <cell r="J1584" t="str">
            <v>06/14/2024</v>
          </cell>
          <cell r="K1584" t="str">
            <v>06/24/2024</v>
          </cell>
          <cell r="L1584">
            <v>70</v>
          </cell>
          <cell r="M1584" t="str">
            <v>6/13/2024 12:05:01 PM</v>
          </cell>
          <cell r="N1584" t="str">
            <v>26</v>
          </cell>
          <cell r="O1584">
            <v>70</v>
          </cell>
          <cell r="P1584">
            <v>41.04</v>
          </cell>
        </row>
        <row r="1585">
          <cell r="A1585" t="str">
            <v>6728898</v>
          </cell>
          <cell r="B1585" t="str">
            <v>1170053</v>
          </cell>
          <cell r="C1585" t="str">
            <v>6354DO-283-701-MS19</v>
          </cell>
          <cell r="D1585" t="str">
            <v>6354DO</v>
          </cell>
          <cell r="E1585" t="str">
            <v>6354DO GLOCK 19/23 CORD MTCM RH</v>
          </cell>
          <cell r="F1585" t="str">
            <v>DG-HOLSTER-DO-DTC</v>
          </cell>
          <cell r="G1585" t="str">
            <v>1420-210-FG</v>
          </cell>
          <cell r="H1585" t="str">
            <v>R</v>
          </cell>
          <cell r="I1585" t="str">
            <v>06/13/2024</v>
          </cell>
          <cell r="J1585" t="str">
            <v>06/13/2024</v>
          </cell>
          <cell r="K1585" t="str">
            <v>06/24/2024</v>
          </cell>
          <cell r="L1585">
            <v>70</v>
          </cell>
          <cell r="M1585" t="str">
            <v>6/13/2024 12:05:01 PM</v>
          </cell>
          <cell r="N1585" t="str">
            <v>26</v>
          </cell>
          <cell r="O1585">
            <v>70</v>
          </cell>
          <cell r="P1585">
            <v>41.04</v>
          </cell>
        </row>
        <row r="1586">
          <cell r="A1586" t="str">
            <v>6728899</v>
          </cell>
          <cell r="B1586" t="str">
            <v>1170053</v>
          </cell>
          <cell r="C1586" t="str">
            <v>6354DO-283-701-MS19</v>
          </cell>
          <cell r="D1586" t="str">
            <v>6354DO</v>
          </cell>
          <cell r="E1586" t="str">
            <v>6354DO GLOCK 19/23 CORD MTCM RH</v>
          </cell>
          <cell r="F1586" t="str">
            <v>DG-HOLSTER-DO-DTC</v>
          </cell>
          <cell r="G1586" t="str">
            <v>1420-210-FG</v>
          </cell>
          <cell r="H1586" t="str">
            <v>R</v>
          </cell>
          <cell r="I1586" t="str">
            <v>06/13/2024</v>
          </cell>
          <cell r="J1586" t="str">
            <v>06/14/2024</v>
          </cell>
          <cell r="K1586" t="str">
            <v>06/24/2024</v>
          </cell>
          <cell r="L1586">
            <v>70</v>
          </cell>
          <cell r="M1586" t="str">
            <v>6/13/2024 12:05:01 PM</v>
          </cell>
          <cell r="N1586" t="str">
            <v>26</v>
          </cell>
          <cell r="O1586">
            <v>70</v>
          </cell>
          <cell r="P1586">
            <v>41.04</v>
          </cell>
        </row>
        <row r="1587">
          <cell r="A1587" t="str">
            <v>6728900</v>
          </cell>
          <cell r="B1587" t="str">
            <v>1170053</v>
          </cell>
          <cell r="C1587" t="str">
            <v>6354DO-283-701-MS19</v>
          </cell>
          <cell r="D1587" t="str">
            <v>6354DO</v>
          </cell>
          <cell r="E1587" t="str">
            <v>6354DO GLOCK 19/23 CORD MTCM RH</v>
          </cell>
          <cell r="F1587" t="str">
            <v>DG-HOLSTER-DO-DTC</v>
          </cell>
          <cell r="G1587" t="str">
            <v>1420-210-FG</v>
          </cell>
          <cell r="H1587" t="str">
            <v>R</v>
          </cell>
          <cell r="I1587" t="str">
            <v>06/13/2024</v>
          </cell>
          <cell r="J1587" t="str">
            <v>06/14/2024</v>
          </cell>
          <cell r="K1587" t="str">
            <v>06/24/2024</v>
          </cell>
          <cell r="L1587">
            <v>70</v>
          </cell>
          <cell r="M1587" t="str">
            <v>6/13/2024 12:05:01 PM</v>
          </cell>
          <cell r="N1587" t="str">
            <v>26</v>
          </cell>
          <cell r="O1587">
            <v>70</v>
          </cell>
          <cell r="P1587">
            <v>41.04</v>
          </cell>
        </row>
        <row r="1588">
          <cell r="A1588" t="str">
            <v>6728901</v>
          </cell>
          <cell r="B1588" t="str">
            <v>1170053</v>
          </cell>
          <cell r="C1588" t="str">
            <v>6354DO-283-701-MS19</v>
          </cell>
          <cell r="D1588" t="str">
            <v>6354DO</v>
          </cell>
          <cell r="E1588" t="str">
            <v>6354DO GLOCK 19/23 CORD MTCM RH</v>
          </cell>
          <cell r="F1588" t="str">
            <v>DG-HOLSTER-DO-DTC</v>
          </cell>
          <cell r="G1588" t="str">
            <v>1420-210-FG</v>
          </cell>
          <cell r="H1588" t="str">
            <v>R</v>
          </cell>
          <cell r="I1588" t="str">
            <v>06/13/2024</v>
          </cell>
          <cell r="J1588" t="str">
            <v>06/14/2024</v>
          </cell>
          <cell r="K1588" t="str">
            <v>06/24/2024</v>
          </cell>
          <cell r="L1588">
            <v>70</v>
          </cell>
          <cell r="M1588" t="str">
            <v>6/13/2024 12:05:01 PM</v>
          </cell>
          <cell r="N1588" t="str">
            <v>26</v>
          </cell>
          <cell r="O1588">
            <v>70</v>
          </cell>
          <cell r="P1588">
            <v>41.04</v>
          </cell>
        </row>
        <row r="1589">
          <cell r="A1589" t="str">
            <v>6728902</v>
          </cell>
          <cell r="B1589" t="str">
            <v>1170053</v>
          </cell>
          <cell r="C1589" t="str">
            <v>6354DO-283-701-MS19</v>
          </cell>
          <cell r="D1589" t="str">
            <v>6354DO</v>
          </cell>
          <cell r="E1589" t="str">
            <v>6354DO GLOCK 19/23 CORD MTCM RH</v>
          </cell>
          <cell r="F1589" t="str">
            <v>DG-HOLSTER-DO-DTC</v>
          </cell>
          <cell r="G1589" t="str">
            <v>1420-210-FG</v>
          </cell>
          <cell r="H1589" t="str">
            <v>R</v>
          </cell>
          <cell r="I1589" t="str">
            <v>06/13/2024</v>
          </cell>
          <cell r="J1589" t="str">
            <v>06/14/2024</v>
          </cell>
          <cell r="K1589" t="str">
            <v>06/24/2024</v>
          </cell>
          <cell r="L1589">
            <v>70</v>
          </cell>
          <cell r="M1589" t="str">
            <v>6/13/2024 12:05:01 PM</v>
          </cell>
          <cell r="N1589" t="str">
            <v>26</v>
          </cell>
          <cell r="O1589">
            <v>70</v>
          </cell>
          <cell r="P1589">
            <v>41.04</v>
          </cell>
        </row>
        <row r="1590">
          <cell r="A1590" t="str">
            <v>6728903</v>
          </cell>
          <cell r="B1590" t="str">
            <v>1170053</v>
          </cell>
          <cell r="C1590" t="str">
            <v>6354DO-283-701-MS19</v>
          </cell>
          <cell r="D1590" t="str">
            <v>6354DO</v>
          </cell>
          <cell r="E1590" t="str">
            <v>6354DO GLOCK 19/23 CORD MTCM RH</v>
          </cell>
          <cell r="F1590" t="str">
            <v>DG-HOLSTER-DO-DTC</v>
          </cell>
          <cell r="G1590" t="str">
            <v>1420-210-FG</v>
          </cell>
          <cell r="H1590" t="str">
            <v>R</v>
          </cell>
          <cell r="I1590" t="str">
            <v>06/13/2024</v>
          </cell>
          <cell r="J1590" t="str">
            <v>06/14/2024</v>
          </cell>
          <cell r="K1590" t="str">
            <v>06/24/2024</v>
          </cell>
          <cell r="L1590">
            <v>70</v>
          </cell>
          <cell r="M1590" t="str">
            <v>6/13/2024 12:05:01 PM</v>
          </cell>
          <cell r="N1590" t="str">
            <v>26</v>
          </cell>
          <cell r="O1590">
            <v>70</v>
          </cell>
          <cell r="P1590">
            <v>41.04</v>
          </cell>
        </row>
        <row r="1591">
          <cell r="A1591" t="str">
            <v>6728904</v>
          </cell>
          <cell r="B1591" t="str">
            <v>1170053</v>
          </cell>
          <cell r="C1591" t="str">
            <v>6354DO-283-701-MS19</v>
          </cell>
          <cell r="D1591" t="str">
            <v>6354DO</v>
          </cell>
          <cell r="E1591" t="str">
            <v>6354DO GLOCK 19/23 CORD MTCM RH</v>
          </cell>
          <cell r="F1591" t="str">
            <v>DG-HOLSTER-DO-DTC</v>
          </cell>
          <cell r="G1591" t="str">
            <v>1420-210-FG</v>
          </cell>
          <cell r="H1591" t="str">
            <v>R</v>
          </cell>
          <cell r="I1591" t="str">
            <v>06/13/2024</v>
          </cell>
          <cell r="J1591" t="str">
            <v>06/14/2024</v>
          </cell>
          <cell r="K1591" t="str">
            <v>06/24/2024</v>
          </cell>
          <cell r="L1591">
            <v>70</v>
          </cell>
          <cell r="M1591" t="str">
            <v>6/13/2024 12:05:01 PM</v>
          </cell>
          <cell r="N1591" t="str">
            <v>26</v>
          </cell>
          <cell r="O1591">
            <v>70</v>
          </cell>
          <cell r="P1591">
            <v>41.04</v>
          </cell>
        </row>
        <row r="1592">
          <cell r="A1592" t="str">
            <v>6728905</v>
          </cell>
          <cell r="B1592" t="str">
            <v>1170053</v>
          </cell>
          <cell r="C1592" t="str">
            <v>6354DO-283-701-MS19</v>
          </cell>
          <cell r="D1592" t="str">
            <v>6354DO</v>
          </cell>
          <cell r="E1592" t="str">
            <v>6354DO GLOCK 19/23 CORD MTCM RH</v>
          </cell>
          <cell r="F1592" t="str">
            <v>DG-HOLSTER-DO-DTC</v>
          </cell>
          <cell r="G1592" t="str">
            <v>1420-210-FG</v>
          </cell>
          <cell r="H1592" t="str">
            <v>R</v>
          </cell>
          <cell r="I1592" t="str">
            <v>06/13/2024</v>
          </cell>
          <cell r="J1592" t="str">
            <v>06/14/2024</v>
          </cell>
          <cell r="K1592" t="str">
            <v>06/24/2024</v>
          </cell>
          <cell r="L1592">
            <v>70</v>
          </cell>
          <cell r="M1592" t="str">
            <v>6/13/2024 12:05:01 PM</v>
          </cell>
          <cell r="N1592" t="str">
            <v>26</v>
          </cell>
          <cell r="O1592">
            <v>70</v>
          </cell>
          <cell r="P1592">
            <v>41.04</v>
          </cell>
        </row>
        <row r="1593">
          <cell r="A1593" t="str">
            <v>6728906</v>
          </cell>
          <cell r="B1593" t="str">
            <v>1170053</v>
          </cell>
          <cell r="C1593" t="str">
            <v>6354DO-283-701-MS19</v>
          </cell>
          <cell r="D1593" t="str">
            <v>6354DO</v>
          </cell>
          <cell r="E1593" t="str">
            <v>6354DO GLOCK 19/23 CORD MTCM RH</v>
          </cell>
          <cell r="F1593" t="str">
            <v>DG-HOLSTER-DO-DTC</v>
          </cell>
          <cell r="G1593" t="str">
            <v>1420-210-FG</v>
          </cell>
          <cell r="H1593" t="str">
            <v>R</v>
          </cell>
          <cell r="I1593" t="str">
            <v>06/13/2024</v>
          </cell>
          <cell r="J1593" t="str">
            <v>06/14/2024</v>
          </cell>
          <cell r="K1593" t="str">
            <v>06/24/2024</v>
          </cell>
          <cell r="L1593">
            <v>70</v>
          </cell>
          <cell r="M1593" t="str">
            <v>6/13/2024 12:05:01 PM</v>
          </cell>
          <cell r="N1593" t="str">
            <v>26</v>
          </cell>
          <cell r="O1593">
            <v>70</v>
          </cell>
          <cell r="P1593">
            <v>41.04</v>
          </cell>
        </row>
        <row r="1594">
          <cell r="A1594" t="str">
            <v>6728907</v>
          </cell>
          <cell r="B1594" t="str">
            <v>1170053</v>
          </cell>
          <cell r="C1594" t="str">
            <v>6354DO-283-701-MS19</v>
          </cell>
          <cell r="D1594" t="str">
            <v>6354DO</v>
          </cell>
          <cell r="E1594" t="str">
            <v>6354DO GLOCK 19/23 CORD MTCM RH</v>
          </cell>
          <cell r="F1594" t="str">
            <v>DG-HOLSTER-DO-DTC</v>
          </cell>
          <cell r="G1594" t="str">
            <v>1420-210-FG</v>
          </cell>
          <cell r="H1594" t="str">
            <v>R</v>
          </cell>
          <cell r="I1594" t="str">
            <v>06/13/2024</v>
          </cell>
          <cell r="J1594" t="str">
            <v>06/14/2024</v>
          </cell>
          <cell r="K1594" t="str">
            <v>06/24/2024</v>
          </cell>
          <cell r="L1594">
            <v>70</v>
          </cell>
          <cell r="M1594" t="str">
            <v>6/13/2024 12:05:01 PM</v>
          </cell>
          <cell r="N1594" t="str">
            <v>26</v>
          </cell>
          <cell r="O1594">
            <v>70</v>
          </cell>
          <cell r="P1594">
            <v>41.04</v>
          </cell>
        </row>
        <row r="1595">
          <cell r="A1595" t="str">
            <v>6728908</v>
          </cell>
          <cell r="B1595" t="str">
            <v>1170053</v>
          </cell>
          <cell r="C1595" t="str">
            <v>6354DO-283-701-MS19</v>
          </cell>
          <cell r="D1595" t="str">
            <v>6354DO</v>
          </cell>
          <cell r="E1595" t="str">
            <v>6354DO GLOCK 19/23 CORD MTCM RH</v>
          </cell>
          <cell r="F1595" t="str">
            <v>DG-HOLSTER-DO-DTC</v>
          </cell>
          <cell r="G1595" t="str">
            <v>1420-210-FG</v>
          </cell>
          <cell r="H1595" t="str">
            <v>R</v>
          </cell>
          <cell r="I1595" t="str">
            <v>06/13/2024</v>
          </cell>
          <cell r="J1595" t="str">
            <v>06/14/2024</v>
          </cell>
          <cell r="K1595" t="str">
            <v>06/24/2024</v>
          </cell>
          <cell r="L1595">
            <v>70</v>
          </cell>
          <cell r="M1595" t="str">
            <v>6/13/2024 12:05:01 PM</v>
          </cell>
          <cell r="N1595" t="str">
            <v>26</v>
          </cell>
          <cell r="O1595">
            <v>70</v>
          </cell>
          <cell r="P1595">
            <v>41.04</v>
          </cell>
        </row>
        <row r="1596">
          <cell r="A1596" t="str">
            <v>6728909</v>
          </cell>
          <cell r="B1596" t="str">
            <v>1170053</v>
          </cell>
          <cell r="C1596" t="str">
            <v>6354DO-283-701-MS19</v>
          </cell>
          <cell r="D1596" t="str">
            <v>6354DO</v>
          </cell>
          <cell r="E1596" t="str">
            <v>6354DO GLOCK 19/23 CORD MTCM RH</v>
          </cell>
          <cell r="F1596" t="str">
            <v>DG-HOLSTER-DO-DTC</v>
          </cell>
          <cell r="G1596" t="str">
            <v>1420-210-FG</v>
          </cell>
          <cell r="H1596" t="str">
            <v>R</v>
          </cell>
          <cell r="I1596" t="str">
            <v>06/13/2024</v>
          </cell>
          <cell r="J1596" t="str">
            <v>06/14/2024</v>
          </cell>
          <cell r="K1596" t="str">
            <v>06/24/2024</v>
          </cell>
          <cell r="L1596">
            <v>30</v>
          </cell>
          <cell r="M1596" t="str">
            <v>6/13/2024 12:05:01 PM</v>
          </cell>
          <cell r="N1596" t="str">
            <v>26</v>
          </cell>
          <cell r="O1596">
            <v>30</v>
          </cell>
          <cell r="P1596">
            <v>17.579999999999998</v>
          </cell>
        </row>
        <row r="1597">
          <cell r="A1597" t="str">
            <v>6727987</v>
          </cell>
          <cell r="B1597" t="str">
            <v>1191255</v>
          </cell>
          <cell r="C1597" t="str">
            <v>6354DO-2832-731</v>
          </cell>
          <cell r="D1597" t="str">
            <v>6354DO</v>
          </cell>
          <cell r="E1597" t="str">
            <v>6354DO GLOCK 19/23 X300U COR CAM GRN RH</v>
          </cell>
          <cell r="F1597" t="str">
            <v>DG-HOLSTER-DO-DTC</v>
          </cell>
          <cell r="G1597" t="str">
            <v>1420-210-FG</v>
          </cell>
          <cell r="H1597" t="str">
            <v>R</v>
          </cell>
          <cell r="I1597" t="str">
            <v>06/11/2024</v>
          </cell>
          <cell r="J1597" t="str">
            <v>06/17/2024</v>
          </cell>
          <cell r="K1597" t="str">
            <v>06/24/2024</v>
          </cell>
          <cell r="L1597">
            <v>1</v>
          </cell>
          <cell r="M1597" t="str">
            <v>6/13/2024 10:55:31 AM</v>
          </cell>
          <cell r="N1597" t="str">
            <v>26</v>
          </cell>
          <cell r="O1597">
            <v>1</v>
          </cell>
          <cell r="P1597">
            <v>0.48</v>
          </cell>
        </row>
        <row r="1598">
          <cell r="A1598" t="str">
            <v>6726919</v>
          </cell>
          <cell r="B1598" t="str">
            <v>1177492</v>
          </cell>
          <cell r="C1598" t="str">
            <v>6354DO-2832-781-MS19</v>
          </cell>
          <cell r="D1598" t="str">
            <v>6354DO</v>
          </cell>
          <cell r="E1598" t="str">
            <v>6354DO GLOCK 19/23 X300U CORD BLK RH</v>
          </cell>
          <cell r="F1598" t="str">
            <v>DG-HOLSTER-DO-DTC</v>
          </cell>
          <cell r="G1598" t="str">
            <v>1420-210-FG</v>
          </cell>
          <cell r="H1598" t="str">
            <v>R</v>
          </cell>
          <cell r="I1598" t="str">
            <v>06/10/2024</v>
          </cell>
          <cell r="J1598" t="str">
            <v>06/10/2024</v>
          </cell>
          <cell r="K1598" t="str">
            <v>06/24/2024</v>
          </cell>
          <cell r="L1598">
            <v>5</v>
          </cell>
          <cell r="M1598" t="str">
            <v>6/13/2024 10:55:31 AM</v>
          </cell>
          <cell r="N1598" t="str">
            <v>26</v>
          </cell>
          <cell r="O1598">
            <v>5</v>
          </cell>
          <cell r="P1598">
            <v>3.08</v>
          </cell>
        </row>
        <row r="1599">
          <cell r="A1599" t="str">
            <v>6727984</v>
          </cell>
          <cell r="B1599" t="str">
            <v>1177492</v>
          </cell>
          <cell r="C1599" t="str">
            <v>6354DO-2832-781-MS19</v>
          </cell>
          <cell r="D1599" t="str">
            <v>6354DO</v>
          </cell>
          <cell r="E1599" t="str">
            <v>6354DO GLOCK 19/23 X300U CORD BLK RH</v>
          </cell>
          <cell r="F1599" t="str">
            <v>DG-HOLSTER-DO-DTC</v>
          </cell>
          <cell r="G1599" t="str">
            <v>1420-210-FG</v>
          </cell>
          <cell r="H1599" t="str">
            <v>R</v>
          </cell>
          <cell r="I1599" t="str">
            <v>06/11/2024</v>
          </cell>
          <cell r="J1599" t="str">
            <v>06/17/2024</v>
          </cell>
          <cell r="K1599" t="str">
            <v>06/24/2024</v>
          </cell>
          <cell r="L1599">
            <v>5</v>
          </cell>
          <cell r="M1599" t="str">
            <v>6/13/2024 10:55:31 AM</v>
          </cell>
          <cell r="N1599" t="str">
            <v>26</v>
          </cell>
          <cell r="O1599">
            <v>5</v>
          </cell>
          <cell r="P1599">
            <v>3.08</v>
          </cell>
        </row>
        <row r="1600">
          <cell r="A1600" t="str">
            <v>6726912</v>
          </cell>
          <cell r="B1600" t="str">
            <v>1164826</v>
          </cell>
          <cell r="C1600" t="str">
            <v>6354DO-2832-701-MS19</v>
          </cell>
          <cell r="D1600" t="str">
            <v>6354DO</v>
          </cell>
          <cell r="E1600" t="str">
            <v>6354DO GLOCK 19/23 X300U CORD MTCM RH</v>
          </cell>
          <cell r="F1600" t="str">
            <v>DG-HOLSTER-DO-DTC</v>
          </cell>
          <cell r="G1600" t="str">
            <v>1420-210-FG</v>
          </cell>
          <cell r="H1600" t="str">
            <v>R</v>
          </cell>
          <cell r="I1600" t="str">
            <v>06/10/2024</v>
          </cell>
          <cell r="J1600" t="str">
            <v>06/10/2024</v>
          </cell>
          <cell r="K1600" t="str">
            <v>06/24/2024</v>
          </cell>
          <cell r="L1600">
            <v>15</v>
          </cell>
          <cell r="M1600" t="str">
            <v>6/13/2024 10:55:31 AM</v>
          </cell>
          <cell r="N1600" t="str">
            <v>26</v>
          </cell>
          <cell r="O1600">
            <v>15</v>
          </cell>
          <cell r="P1600">
            <v>9.25</v>
          </cell>
        </row>
        <row r="1601">
          <cell r="A1601" t="str">
            <v>6727623</v>
          </cell>
          <cell r="B1601" t="str">
            <v>1164826</v>
          </cell>
          <cell r="C1601" t="str">
            <v>6354DO-2832-701-MS19</v>
          </cell>
          <cell r="D1601" t="str">
            <v>6354DO</v>
          </cell>
          <cell r="E1601" t="str">
            <v>6354DO GLOCK 19/23 X300U CORD MTCM RH</v>
          </cell>
          <cell r="F1601" t="str">
            <v>DG-HOLSTER-DO-DTC</v>
          </cell>
          <cell r="G1601" t="str">
            <v>1420-210-FG</v>
          </cell>
          <cell r="H1601" t="str">
            <v>R</v>
          </cell>
          <cell r="I1601" t="str">
            <v>06/11/2024</v>
          </cell>
          <cell r="J1601" t="str">
            <v>06/11/2024</v>
          </cell>
          <cell r="K1601" t="str">
            <v>06/24/2024</v>
          </cell>
          <cell r="L1601">
            <v>15</v>
          </cell>
          <cell r="M1601" t="str">
            <v>6/13/2024 10:55:31 AM</v>
          </cell>
          <cell r="N1601" t="str">
            <v>26</v>
          </cell>
          <cell r="O1601">
            <v>15</v>
          </cell>
          <cell r="P1601">
            <v>9.25</v>
          </cell>
        </row>
        <row r="1602">
          <cell r="A1602" t="str">
            <v>6727979</v>
          </cell>
          <cell r="B1602" t="str">
            <v>1167114</v>
          </cell>
          <cell r="C1602" t="str">
            <v>6354DO-6832-781-MS19</v>
          </cell>
          <cell r="D1602" t="str">
            <v>6354DO</v>
          </cell>
          <cell r="E1602" t="str">
            <v>6354DO GLOCK 34/35 X300U CORD BLK RH</v>
          </cell>
          <cell r="F1602" t="str">
            <v>DG-HOLSTER-DO</v>
          </cell>
          <cell r="G1602" t="str">
            <v>1420-210-FG</v>
          </cell>
          <cell r="H1602" t="str">
            <v>R</v>
          </cell>
          <cell r="I1602" t="str">
            <v>06/11/2024</v>
          </cell>
          <cell r="J1602" t="str">
            <v>06/17/2024</v>
          </cell>
          <cell r="K1602" t="str">
            <v>06/24/2024</v>
          </cell>
          <cell r="L1602">
            <v>5</v>
          </cell>
          <cell r="M1602" t="str">
            <v>6/13/2024 11:46:14 AM</v>
          </cell>
          <cell r="N1602" t="str">
            <v>26</v>
          </cell>
          <cell r="O1602">
            <v>5</v>
          </cell>
          <cell r="P1602">
            <v>2.25</v>
          </cell>
        </row>
        <row r="1603">
          <cell r="A1603" t="str">
            <v>6724387</v>
          </cell>
          <cell r="B1603" t="str">
            <v>1335193</v>
          </cell>
          <cell r="C1603" t="str">
            <v>6354RDS-2582-741-MS19</v>
          </cell>
          <cell r="D1603" t="str">
            <v>6354RDS</v>
          </cell>
          <cell r="E1603" t="str">
            <v>6354RDS 2011 STCC 5" X300U CORCYB RH</v>
          </cell>
          <cell r="F1603" t="str">
            <v>DG-HOLSTER-RDS-DTC</v>
          </cell>
          <cell r="G1603" t="str">
            <v>1420-210-FG</v>
          </cell>
          <cell r="H1603" t="str">
            <v>R</v>
          </cell>
          <cell r="I1603" t="str">
            <v>06/04/2024</v>
          </cell>
          <cell r="J1603" t="str">
            <v>06/04/2024</v>
          </cell>
          <cell r="K1603" t="str">
            <v>06/24/2024</v>
          </cell>
          <cell r="L1603">
            <v>1</v>
          </cell>
          <cell r="M1603" t="str">
            <v>6/13/2024 10:57:31 AM</v>
          </cell>
          <cell r="N1603" t="str">
            <v>26</v>
          </cell>
          <cell r="O1603">
            <v>1</v>
          </cell>
          <cell r="P1603">
            <v>0.4</v>
          </cell>
        </row>
        <row r="1604">
          <cell r="A1604" t="str">
            <v>6728239</v>
          </cell>
          <cell r="B1604" t="str">
            <v>1335125</v>
          </cell>
          <cell r="C1604" t="str">
            <v>6354RDS-2582-131</v>
          </cell>
          <cell r="D1604" t="str">
            <v>6354RDS</v>
          </cell>
          <cell r="E1604" t="str">
            <v>6354RDS 2011 STCC 5"X300U STX TAC BLK RH</v>
          </cell>
          <cell r="F1604" t="str">
            <v>DG-HOLSTER-RDS-DTC</v>
          </cell>
          <cell r="G1604" t="str">
            <v>1420-210-FG</v>
          </cell>
          <cell r="H1604" t="str">
            <v>R</v>
          </cell>
          <cell r="I1604" t="str">
            <v>06/11/2024</v>
          </cell>
          <cell r="J1604" t="str">
            <v>06/17/2024</v>
          </cell>
          <cell r="K1604" t="str">
            <v>06/24/2024</v>
          </cell>
          <cell r="L1604">
            <v>7</v>
          </cell>
          <cell r="M1604" t="str">
            <v>6/13/2024 10:53:13 AM</v>
          </cell>
          <cell r="N1604" t="str">
            <v>26</v>
          </cell>
          <cell r="O1604">
            <v>7</v>
          </cell>
          <cell r="P1604">
            <v>2.8</v>
          </cell>
        </row>
        <row r="1605">
          <cell r="A1605" t="str">
            <v>6727680</v>
          </cell>
          <cell r="B1605" t="str">
            <v>1334948</v>
          </cell>
          <cell r="C1605" t="str">
            <v>6354RDS-832-251-MS19</v>
          </cell>
          <cell r="D1605" t="str">
            <v>6354RDS</v>
          </cell>
          <cell r="E1605" t="str">
            <v>6354RDS GLK 17MOS X300U CR ARID MLTCM RH</v>
          </cell>
          <cell r="F1605" t="str">
            <v>DG-HOLSTER-RDS-DTC</v>
          </cell>
          <cell r="G1605" t="str">
            <v>1420-210-FG</v>
          </cell>
          <cell r="H1605" t="str">
            <v>R</v>
          </cell>
          <cell r="I1605" t="str">
            <v>06/11/2024</v>
          </cell>
          <cell r="J1605" t="str">
            <v>06/11/2024</v>
          </cell>
          <cell r="K1605" t="str">
            <v>06/24/2024</v>
          </cell>
          <cell r="L1605">
            <v>5</v>
          </cell>
          <cell r="M1605" t="str">
            <v>6/13/2024 11:43:03 AM</v>
          </cell>
          <cell r="N1605" t="str">
            <v>26</v>
          </cell>
          <cell r="O1605">
            <v>5</v>
          </cell>
          <cell r="P1605">
            <v>2.17</v>
          </cell>
        </row>
        <row r="1606">
          <cell r="A1606" t="str">
            <v>6727672</v>
          </cell>
          <cell r="B1606" t="str">
            <v>1334950</v>
          </cell>
          <cell r="C1606" t="str">
            <v>6354RDS-2832-251-MS19</v>
          </cell>
          <cell r="D1606" t="str">
            <v>6354RDS</v>
          </cell>
          <cell r="E1606" t="str">
            <v>6354RDS GLK 19MOS X300U CR ARID MLTCM RH</v>
          </cell>
          <cell r="F1606" t="str">
            <v>DG-HOLSTER-RDS-DTC</v>
          </cell>
          <cell r="G1606" t="str">
            <v>1420-210-FG</v>
          </cell>
          <cell r="H1606" t="str">
            <v>F</v>
          </cell>
          <cell r="I1606" t="str">
            <v>06/11/2024</v>
          </cell>
          <cell r="J1606" t="str">
            <v>06/11/2024</v>
          </cell>
          <cell r="K1606" t="str">
            <v>06/24/2024</v>
          </cell>
          <cell r="L1606">
            <v>20</v>
          </cell>
          <cell r="M1606" t="str">
            <v/>
          </cell>
          <cell r="N1606" t="str">
            <v>26</v>
          </cell>
          <cell r="O1606">
            <v>20</v>
          </cell>
          <cell r="P1606">
            <v>8.66</v>
          </cell>
        </row>
        <row r="1607">
          <cell r="A1607" t="str">
            <v>6728599</v>
          </cell>
          <cell r="B1607" t="str">
            <v>1333060</v>
          </cell>
          <cell r="C1607" t="str">
            <v>6354RDS-28327-551</v>
          </cell>
          <cell r="D1607" t="str">
            <v>6354RDS</v>
          </cell>
          <cell r="E1607" t="str">
            <v>6354RDS GLOCK 19MOS TLR-7 STX TAC FDE RH</v>
          </cell>
          <cell r="F1607" t="str">
            <v>DG-HOLSTER-RDS-DTC</v>
          </cell>
          <cell r="G1607" t="str">
            <v>1420-210-FG</v>
          </cell>
          <cell r="H1607" t="str">
            <v>R</v>
          </cell>
          <cell r="I1607" t="str">
            <v>06/12/2024</v>
          </cell>
          <cell r="J1607" t="str">
            <v>06/12/2024</v>
          </cell>
          <cell r="K1607" t="str">
            <v>06/24/2024</v>
          </cell>
          <cell r="L1607">
            <v>5</v>
          </cell>
          <cell r="M1607" t="str">
            <v>6/13/2024 11:14:09 AM</v>
          </cell>
          <cell r="N1607" t="str">
            <v>26</v>
          </cell>
          <cell r="O1607">
            <v>5</v>
          </cell>
          <cell r="P1607">
            <v>2</v>
          </cell>
        </row>
        <row r="1608">
          <cell r="A1608" t="str">
            <v>6727189</v>
          </cell>
          <cell r="B1608" t="str">
            <v>1331955</v>
          </cell>
          <cell r="C1608" t="str">
            <v>6354RDS-832-241-MS19</v>
          </cell>
          <cell r="D1608" t="str">
            <v>6354RDS</v>
          </cell>
          <cell r="E1608" t="str">
            <v>6354RDS GLOCK17MOS X300U CORD GREY RH</v>
          </cell>
          <cell r="F1608" t="str">
            <v>DG-HOLSTER-RDS-DTC</v>
          </cell>
          <cell r="G1608" t="str">
            <v>1420-210-FG</v>
          </cell>
          <cell r="H1608" t="str">
            <v>R</v>
          </cell>
          <cell r="I1608" t="str">
            <v>06/10/2024</v>
          </cell>
          <cell r="J1608" t="str">
            <v>06/10/2024</v>
          </cell>
          <cell r="K1608" t="str">
            <v>06/24/2024</v>
          </cell>
          <cell r="L1608">
            <v>5</v>
          </cell>
          <cell r="M1608" t="str">
            <v>6/13/2024 11:49:01 AM</v>
          </cell>
          <cell r="N1608" t="str">
            <v>26</v>
          </cell>
          <cell r="O1608">
            <v>5</v>
          </cell>
          <cell r="P1608">
            <v>2.17</v>
          </cell>
        </row>
        <row r="1609">
          <cell r="A1609" t="str">
            <v>6727190</v>
          </cell>
          <cell r="B1609" t="str">
            <v>1332324</v>
          </cell>
          <cell r="C1609" t="str">
            <v>6354RDS-832-712-MS19</v>
          </cell>
          <cell r="D1609" t="str">
            <v>6354RDS</v>
          </cell>
          <cell r="E1609" t="str">
            <v>6354RDS GLOCK  17MOS X300U COR BKMCAM LH</v>
          </cell>
          <cell r="F1609" t="str">
            <v>DG-HOLSTER-RDS-DTC</v>
          </cell>
          <cell r="G1609" t="str">
            <v>1420-210-FG</v>
          </cell>
          <cell r="H1609" t="str">
            <v>R</v>
          </cell>
          <cell r="I1609" t="str">
            <v>06/10/2024</v>
          </cell>
          <cell r="J1609" t="str">
            <v>06/10/2024</v>
          </cell>
          <cell r="K1609" t="str">
            <v>06/24/2024</v>
          </cell>
          <cell r="L1609">
            <v>5</v>
          </cell>
          <cell r="M1609" t="str">
            <v>6/13/2024 11:49:01 AM</v>
          </cell>
          <cell r="N1609" t="str">
            <v>26</v>
          </cell>
          <cell r="O1609">
            <v>5</v>
          </cell>
          <cell r="P1609">
            <v>2.17</v>
          </cell>
        </row>
        <row r="1610">
          <cell r="A1610" t="str">
            <v>6727229</v>
          </cell>
          <cell r="B1610" t="str">
            <v>1335284</v>
          </cell>
          <cell r="C1610" t="str">
            <v>6354RDS-5932-E991-MS19</v>
          </cell>
          <cell r="D1610" t="str">
            <v>6354RDS</v>
          </cell>
          <cell r="E1610" t="str">
            <v>6354RDS H&amp;K VP9 X300U CR KTK HLD RH</v>
          </cell>
          <cell r="F1610" t="str">
            <v>DG-HOLSTER-RDS-DTC</v>
          </cell>
          <cell r="G1610" t="str">
            <v>1420-210-FG</v>
          </cell>
          <cell r="H1610" t="str">
            <v>R</v>
          </cell>
          <cell r="I1610" t="str">
            <v>06/10/2024</v>
          </cell>
          <cell r="J1610" t="str">
            <v>06/10/2024</v>
          </cell>
          <cell r="K1610" t="str">
            <v>06/24/2024</v>
          </cell>
          <cell r="L1610">
            <v>18</v>
          </cell>
          <cell r="M1610" t="str">
            <v>6/13/2024 11:43:03 AM</v>
          </cell>
          <cell r="N1610" t="str">
            <v>26</v>
          </cell>
          <cell r="O1610">
            <v>18</v>
          </cell>
          <cell r="P1610">
            <v>7.2</v>
          </cell>
        </row>
        <row r="1611">
          <cell r="A1611" t="str">
            <v>6727681</v>
          </cell>
          <cell r="B1611" t="str">
            <v>1335288</v>
          </cell>
          <cell r="C1611" t="str">
            <v>6354RDS-8182-E991-MS19</v>
          </cell>
          <cell r="D1611" t="str">
            <v>6354RDS</v>
          </cell>
          <cell r="E1611" t="str">
            <v>6354RDS MP 2.0 9MM X300U CR KTK HLD RH</v>
          </cell>
          <cell r="F1611" t="str">
            <v>DG-HOLSTER-RDS-DTC</v>
          </cell>
          <cell r="G1611" t="str">
            <v>1420-210-FG</v>
          </cell>
          <cell r="H1611" t="str">
            <v>F</v>
          </cell>
          <cell r="I1611" t="str">
            <v>06/11/2024</v>
          </cell>
          <cell r="J1611" t="str">
            <v>06/11/2024</v>
          </cell>
          <cell r="K1611" t="str">
            <v>06/24/2024</v>
          </cell>
          <cell r="L1611">
            <v>5</v>
          </cell>
          <cell r="M1611" t="str">
            <v/>
          </cell>
          <cell r="N1611" t="str">
            <v>26</v>
          </cell>
          <cell r="O1611">
            <v>5</v>
          </cell>
          <cell r="P1611">
            <v>2</v>
          </cell>
        </row>
        <row r="1612">
          <cell r="A1612" t="str">
            <v>6727228</v>
          </cell>
          <cell r="B1612" t="str">
            <v>1335276</v>
          </cell>
          <cell r="C1612" t="str">
            <v>6354RDS-7502-E991-MS19</v>
          </cell>
          <cell r="D1612" t="str">
            <v>6354RDS</v>
          </cell>
          <cell r="E1612" t="str">
            <v>6354RDS SIG P320CRX X300U CR KTK HLD RH</v>
          </cell>
          <cell r="F1612" t="str">
            <v>DG-HOLSTER-RDS-DTC</v>
          </cell>
          <cell r="G1612" t="str">
            <v>1420-210-FG</v>
          </cell>
          <cell r="H1612" t="str">
            <v>R</v>
          </cell>
          <cell r="I1612" t="str">
            <v>06/10/2024</v>
          </cell>
          <cell r="J1612" t="str">
            <v>06/10/2024</v>
          </cell>
          <cell r="K1612" t="str">
            <v>06/24/2024</v>
          </cell>
          <cell r="L1612">
            <v>10</v>
          </cell>
          <cell r="M1612" t="str">
            <v>6/13/2024 11:43:03 AM</v>
          </cell>
          <cell r="N1612" t="str">
            <v>26</v>
          </cell>
          <cell r="O1612">
            <v>10</v>
          </cell>
          <cell r="P1612">
            <v>4.33</v>
          </cell>
        </row>
        <row r="1613">
          <cell r="A1613" t="str">
            <v>6723725</v>
          </cell>
          <cell r="B1613" t="str">
            <v>1334969</v>
          </cell>
          <cell r="C1613" t="str">
            <v>6354RDS-1582-251-MS19</v>
          </cell>
          <cell r="D1613" t="str">
            <v>6354RDS</v>
          </cell>
          <cell r="E1613" t="str">
            <v>6354RDS STI STAC P 4.4"X300U ARID MTC RH</v>
          </cell>
          <cell r="F1613" t="str">
            <v>DG-HOLSTER-RDS</v>
          </cell>
          <cell r="G1613" t="str">
            <v>1420-210-FG</v>
          </cell>
          <cell r="H1613" t="str">
            <v>R</v>
          </cell>
          <cell r="I1613" t="str">
            <v>06/03/2024</v>
          </cell>
          <cell r="J1613" t="str">
            <v>06/03/2024</v>
          </cell>
          <cell r="K1613" t="str">
            <v>06/24/2024</v>
          </cell>
          <cell r="L1613">
            <v>5</v>
          </cell>
          <cell r="M1613" t="str">
            <v>6/13/2024 10:57:31 AM</v>
          </cell>
          <cell r="N1613" t="str">
            <v>26</v>
          </cell>
          <cell r="O1613">
            <v>5</v>
          </cell>
          <cell r="P1613">
            <v>2</v>
          </cell>
        </row>
        <row r="1614">
          <cell r="A1614" t="str">
            <v>6723791</v>
          </cell>
          <cell r="B1614" t="str">
            <v>1335133</v>
          </cell>
          <cell r="C1614" t="str">
            <v>6354RDSO-2582-701-MS19</v>
          </cell>
          <cell r="D1614" t="str">
            <v>6354RDSO</v>
          </cell>
          <cell r="E1614" t="str">
            <v>6354RDSO 2011 STCC 5" X300U COR MCM RH</v>
          </cell>
          <cell r="F1614" t="str">
            <v>DG-HOLSTER-RDS-DTC</v>
          </cell>
          <cell r="G1614" t="str">
            <v>1420-210-FG</v>
          </cell>
          <cell r="H1614" t="str">
            <v>R</v>
          </cell>
          <cell r="I1614" t="str">
            <v>06/03/2024</v>
          </cell>
          <cell r="J1614" t="str">
            <v>06/03/2024</v>
          </cell>
          <cell r="K1614" t="str">
            <v>06/24/2024</v>
          </cell>
          <cell r="L1614">
            <v>50</v>
          </cell>
          <cell r="M1614" t="str">
            <v>6/13/2024 10:57:31 AM</v>
          </cell>
          <cell r="N1614" t="str">
            <v>26</v>
          </cell>
          <cell r="O1614">
            <v>50</v>
          </cell>
          <cell r="P1614">
            <v>20</v>
          </cell>
        </row>
        <row r="1615">
          <cell r="A1615" t="str">
            <v>6727144</v>
          </cell>
          <cell r="B1615" t="str">
            <v>1335197</v>
          </cell>
          <cell r="C1615" t="str">
            <v>6354RDSO-2582-131-MS19</v>
          </cell>
          <cell r="D1615" t="str">
            <v>6354RDSO</v>
          </cell>
          <cell r="E1615" t="str">
            <v>6354RDSO 2011 STCC 5"X300U STX TAC BLKRH</v>
          </cell>
          <cell r="F1615" t="str">
            <v>DG-HOLSTER-RDS-DTC</v>
          </cell>
          <cell r="G1615" t="str">
            <v>1420-210-FG</v>
          </cell>
          <cell r="H1615" t="str">
            <v>F</v>
          </cell>
          <cell r="I1615" t="str">
            <v>06/10/2024</v>
          </cell>
          <cell r="J1615" t="str">
            <v>06/10/2024</v>
          </cell>
          <cell r="K1615" t="str">
            <v>06/24/2024</v>
          </cell>
          <cell r="L1615">
            <v>60</v>
          </cell>
          <cell r="M1615" t="str">
            <v/>
          </cell>
          <cell r="N1615" t="str">
            <v>26</v>
          </cell>
          <cell r="O1615">
            <v>60</v>
          </cell>
          <cell r="P1615">
            <v>24</v>
          </cell>
        </row>
        <row r="1616">
          <cell r="A1616" t="str">
            <v>6727240</v>
          </cell>
          <cell r="B1616" t="str">
            <v>1335623</v>
          </cell>
          <cell r="C1616" t="str">
            <v>6354RDSO-832-801-MS19</v>
          </cell>
          <cell r="D1616" t="str">
            <v>6354RDSO</v>
          </cell>
          <cell r="E1616" t="str">
            <v>6354RDSO GLK 17MOS X300U CR MTCM ALPN RH</v>
          </cell>
          <cell r="F1616" t="str">
            <v>DG-HOLSTER-RDS-DTC</v>
          </cell>
          <cell r="G1616" t="str">
            <v>1420-210-FG</v>
          </cell>
          <cell r="H1616" t="str">
            <v>R</v>
          </cell>
          <cell r="I1616" t="str">
            <v>06/10/2024</v>
          </cell>
          <cell r="J1616" t="str">
            <v>06/10/2024</v>
          </cell>
          <cell r="K1616" t="str">
            <v>06/24/2024</v>
          </cell>
          <cell r="L1616">
            <v>5</v>
          </cell>
          <cell r="M1616" t="str">
            <v>6/13/2024 11:49:01 AM</v>
          </cell>
          <cell r="N1616" t="str">
            <v>26</v>
          </cell>
          <cell r="O1616">
            <v>5</v>
          </cell>
          <cell r="P1616">
            <v>2.17</v>
          </cell>
        </row>
        <row r="1617">
          <cell r="A1617" t="str">
            <v>6727102</v>
          </cell>
          <cell r="B1617" t="str">
            <v>1334277</v>
          </cell>
          <cell r="C1617" t="str">
            <v>6354RDSO-832-711-MS19</v>
          </cell>
          <cell r="D1617" t="str">
            <v>6354RDSO</v>
          </cell>
          <cell r="E1617" t="str">
            <v>6354RDSO GLOCK 17MOS X300U COR BKMCAM RH</v>
          </cell>
          <cell r="F1617" t="str">
            <v>DG-HOLSTER-RDS</v>
          </cell>
          <cell r="G1617" t="str">
            <v>1420-210-FG</v>
          </cell>
          <cell r="H1617" t="str">
            <v>R</v>
          </cell>
          <cell r="I1617" t="str">
            <v>06/10/2024</v>
          </cell>
          <cell r="J1617" t="str">
            <v>06/10/2024</v>
          </cell>
          <cell r="K1617" t="str">
            <v>06/24/2024</v>
          </cell>
          <cell r="L1617">
            <v>3</v>
          </cell>
          <cell r="M1617" t="str">
            <v>6/13/2024 11:49:01 AM</v>
          </cell>
          <cell r="N1617" t="str">
            <v>26</v>
          </cell>
          <cell r="O1617">
            <v>3</v>
          </cell>
          <cell r="P1617">
            <v>1.3</v>
          </cell>
        </row>
        <row r="1618">
          <cell r="A1618" t="str">
            <v>6727100</v>
          </cell>
          <cell r="B1618" t="str">
            <v>1334275</v>
          </cell>
          <cell r="C1618" t="str">
            <v>6354RDSO-832-751-MS19</v>
          </cell>
          <cell r="D1618" t="str">
            <v>6354RDSO</v>
          </cell>
          <cell r="E1618" t="str">
            <v>6354RDSO GLOCK 17MOS X300U COR KHK RH</v>
          </cell>
          <cell r="F1618" t="str">
            <v>DG-HOLSTER-RDS</v>
          </cell>
          <cell r="G1618" t="str">
            <v>1420-210-FG</v>
          </cell>
          <cell r="H1618" t="str">
            <v>R</v>
          </cell>
          <cell r="I1618" t="str">
            <v>06/10/2024</v>
          </cell>
          <cell r="J1618" t="str">
            <v>06/10/2024</v>
          </cell>
          <cell r="K1618" t="str">
            <v>06/24/2024</v>
          </cell>
          <cell r="L1618">
            <v>5</v>
          </cell>
          <cell r="M1618" t="str">
            <v>6/13/2024 11:49:01 AM</v>
          </cell>
          <cell r="N1618" t="str">
            <v>26</v>
          </cell>
          <cell r="O1618">
            <v>5</v>
          </cell>
          <cell r="P1618">
            <v>2.17</v>
          </cell>
        </row>
        <row r="1619">
          <cell r="A1619" t="str">
            <v>6728169</v>
          </cell>
          <cell r="B1619" t="str">
            <v>1333934</v>
          </cell>
          <cell r="C1619" t="str">
            <v>6354RDSO-832-701-MS19</v>
          </cell>
          <cell r="D1619" t="str">
            <v>6354RDSO</v>
          </cell>
          <cell r="E1619" t="str">
            <v>6354RDSO GLOCK 17MOS X300U COR MLTCM RH</v>
          </cell>
          <cell r="F1619" t="str">
            <v>DG-HOLSTER-RDS</v>
          </cell>
          <cell r="G1619" t="str">
            <v>1420-210-FG</v>
          </cell>
          <cell r="H1619" t="str">
            <v>R</v>
          </cell>
          <cell r="I1619" t="str">
            <v>06/11/2024</v>
          </cell>
          <cell r="J1619" t="str">
            <v>06/13/2024</v>
          </cell>
          <cell r="K1619" t="str">
            <v>06/24/2024</v>
          </cell>
          <cell r="L1619">
            <v>10</v>
          </cell>
          <cell r="M1619" t="str">
            <v>6/13/2024 11:49:01 AM</v>
          </cell>
          <cell r="N1619" t="str">
            <v>26</v>
          </cell>
          <cell r="O1619">
            <v>10</v>
          </cell>
          <cell r="P1619">
            <v>4.33</v>
          </cell>
        </row>
        <row r="1620">
          <cell r="A1620" t="str">
            <v>6728600</v>
          </cell>
          <cell r="B1620" t="str">
            <v>1335442</v>
          </cell>
          <cell r="C1620" t="str">
            <v>6354RDSO-28327-131-MS19</v>
          </cell>
          <cell r="D1620" t="str">
            <v>6354RDSO</v>
          </cell>
          <cell r="E1620" t="str">
            <v>6354RDSO GLOCK 19MOS TLR-7 STXTAC BLK RH</v>
          </cell>
          <cell r="F1620" t="str">
            <v>DG-HOLSTER-RDS-DTC</v>
          </cell>
          <cell r="G1620" t="str">
            <v>1420-210-FG</v>
          </cell>
          <cell r="H1620" t="str">
            <v>R</v>
          </cell>
          <cell r="I1620" t="str">
            <v>06/12/2024</v>
          </cell>
          <cell r="J1620" t="str">
            <v>06/12/2024</v>
          </cell>
          <cell r="K1620" t="str">
            <v>06/24/2024</v>
          </cell>
          <cell r="L1620">
            <v>15</v>
          </cell>
          <cell r="M1620" t="str">
            <v>6/13/2024 11:14:09 AM</v>
          </cell>
          <cell r="N1620" t="str">
            <v>26</v>
          </cell>
          <cell r="O1620">
            <v>15</v>
          </cell>
          <cell r="P1620">
            <v>6.5</v>
          </cell>
        </row>
        <row r="1621">
          <cell r="A1621" t="str">
            <v>6727141</v>
          </cell>
          <cell r="B1621" t="str">
            <v>1334796</v>
          </cell>
          <cell r="C1621" t="str">
            <v>6354RDSO-2832-701-MS19</v>
          </cell>
          <cell r="D1621" t="str">
            <v>6354RDSO</v>
          </cell>
          <cell r="E1621" t="str">
            <v>6354RDSO GLOCK 19MOS X300U CORD MLTCM RH</v>
          </cell>
          <cell r="F1621" t="str">
            <v>DG-HOLSTER-RDS-DTC</v>
          </cell>
          <cell r="G1621" t="str">
            <v>1420-210-FG</v>
          </cell>
          <cell r="H1621" t="str">
            <v>F</v>
          </cell>
          <cell r="I1621" t="str">
            <v>06/10/2024</v>
          </cell>
          <cell r="J1621" t="str">
            <v>06/10/2024</v>
          </cell>
          <cell r="K1621" t="str">
            <v>06/24/2024</v>
          </cell>
          <cell r="L1621">
            <v>30</v>
          </cell>
          <cell r="M1621" t="str">
            <v/>
          </cell>
          <cell r="N1621" t="str">
            <v>26</v>
          </cell>
          <cell r="O1621">
            <v>30</v>
          </cell>
          <cell r="P1621">
            <v>12.99</v>
          </cell>
        </row>
        <row r="1622">
          <cell r="A1622" t="str">
            <v>6728236</v>
          </cell>
          <cell r="B1622" t="str">
            <v>1334804</v>
          </cell>
          <cell r="C1622" t="str">
            <v>6354RDSO-2832-731-MS19</v>
          </cell>
          <cell r="D1622" t="str">
            <v>6354RDSO</v>
          </cell>
          <cell r="E1622" t="str">
            <v>6354RDSO GLOCK 19MOS X300U CR CAM GRN RH</v>
          </cell>
          <cell r="F1622" t="str">
            <v>DG-HOLSTER-RDS-DTC</v>
          </cell>
          <cell r="G1622" t="str">
            <v>1420-210-FG</v>
          </cell>
          <cell r="H1622" t="str">
            <v>R</v>
          </cell>
          <cell r="I1622" t="str">
            <v>06/11/2024</v>
          </cell>
          <cell r="J1622" t="str">
            <v>06/17/2024</v>
          </cell>
          <cell r="K1622" t="str">
            <v>06/24/2024</v>
          </cell>
          <cell r="L1622">
            <v>9</v>
          </cell>
          <cell r="M1622" t="str">
            <v>6/13/2024 10:53:13 AM</v>
          </cell>
          <cell r="N1622" t="str">
            <v>26</v>
          </cell>
          <cell r="O1622">
            <v>9</v>
          </cell>
          <cell r="P1622">
            <v>3.9</v>
          </cell>
        </row>
        <row r="1623">
          <cell r="A1623" t="str">
            <v>6723774</v>
          </cell>
          <cell r="B1623" t="str">
            <v>1334806</v>
          </cell>
          <cell r="C1623" t="str">
            <v>6354RDSO-2832-721-MS19</v>
          </cell>
          <cell r="D1623" t="str">
            <v>6354RDSO</v>
          </cell>
          <cell r="E1623" t="str">
            <v>6354RDSO GLOCK 19MOS X300U CR OD RGRN RH</v>
          </cell>
          <cell r="F1623" t="str">
            <v>DG-HOLSTER-RDS-DTC</v>
          </cell>
          <cell r="G1623" t="str">
            <v>1420-210-FG</v>
          </cell>
          <cell r="H1623" t="str">
            <v>R</v>
          </cell>
          <cell r="I1623" t="str">
            <v>06/03/2024</v>
          </cell>
          <cell r="J1623" t="str">
            <v>06/03/2024</v>
          </cell>
          <cell r="K1623" t="str">
            <v>06/24/2024</v>
          </cell>
          <cell r="L1623">
            <v>10</v>
          </cell>
          <cell r="M1623" t="str">
            <v>6/13/2024 10:53:13 AM</v>
          </cell>
          <cell r="N1623" t="str">
            <v>26</v>
          </cell>
          <cell r="O1623">
            <v>10</v>
          </cell>
          <cell r="P1623">
            <v>4.33</v>
          </cell>
        </row>
        <row r="1624">
          <cell r="A1624" t="str">
            <v>6727096</v>
          </cell>
          <cell r="B1624" t="str">
            <v>1333933</v>
          </cell>
          <cell r="C1624" t="str">
            <v>6354RDSO-6832-702-MS19</v>
          </cell>
          <cell r="D1624" t="str">
            <v>6354RDSO</v>
          </cell>
          <cell r="E1624" t="str">
            <v>6354RDSO GLOCK 34/35 X300U COR MLTCM LH</v>
          </cell>
          <cell r="F1624" t="str">
            <v>DG-HOLSTER-RDS</v>
          </cell>
          <cell r="G1624" t="str">
            <v>1420-210-FG</v>
          </cell>
          <cell r="H1624" t="str">
            <v>R</v>
          </cell>
          <cell r="I1624" t="str">
            <v>06/10/2024</v>
          </cell>
          <cell r="J1624" t="str">
            <v>06/10/2024</v>
          </cell>
          <cell r="K1624" t="str">
            <v>06/24/2024</v>
          </cell>
          <cell r="L1624">
            <v>5</v>
          </cell>
          <cell r="M1624" t="str">
            <v>6/13/2024 11:49:01 AM</v>
          </cell>
          <cell r="N1624" t="str">
            <v>26</v>
          </cell>
          <cell r="O1624">
            <v>5</v>
          </cell>
          <cell r="P1624">
            <v>2</v>
          </cell>
        </row>
        <row r="1625">
          <cell r="A1625" t="str">
            <v>6723696</v>
          </cell>
          <cell r="B1625" t="str">
            <v>1333932</v>
          </cell>
          <cell r="C1625" t="str">
            <v>6354RDSO-6832-701-MS19</v>
          </cell>
          <cell r="D1625" t="str">
            <v>6354RDSO</v>
          </cell>
          <cell r="E1625" t="str">
            <v>6354RDSO GLOCK 34/35 X300U COR MLTCM RH</v>
          </cell>
          <cell r="F1625" t="str">
            <v>DG-HOLSTER-RDS</v>
          </cell>
          <cell r="G1625" t="str">
            <v>1420-210-FG</v>
          </cell>
          <cell r="H1625" t="str">
            <v>R</v>
          </cell>
          <cell r="I1625" t="str">
            <v>06/03/2024</v>
          </cell>
          <cell r="J1625" t="str">
            <v>06/03/2024</v>
          </cell>
          <cell r="K1625" t="str">
            <v>06/24/2024</v>
          </cell>
          <cell r="L1625">
            <v>1</v>
          </cell>
          <cell r="M1625" t="str">
            <v>6/13/2024 11:49:01 AM</v>
          </cell>
          <cell r="N1625" t="str">
            <v>26</v>
          </cell>
          <cell r="O1625">
            <v>1</v>
          </cell>
          <cell r="P1625">
            <v>0.4</v>
          </cell>
        </row>
        <row r="1626">
          <cell r="A1626" t="str">
            <v>6723893</v>
          </cell>
          <cell r="B1626" t="str">
            <v>1335200</v>
          </cell>
          <cell r="C1626" t="str">
            <v>6354RDSO-8972-702-MS19</v>
          </cell>
          <cell r="D1626" t="str">
            <v>6354RDSO</v>
          </cell>
          <cell r="E1626" t="str">
            <v>6354RDSO GLOCK 47 X300U CORD MLTCM LH</v>
          </cell>
          <cell r="F1626" t="str">
            <v>DG-HOLSTER-RDS-DTC</v>
          </cell>
          <cell r="G1626" t="str">
            <v>1420-210-FG</v>
          </cell>
          <cell r="H1626" t="str">
            <v>R</v>
          </cell>
          <cell r="I1626" t="str">
            <v>06/03/2024</v>
          </cell>
          <cell r="J1626" t="str">
            <v>06/03/2024</v>
          </cell>
          <cell r="K1626" t="str">
            <v>06/24/2024</v>
          </cell>
          <cell r="L1626">
            <v>5</v>
          </cell>
          <cell r="M1626" t="str">
            <v>6/13/2024 10:57:31 AM</v>
          </cell>
          <cell r="N1626" t="str">
            <v>26</v>
          </cell>
          <cell r="O1626">
            <v>5</v>
          </cell>
          <cell r="P1626">
            <v>2</v>
          </cell>
        </row>
        <row r="1627">
          <cell r="A1627" t="str">
            <v>6727115</v>
          </cell>
          <cell r="B1627" t="str">
            <v>1334873</v>
          </cell>
          <cell r="C1627" t="str">
            <v>6354RDSO-8972-721-MS19</v>
          </cell>
          <cell r="D1627" t="str">
            <v>6354RDSO</v>
          </cell>
          <cell r="E1627" t="str">
            <v>6354RDSO GLOCK 47 X300U CR OD RGRN RH</v>
          </cell>
          <cell r="F1627" t="str">
            <v>DG-HOLSTER-RDS</v>
          </cell>
          <cell r="G1627" t="str">
            <v>1420-210-FG</v>
          </cell>
          <cell r="H1627" t="str">
            <v>R</v>
          </cell>
          <cell r="I1627" t="str">
            <v>06/10/2024</v>
          </cell>
          <cell r="J1627" t="str">
            <v>06/10/2024</v>
          </cell>
          <cell r="K1627" t="str">
            <v>06/24/2024</v>
          </cell>
          <cell r="L1627">
            <v>7</v>
          </cell>
          <cell r="M1627" t="str">
            <v>6/13/2024 10:53:13 AM</v>
          </cell>
          <cell r="N1627" t="str">
            <v>26</v>
          </cell>
          <cell r="O1627">
            <v>7</v>
          </cell>
          <cell r="P1627">
            <v>2.8</v>
          </cell>
        </row>
        <row r="1628">
          <cell r="A1628" t="str">
            <v>6727112</v>
          </cell>
          <cell r="B1628" t="str">
            <v>1334868</v>
          </cell>
          <cell r="C1628" t="str">
            <v>6354RDSO-8972-131-MS19</v>
          </cell>
          <cell r="D1628" t="str">
            <v>6354RDSO</v>
          </cell>
          <cell r="E1628" t="str">
            <v>6354RDSO GLOCK 47 X300U STX TAC BLK RH</v>
          </cell>
          <cell r="F1628" t="str">
            <v>DG-HOLSTER-RDS</v>
          </cell>
          <cell r="G1628" t="str">
            <v>1420-210-FG</v>
          </cell>
          <cell r="H1628" t="str">
            <v>R</v>
          </cell>
          <cell r="I1628" t="str">
            <v>06/10/2024</v>
          </cell>
          <cell r="J1628" t="str">
            <v>06/10/2024</v>
          </cell>
          <cell r="K1628" t="str">
            <v>06/24/2024</v>
          </cell>
          <cell r="L1628">
            <v>9</v>
          </cell>
          <cell r="M1628" t="str">
            <v>6/13/2024 10:53:13 AM</v>
          </cell>
          <cell r="N1628" t="str">
            <v>26</v>
          </cell>
          <cell r="O1628">
            <v>9</v>
          </cell>
          <cell r="P1628">
            <v>3.6</v>
          </cell>
        </row>
        <row r="1629">
          <cell r="A1629" t="str">
            <v>6728598</v>
          </cell>
          <cell r="B1629" t="str">
            <v>1334868</v>
          </cell>
          <cell r="C1629" t="str">
            <v>6354RDSO-8972-131-MS19</v>
          </cell>
          <cell r="D1629" t="str">
            <v>6354RDSO</v>
          </cell>
          <cell r="E1629" t="str">
            <v>6354RDSO GLOCK 47 X300U STX TAC BLK RH</v>
          </cell>
          <cell r="F1629" t="str">
            <v>DG-HOLSTER-RDS</v>
          </cell>
          <cell r="G1629" t="str">
            <v>1420-210-FG</v>
          </cell>
          <cell r="H1629" t="str">
            <v>R</v>
          </cell>
          <cell r="I1629" t="str">
            <v>06/12/2024</v>
          </cell>
          <cell r="J1629" t="str">
            <v>06/12/2024</v>
          </cell>
          <cell r="K1629" t="str">
            <v>06/24/2024</v>
          </cell>
          <cell r="L1629">
            <v>14</v>
          </cell>
          <cell r="M1629" t="str">
            <v>6/13/2024 10:53:13 AM</v>
          </cell>
          <cell r="N1629" t="str">
            <v>26</v>
          </cell>
          <cell r="O1629">
            <v>14</v>
          </cell>
          <cell r="P1629">
            <v>5.6</v>
          </cell>
        </row>
        <row r="1630">
          <cell r="A1630" t="str">
            <v>6727099</v>
          </cell>
          <cell r="B1630" t="str">
            <v>1334272</v>
          </cell>
          <cell r="C1630" t="str">
            <v>6354RDSO-832-731-MS19</v>
          </cell>
          <cell r="D1630" t="str">
            <v>6354RDSO</v>
          </cell>
          <cell r="E1630" t="str">
            <v>6354RDSO GLOCK17MOS X300U COR CAM GRN RH</v>
          </cell>
          <cell r="F1630" t="str">
            <v>DG-HOLSTER-RDS</v>
          </cell>
          <cell r="G1630" t="str">
            <v>1420-210-FG</v>
          </cell>
          <cell r="H1630" t="str">
            <v>R</v>
          </cell>
          <cell r="I1630" t="str">
            <v>06/10/2024</v>
          </cell>
          <cell r="J1630" t="str">
            <v>06/10/2024</v>
          </cell>
          <cell r="K1630" t="str">
            <v>06/24/2024</v>
          </cell>
          <cell r="L1630">
            <v>1</v>
          </cell>
          <cell r="M1630" t="str">
            <v>6/13/2024 11:49:01 AM</v>
          </cell>
          <cell r="N1630" t="str">
            <v>26</v>
          </cell>
          <cell r="O1630">
            <v>1</v>
          </cell>
          <cell r="P1630">
            <v>0.43</v>
          </cell>
        </row>
        <row r="1631">
          <cell r="A1631" t="str">
            <v>6727101</v>
          </cell>
          <cell r="B1631" t="str">
            <v>1334276</v>
          </cell>
          <cell r="C1631" t="str">
            <v>6354RDSO-832-241-MS19</v>
          </cell>
          <cell r="D1631" t="str">
            <v>6354RDSO</v>
          </cell>
          <cell r="E1631" t="str">
            <v>6354RDSO GLOCK17MOS X300U CORD GREY RH</v>
          </cell>
          <cell r="F1631" t="str">
            <v>DG-HOLSTER-RDS</v>
          </cell>
          <cell r="G1631" t="str">
            <v>1420-210-FG</v>
          </cell>
          <cell r="H1631" t="str">
            <v>R</v>
          </cell>
          <cell r="I1631" t="str">
            <v>06/10/2024</v>
          </cell>
          <cell r="J1631" t="str">
            <v>06/10/2024</v>
          </cell>
          <cell r="K1631" t="str">
            <v>06/24/2024</v>
          </cell>
          <cell r="L1631">
            <v>5</v>
          </cell>
          <cell r="M1631" t="str">
            <v>6/13/2024 11:49:01 AM</v>
          </cell>
          <cell r="N1631" t="str">
            <v>26</v>
          </cell>
          <cell r="O1631">
            <v>5</v>
          </cell>
          <cell r="P1631">
            <v>2.17</v>
          </cell>
        </row>
        <row r="1632">
          <cell r="A1632" t="str">
            <v>6728174</v>
          </cell>
          <cell r="B1632" t="str">
            <v>1334838</v>
          </cell>
          <cell r="C1632" t="str">
            <v>6354RDSO-7502-701-MS19</v>
          </cell>
          <cell r="D1632" t="str">
            <v>6354RDSO</v>
          </cell>
          <cell r="E1632" t="str">
            <v>6354RDSO SIG P320CRX X300U COR MLTCM RH</v>
          </cell>
          <cell r="F1632" t="str">
            <v>DG-HOLSTER-RDS</v>
          </cell>
          <cell r="G1632" t="str">
            <v>1420-210-FG</v>
          </cell>
          <cell r="H1632" t="str">
            <v>R</v>
          </cell>
          <cell r="I1632" t="str">
            <v>06/11/2024</v>
          </cell>
          <cell r="J1632" t="str">
            <v>06/13/2024</v>
          </cell>
          <cell r="K1632" t="str">
            <v>06/24/2024</v>
          </cell>
          <cell r="L1632">
            <v>10</v>
          </cell>
          <cell r="M1632" t="str">
            <v>6/13/2024 11:49:01 AM</v>
          </cell>
          <cell r="N1632" t="str">
            <v>26</v>
          </cell>
          <cell r="O1632">
            <v>10</v>
          </cell>
          <cell r="P1632">
            <v>4.33</v>
          </cell>
        </row>
        <row r="1633">
          <cell r="A1633" t="str">
            <v>6728233</v>
          </cell>
          <cell r="B1633" t="str">
            <v>1334518</v>
          </cell>
          <cell r="C1633" t="str">
            <v>6354RDSO-4502-721-MS19</v>
          </cell>
          <cell r="D1633" t="str">
            <v>6354RDSO</v>
          </cell>
          <cell r="E1633" t="str">
            <v>6354RDSO SIGP320RX X300U COR OD RGRN RH</v>
          </cell>
          <cell r="F1633" t="str">
            <v>DG-HOLSTER-RDS-DTC</v>
          </cell>
          <cell r="G1633" t="str">
            <v>1420-210-FG</v>
          </cell>
          <cell r="H1633" t="str">
            <v>R</v>
          </cell>
          <cell r="I1633" t="str">
            <v>06/11/2024</v>
          </cell>
          <cell r="J1633" t="str">
            <v>06/17/2024</v>
          </cell>
          <cell r="K1633" t="str">
            <v>06/24/2024</v>
          </cell>
          <cell r="L1633">
            <v>5</v>
          </cell>
          <cell r="M1633" t="str">
            <v>6/13/2024 11:49:01 AM</v>
          </cell>
          <cell r="N1633" t="str">
            <v>26</v>
          </cell>
          <cell r="O1633">
            <v>5</v>
          </cell>
          <cell r="P1633">
            <v>2.17</v>
          </cell>
        </row>
        <row r="1634">
          <cell r="A1634" t="str">
            <v>6727947</v>
          </cell>
          <cell r="B1634" t="str">
            <v>1157211</v>
          </cell>
          <cell r="C1634" t="str">
            <v>6355-477-561</v>
          </cell>
          <cell r="D1634" t="str">
            <v>6355</v>
          </cell>
          <cell r="E1634" t="str">
            <v>6355 SIG P226R STX TAC ODG RH</v>
          </cell>
          <cell r="F1634" t="str">
            <v>DG-HOLSTER</v>
          </cell>
          <cell r="G1634" t="str">
            <v>1420-210-FG</v>
          </cell>
          <cell r="H1634" t="str">
            <v>R</v>
          </cell>
          <cell r="I1634" t="str">
            <v>06/11/2024</v>
          </cell>
          <cell r="J1634" t="str">
            <v>06/17/2024</v>
          </cell>
          <cell r="K1634" t="str">
            <v>06/24/2024</v>
          </cell>
          <cell r="L1634">
            <v>1</v>
          </cell>
          <cell r="M1634" t="str">
            <v>6/13/2024 10:46:14 AM</v>
          </cell>
          <cell r="N1634" t="str">
            <v>26</v>
          </cell>
          <cell r="O1634">
            <v>1</v>
          </cell>
          <cell r="P1634">
            <v>0.28999999999999998</v>
          </cell>
        </row>
        <row r="1635">
          <cell r="A1635" t="str">
            <v>6728210</v>
          </cell>
          <cell r="B1635" t="str">
            <v>1321294</v>
          </cell>
          <cell r="C1635" t="str">
            <v>6355RDS-2832-731-SP10</v>
          </cell>
          <cell r="D1635" t="str">
            <v>6355RDS</v>
          </cell>
          <cell r="E1635" t="str">
            <v>6355RDS GLOCK 19MOS X300U COR CAM GRN RH</v>
          </cell>
          <cell r="F1635" t="str">
            <v>DG-HOLSTER-RDS-DTC</v>
          </cell>
          <cell r="G1635" t="str">
            <v>1420-210-FG</v>
          </cell>
          <cell r="H1635" t="str">
            <v>R</v>
          </cell>
          <cell r="I1635" t="str">
            <v>06/11/2024</v>
          </cell>
          <cell r="J1635" t="str">
            <v>06/17/2024</v>
          </cell>
          <cell r="K1635" t="str">
            <v>06/24/2024</v>
          </cell>
          <cell r="L1635">
            <v>1</v>
          </cell>
          <cell r="M1635" t="str">
            <v>6/13/2024 10:56:00 AM</v>
          </cell>
          <cell r="N1635" t="str">
            <v>26</v>
          </cell>
          <cell r="O1635">
            <v>1</v>
          </cell>
          <cell r="P1635">
            <v>0.4</v>
          </cell>
        </row>
        <row r="1636">
          <cell r="A1636" t="str">
            <v>6723379</v>
          </cell>
          <cell r="B1636" t="str">
            <v>1124693</v>
          </cell>
          <cell r="C1636" t="str">
            <v>6360-73-411</v>
          </cell>
          <cell r="D1636" t="str">
            <v>6360</v>
          </cell>
          <cell r="E1636" t="str">
            <v>6360 BERETTA 92FS STX PLN BLK RH</v>
          </cell>
          <cell r="F1636" t="str">
            <v>DG-HOLSTER</v>
          </cell>
          <cell r="G1636" t="str">
            <v>1420-210-FG</v>
          </cell>
          <cell r="H1636" t="str">
            <v>R</v>
          </cell>
          <cell r="I1636" t="str">
            <v>06/03/2024</v>
          </cell>
          <cell r="J1636" t="str">
            <v>06/03/2024</v>
          </cell>
          <cell r="K1636" t="str">
            <v>06/24/2024</v>
          </cell>
          <cell r="L1636">
            <v>5</v>
          </cell>
          <cell r="M1636" t="str">
            <v>6/13/2024 10:40:25 AM</v>
          </cell>
          <cell r="N1636" t="str">
            <v>26</v>
          </cell>
          <cell r="O1636">
            <v>5</v>
          </cell>
          <cell r="P1636">
            <v>1.1599999999999999</v>
          </cell>
        </row>
        <row r="1637">
          <cell r="A1637" t="str">
            <v>6726880</v>
          </cell>
          <cell r="B1637" t="str">
            <v>1201984</v>
          </cell>
          <cell r="C1637" t="str">
            <v>6360-2922-551</v>
          </cell>
          <cell r="D1637" t="str">
            <v>6360</v>
          </cell>
          <cell r="E1637" t="str">
            <v>6360 CZ P07 X300U STX TAC FDE RH</v>
          </cell>
          <cell r="F1637" t="str">
            <v>DG-HOLSTER</v>
          </cell>
          <cell r="G1637" t="str">
            <v>1420-210-FG</v>
          </cell>
          <cell r="H1637" t="str">
            <v>R</v>
          </cell>
          <cell r="I1637" t="str">
            <v>06/10/2024</v>
          </cell>
          <cell r="J1637" t="str">
            <v>06/10/2024</v>
          </cell>
          <cell r="K1637" t="str">
            <v>06/24/2024</v>
          </cell>
          <cell r="L1637">
            <v>5</v>
          </cell>
          <cell r="M1637" t="str">
            <v>6/13/2024 10:43:39 AM</v>
          </cell>
          <cell r="N1637" t="str">
            <v>26</v>
          </cell>
          <cell r="O1637">
            <v>5</v>
          </cell>
          <cell r="P1637">
            <v>1.49</v>
          </cell>
        </row>
        <row r="1638">
          <cell r="A1638" t="str">
            <v>6726091</v>
          </cell>
          <cell r="B1638" t="str">
            <v>1208500</v>
          </cell>
          <cell r="C1638" t="str">
            <v>6360-8325-482</v>
          </cell>
          <cell r="D1638" t="str">
            <v>6360</v>
          </cell>
          <cell r="E1638" t="str">
            <v>6360 GLOCK 17 GEN5 X300U STX BSK BLK LH</v>
          </cell>
          <cell r="F1638" t="str">
            <v>DG-HOLSTER-DTC</v>
          </cell>
          <cell r="G1638" t="str">
            <v>1420-210-FG</v>
          </cell>
          <cell r="H1638" t="str">
            <v>R</v>
          </cell>
          <cell r="I1638" t="str">
            <v>06/07/2024</v>
          </cell>
          <cell r="J1638" t="str">
            <v>06/07/2024</v>
          </cell>
          <cell r="K1638" t="str">
            <v>06/24/2024</v>
          </cell>
          <cell r="L1638">
            <v>10</v>
          </cell>
          <cell r="M1638" t="str">
            <v>6/13/2024 10:48:05 AM</v>
          </cell>
          <cell r="N1638" t="str">
            <v>26</v>
          </cell>
          <cell r="O1638">
            <v>10</v>
          </cell>
          <cell r="P1638">
            <v>3.23</v>
          </cell>
        </row>
        <row r="1639">
          <cell r="A1639" t="str">
            <v>6728025</v>
          </cell>
          <cell r="B1639" t="str">
            <v>1208500</v>
          </cell>
          <cell r="C1639" t="str">
            <v>6360-8325-482</v>
          </cell>
          <cell r="D1639" t="str">
            <v>6360</v>
          </cell>
          <cell r="E1639" t="str">
            <v>6360 GLOCK 17 GEN5 X300U STX BSK BLK LH</v>
          </cell>
          <cell r="F1639" t="str">
            <v>DG-HOLSTER-DTC</v>
          </cell>
          <cell r="G1639" t="str">
            <v>1420-210-FG</v>
          </cell>
          <cell r="H1639" t="str">
            <v>R</v>
          </cell>
          <cell r="I1639" t="str">
            <v>06/11/2024</v>
          </cell>
          <cell r="J1639" t="str">
            <v>06/17/2024</v>
          </cell>
          <cell r="K1639" t="str">
            <v>06/24/2024</v>
          </cell>
          <cell r="L1639">
            <v>42</v>
          </cell>
          <cell r="M1639" t="str">
            <v>6/13/2024 10:48:05 AM</v>
          </cell>
          <cell r="N1639" t="str">
            <v>26</v>
          </cell>
          <cell r="O1639">
            <v>42</v>
          </cell>
          <cell r="P1639">
            <v>13.54</v>
          </cell>
        </row>
        <row r="1640">
          <cell r="A1640" t="str">
            <v>6727629</v>
          </cell>
          <cell r="B1640" t="str">
            <v>1208499</v>
          </cell>
          <cell r="C1640" t="str">
            <v>6360-8325-481</v>
          </cell>
          <cell r="D1640" t="str">
            <v>6360</v>
          </cell>
          <cell r="E1640" t="str">
            <v>6360 GLOCK 17 GEN5 X300U STX BSK BLK RH</v>
          </cell>
          <cell r="F1640" t="str">
            <v>DG-HOLSTER-DTC</v>
          </cell>
          <cell r="G1640" t="str">
            <v>1420-210-FG</v>
          </cell>
          <cell r="H1640" t="str">
            <v>R</v>
          </cell>
          <cell r="I1640" t="str">
            <v>06/11/2024</v>
          </cell>
          <cell r="J1640" t="str">
            <v>06/11/2024</v>
          </cell>
          <cell r="K1640" t="str">
            <v>06/24/2024</v>
          </cell>
          <cell r="L1640">
            <v>50</v>
          </cell>
          <cell r="M1640" t="str">
            <v>6/13/2024 10:48:05 AM</v>
          </cell>
          <cell r="N1640" t="str">
            <v>26</v>
          </cell>
          <cell r="O1640">
            <v>50</v>
          </cell>
          <cell r="P1640">
            <v>16.149999999999999</v>
          </cell>
        </row>
        <row r="1641">
          <cell r="A1641" t="str">
            <v>6728017</v>
          </cell>
          <cell r="B1641" t="str">
            <v>1208499</v>
          </cell>
          <cell r="C1641" t="str">
            <v>6360-8325-481</v>
          </cell>
          <cell r="D1641" t="str">
            <v>6360</v>
          </cell>
          <cell r="E1641" t="str">
            <v>6360 GLOCK 17 GEN5 X300U STX BSK BLK RH</v>
          </cell>
          <cell r="F1641" t="str">
            <v>DG-HOLSTER-DTC</v>
          </cell>
          <cell r="G1641" t="str">
            <v>1420-210-FG</v>
          </cell>
          <cell r="H1641" t="str">
            <v>R</v>
          </cell>
          <cell r="I1641" t="str">
            <v>06/11/2024</v>
          </cell>
          <cell r="J1641" t="str">
            <v>06/17/2024</v>
          </cell>
          <cell r="K1641" t="str">
            <v>06/24/2024</v>
          </cell>
          <cell r="L1641">
            <v>50</v>
          </cell>
          <cell r="M1641" t="str">
            <v>6/13/2024 10:48:05 AM</v>
          </cell>
          <cell r="N1641" t="str">
            <v>26</v>
          </cell>
          <cell r="O1641">
            <v>50</v>
          </cell>
          <cell r="P1641">
            <v>16.149999999999999</v>
          </cell>
        </row>
        <row r="1642">
          <cell r="A1642" t="str">
            <v>6728018</v>
          </cell>
          <cell r="B1642" t="str">
            <v>1208499</v>
          </cell>
          <cell r="C1642" t="str">
            <v>6360-8325-481</v>
          </cell>
          <cell r="D1642" t="str">
            <v>6360</v>
          </cell>
          <cell r="E1642" t="str">
            <v>6360 GLOCK 17 GEN5 X300U STX BSK BLK RH</v>
          </cell>
          <cell r="F1642" t="str">
            <v>DG-HOLSTER-DTC</v>
          </cell>
          <cell r="G1642" t="str">
            <v>1420-210-FG</v>
          </cell>
          <cell r="H1642" t="str">
            <v>R</v>
          </cell>
          <cell r="I1642" t="str">
            <v>06/11/2024</v>
          </cell>
          <cell r="J1642" t="str">
            <v>06/17/2024</v>
          </cell>
          <cell r="K1642" t="str">
            <v>06/24/2024</v>
          </cell>
          <cell r="L1642">
            <v>50</v>
          </cell>
          <cell r="M1642" t="str">
            <v>6/13/2024 10:48:05 AM</v>
          </cell>
          <cell r="N1642" t="str">
            <v>26</v>
          </cell>
          <cell r="O1642">
            <v>50</v>
          </cell>
          <cell r="P1642">
            <v>16.149999999999999</v>
          </cell>
        </row>
        <row r="1643">
          <cell r="A1643" t="str">
            <v>6728019</v>
          </cell>
          <cell r="B1643" t="str">
            <v>1208499</v>
          </cell>
          <cell r="C1643" t="str">
            <v>6360-8325-481</v>
          </cell>
          <cell r="D1643" t="str">
            <v>6360</v>
          </cell>
          <cell r="E1643" t="str">
            <v>6360 GLOCK 17 GEN5 X300U STX BSK BLK RH</v>
          </cell>
          <cell r="F1643" t="str">
            <v>DG-HOLSTER-DTC</v>
          </cell>
          <cell r="G1643" t="str">
            <v>1420-210-FG</v>
          </cell>
          <cell r="H1643" t="str">
            <v>R</v>
          </cell>
          <cell r="I1643" t="str">
            <v>06/11/2024</v>
          </cell>
          <cell r="J1643" t="str">
            <v>06/17/2024</v>
          </cell>
          <cell r="K1643" t="str">
            <v>06/24/2024</v>
          </cell>
          <cell r="L1643">
            <v>50</v>
          </cell>
          <cell r="M1643" t="str">
            <v>6/13/2024 10:48:05 AM</v>
          </cell>
          <cell r="N1643" t="str">
            <v>26</v>
          </cell>
          <cell r="O1643">
            <v>50</v>
          </cell>
          <cell r="P1643">
            <v>16.149999999999999</v>
          </cell>
        </row>
        <row r="1644">
          <cell r="A1644" t="str">
            <v>6728020</v>
          </cell>
          <cell r="B1644" t="str">
            <v>1208499</v>
          </cell>
          <cell r="C1644" t="str">
            <v>6360-8325-481</v>
          </cell>
          <cell r="D1644" t="str">
            <v>6360</v>
          </cell>
          <cell r="E1644" t="str">
            <v>6360 GLOCK 17 GEN5 X300U STX BSK BLK RH</v>
          </cell>
          <cell r="F1644" t="str">
            <v>DG-HOLSTER-DTC</v>
          </cell>
          <cell r="G1644" t="str">
            <v>1420-210-FG</v>
          </cell>
          <cell r="H1644" t="str">
            <v>R</v>
          </cell>
          <cell r="I1644" t="str">
            <v>06/11/2024</v>
          </cell>
          <cell r="J1644" t="str">
            <v>06/17/2024</v>
          </cell>
          <cell r="K1644" t="str">
            <v>06/24/2024</v>
          </cell>
          <cell r="L1644">
            <v>50</v>
          </cell>
          <cell r="M1644" t="str">
            <v>6/13/2024 10:48:05 AM</v>
          </cell>
          <cell r="N1644" t="str">
            <v>26</v>
          </cell>
          <cell r="O1644">
            <v>50</v>
          </cell>
          <cell r="P1644">
            <v>16.149999999999999</v>
          </cell>
        </row>
        <row r="1645">
          <cell r="A1645" t="str">
            <v>6728022</v>
          </cell>
          <cell r="B1645" t="str">
            <v>1208499</v>
          </cell>
          <cell r="C1645" t="str">
            <v>6360-8325-481</v>
          </cell>
          <cell r="D1645" t="str">
            <v>6360</v>
          </cell>
          <cell r="E1645" t="str">
            <v>6360 GLOCK 17 GEN5 X300U STX BSK BLK RH</v>
          </cell>
          <cell r="F1645" t="str">
            <v>DG-HOLSTER-DTC</v>
          </cell>
          <cell r="G1645" t="str">
            <v>1420-210-FG</v>
          </cell>
          <cell r="H1645" t="str">
            <v>R</v>
          </cell>
          <cell r="I1645" t="str">
            <v>06/11/2024</v>
          </cell>
          <cell r="J1645" t="str">
            <v>06/17/2024</v>
          </cell>
          <cell r="K1645" t="str">
            <v>06/24/2024</v>
          </cell>
          <cell r="L1645">
            <v>50</v>
          </cell>
          <cell r="M1645" t="str">
            <v>6/13/2024 10:48:05 AM</v>
          </cell>
          <cell r="N1645" t="str">
            <v>26</v>
          </cell>
          <cell r="O1645">
            <v>50</v>
          </cell>
          <cell r="P1645">
            <v>16.149999999999999</v>
          </cell>
        </row>
        <row r="1646">
          <cell r="A1646" t="str">
            <v>6726943</v>
          </cell>
          <cell r="B1646" t="str">
            <v>1208496</v>
          </cell>
          <cell r="C1646" t="str">
            <v>6360-8325-132</v>
          </cell>
          <cell r="D1646" t="str">
            <v>6360</v>
          </cell>
          <cell r="E1646" t="str">
            <v>6360 GLOCK 17 GEN5 X300U STX TAC BLK LH</v>
          </cell>
          <cell r="F1646" t="str">
            <v>DG-HOLSTER-DTC</v>
          </cell>
          <cell r="G1646" t="str">
            <v>1420-210-FG</v>
          </cell>
          <cell r="H1646" t="str">
            <v>F</v>
          </cell>
          <cell r="I1646" t="str">
            <v>06/10/2024</v>
          </cell>
          <cell r="J1646" t="str">
            <v>06/10/2024</v>
          </cell>
          <cell r="K1646" t="str">
            <v>06/24/2024</v>
          </cell>
          <cell r="L1646">
            <v>5</v>
          </cell>
          <cell r="M1646" t="str">
            <v/>
          </cell>
          <cell r="N1646" t="str">
            <v>26</v>
          </cell>
          <cell r="O1646">
            <v>5</v>
          </cell>
          <cell r="P1646">
            <v>1.61</v>
          </cell>
        </row>
        <row r="1647">
          <cell r="A1647" t="str">
            <v>6726078</v>
          </cell>
          <cell r="B1647" t="str">
            <v>1120432</v>
          </cell>
          <cell r="C1647" t="str">
            <v>6360-83-82</v>
          </cell>
          <cell r="D1647" t="str">
            <v>6360</v>
          </cell>
          <cell r="E1647" t="str">
            <v>6360 GLOCK 17/22 BSK BLK LH</v>
          </cell>
          <cell r="F1647" t="str">
            <v>DG-HOLSTER-DTC</v>
          </cell>
          <cell r="G1647" t="str">
            <v>1420-210-FG</v>
          </cell>
          <cell r="H1647" t="str">
            <v>R</v>
          </cell>
          <cell r="I1647" t="str">
            <v>06/07/2024</v>
          </cell>
          <cell r="J1647" t="str">
            <v>06/07/2024</v>
          </cell>
          <cell r="K1647" t="str">
            <v>06/24/2024</v>
          </cell>
          <cell r="L1647">
            <v>5</v>
          </cell>
          <cell r="M1647" t="str">
            <v>6/13/2024 11:06:12 AM</v>
          </cell>
          <cell r="N1647" t="str">
            <v>26</v>
          </cell>
          <cell r="O1647">
            <v>5</v>
          </cell>
          <cell r="P1647">
            <v>1.1100000000000001</v>
          </cell>
        </row>
        <row r="1648">
          <cell r="A1648" t="str">
            <v>6726930</v>
          </cell>
          <cell r="B1648" t="str">
            <v>1120431</v>
          </cell>
          <cell r="C1648" t="str">
            <v>6360-83-81</v>
          </cell>
          <cell r="D1648" t="str">
            <v>6360</v>
          </cell>
          <cell r="E1648" t="str">
            <v>6360 GLOCK 17/22 BSK BLK RH</v>
          </cell>
          <cell r="F1648" t="str">
            <v>DG-HOLSTER-DTC</v>
          </cell>
          <cell r="G1648" t="str">
            <v>1420-210-FG</v>
          </cell>
          <cell r="H1648" t="str">
            <v>R</v>
          </cell>
          <cell r="I1648" t="str">
            <v>06/10/2024</v>
          </cell>
          <cell r="J1648" t="str">
            <v>06/10/2024</v>
          </cell>
          <cell r="K1648" t="str">
            <v>06/24/2024</v>
          </cell>
          <cell r="L1648">
            <v>15</v>
          </cell>
          <cell r="M1648" t="str">
            <v>6/13/2024 11:06:12 AM</v>
          </cell>
          <cell r="N1648" t="str">
            <v>26</v>
          </cell>
          <cell r="O1648">
            <v>15</v>
          </cell>
          <cell r="P1648">
            <v>3.35</v>
          </cell>
        </row>
        <row r="1649">
          <cell r="A1649" t="str">
            <v>6728061</v>
          </cell>
          <cell r="B1649" t="str">
            <v>1136303</v>
          </cell>
          <cell r="C1649" t="str">
            <v>6360-8310-131</v>
          </cell>
          <cell r="D1649" t="str">
            <v>6360</v>
          </cell>
          <cell r="E1649" t="str">
            <v>6360 GLOCK 17/22 GTL10 STX TAC BLK RH</v>
          </cell>
          <cell r="F1649" t="str">
            <v>DG-HOLSTER-DTC</v>
          </cell>
          <cell r="G1649" t="str">
            <v>1420-210-FG</v>
          </cell>
          <cell r="H1649" t="str">
            <v>R</v>
          </cell>
          <cell r="I1649" t="str">
            <v>06/11/2024</v>
          </cell>
          <cell r="J1649" t="str">
            <v>06/18/2024</v>
          </cell>
          <cell r="K1649" t="str">
            <v>06/24/2024</v>
          </cell>
          <cell r="L1649">
            <v>5</v>
          </cell>
          <cell r="M1649" t="str">
            <v>6/13/2024 10:37:08 AM</v>
          </cell>
          <cell r="N1649" t="str">
            <v>26</v>
          </cell>
          <cell r="O1649">
            <v>5</v>
          </cell>
          <cell r="P1649">
            <v>2.04</v>
          </cell>
        </row>
        <row r="1650">
          <cell r="A1650" t="str">
            <v>6726079</v>
          </cell>
          <cell r="B1650" t="str">
            <v>1120433</v>
          </cell>
          <cell r="C1650" t="str">
            <v>6360-83-91</v>
          </cell>
          <cell r="D1650" t="str">
            <v>6360</v>
          </cell>
          <cell r="E1650" t="str">
            <v>6360 GLOCK 17/22 HGS BLK RH</v>
          </cell>
          <cell r="F1650" t="str">
            <v>DG-HOLSTER-DTC</v>
          </cell>
          <cell r="G1650" t="str">
            <v>1420-210-FG</v>
          </cell>
          <cell r="H1650" t="str">
            <v>R</v>
          </cell>
          <cell r="I1650" t="str">
            <v>06/07/2024</v>
          </cell>
          <cell r="J1650" t="str">
            <v>06/07/2024</v>
          </cell>
          <cell r="K1650" t="str">
            <v>06/24/2024</v>
          </cell>
          <cell r="L1650">
            <v>5</v>
          </cell>
          <cell r="M1650" t="str">
            <v>6/13/2024 11:06:12 AM</v>
          </cell>
          <cell r="N1650" t="str">
            <v>26</v>
          </cell>
          <cell r="O1650">
            <v>5</v>
          </cell>
          <cell r="P1650">
            <v>1.28</v>
          </cell>
        </row>
        <row r="1651">
          <cell r="A1651" t="str">
            <v>6726931</v>
          </cell>
          <cell r="B1651" t="str">
            <v>1120433</v>
          </cell>
          <cell r="C1651" t="str">
            <v>6360-83-91</v>
          </cell>
          <cell r="D1651" t="str">
            <v>6360</v>
          </cell>
          <cell r="E1651" t="str">
            <v>6360 GLOCK 17/22 HGS BLK RH</v>
          </cell>
          <cell r="F1651" t="str">
            <v>DG-HOLSTER-DTC</v>
          </cell>
          <cell r="G1651" t="str">
            <v>1420-210-FG</v>
          </cell>
          <cell r="H1651" t="str">
            <v>R</v>
          </cell>
          <cell r="I1651" t="str">
            <v>06/10/2024</v>
          </cell>
          <cell r="J1651" t="str">
            <v>06/10/2024</v>
          </cell>
          <cell r="K1651" t="str">
            <v>06/24/2024</v>
          </cell>
          <cell r="L1651">
            <v>5</v>
          </cell>
          <cell r="M1651" t="str">
            <v>6/13/2024 11:06:12 AM</v>
          </cell>
          <cell r="N1651" t="str">
            <v>26</v>
          </cell>
          <cell r="O1651">
            <v>5</v>
          </cell>
          <cell r="P1651">
            <v>1.28</v>
          </cell>
        </row>
        <row r="1652">
          <cell r="A1652" t="str">
            <v>6728057</v>
          </cell>
          <cell r="B1652" t="str">
            <v>1130603</v>
          </cell>
          <cell r="C1652" t="str">
            <v>6360-983-62</v>
          </cell>
          <cell r="D1652" t="str">
            <v>6360</v>
          </cell>
          <cell r="E1652" t="str">
            <v>6360 GLOCK 17/22 PLN BLK LH</v>
          </cell>
          <cell r="F1652" t="str">
            <v>DG-HOLSTER-DTC</v>
          </cell>
          <cell r="G1652" t="str">
            <v>1420-210-FG</v>
          </cell>
          <cell r="H1652" t="str">
            <v>R</v>
          </cell>
          <cell r="I1652" t="str">
            <v>06/11/2024</v>
          </cell>
          <cell r="J1652" t="str">
            <v>06/17/2024</v>
          </cell>
          <cell r="K1652" t="str">
            <v>06/24/2024</v>
          </cell>
          <cell r="L1652">
            <v>2</v>
          </cell>
          <cell r="M1652" t="str">
            <v>6/13/2024 10:40:25 AM</v>
          </cell>
          <cell r="N1652" t="str">
            <v>26</v>
          </cell>
          <cell r="O1652">
            <v>2</v>
          </cell>
          <cell r="P1652">
            <v>0.55000000000000004</v>
          </cell>
        </row>
        <row r="1653">
          <cell r="A1653" t="str">
            <v>6727630</v>
          </cell>
          <cell r="B1653" t="str">
            <v>1118292</v>
          </cell>
          <cell r="C1653" t="str">
            <v>6360-83-482</v>
          </cell>
          <cell r="D1653" t="str">
            <v>6360</v>
          </cell>
          <cell r="E1653" t="str">
            <v>6360 GLOCK 17/22 STX BSK BLK LH</v>
          </cell>
          <cell r="F1653" t="str">
            <v>DG-HOLSTER-DTC</v>
          </cell>
          <cell r="G1653" t="str">
            <v>1420-210-FG</v>
          </cell>
          <cell r="H1653" t="str">
            <v>R</v>
          </cell>
          <cell r="I1653" t="str">
            <v>06/11/2024</v>
          </cell>
          <cell r="J1653" t="str">
            <v>06/11/2024</v>
          </cell>
          <cell r="K1653" t="str">
            <v>06/24/2024</v>
          </cell>
          <cell r="L1653">
            <v>5</v>
          </cell>
          <cell r="M1653" t="str">
            <v>6/13/2024 11:10:21 AM</v>
          </cell>
          <cell r="N1653" t="str">
            <v>26</v>
          </cell>
          <cell r="O1653">
            <v>5</v>
          </cell>
          <cell r="P1653">
            <v>1.06</v>
          </cell>
        </row>
        <row r="1654">
          <cell r="A1654" t="str">
            <v>6728004</v>
          </cell>
          <cell r="B1654" t="str">
            <v>1118189</v>
          </cell>
          <cell r="C1654" t="str">
            <v>6360-83-481</v>
          </cell>
          <cell r="D1654" t="str">
            <v>6360</v>
          </cell>
          <cell r="E1654" t="str">
            <v>6360 GLOCK 17/22 STX BSK BLK RH</v>
          </cell>
          <cell r="F1654" t="str">
            <v>DG-HOLSTER-DTC</v>
          </cell>
          <cell r="G1654" t="str">
            <v>1420-210-FG</v>
          </cell>
          <cell r="H1654" t="str">
            <v>R</v>
          </cell>
          <cell r="I1654" t="str">
            <v>06/11/2024</v>
          </cell>
          <cell r="J1654" t="str">
            <v>06/13/2024</v>
          </cell>
          <cell r="K1654" t="str">
            <v>06/24/2024</v>
          </cell>
          <cell r="L1654">
            <v>40</v>
          </cell>
          <cell r="M1654" t="str">
            <v>6/13/2024 11:10:45 AM</v>
          </cell>
          <cell r="N1654" t="str">
            <v>26</v>
          </cell>
          <cell r="O1654">
            <v>40</v>
          </cell>
          <cell r="P1654">
            <v>8.5299999999999994</v>
          </cell>
        </row>
        <row r="1655">
          <cell r="A1655" t="str">
            <v>6728040</v>
          </cell>
          <cell r="B1655" t="str">
            <v>1120607</v>
          </cell>
          <cell r="C1655" t="str">
            <v>6360-83-412</v>
          </cell>
          <cell r="D1655" t="str">
            <v>6360</v>
          </cell>
          <cell r="E1655" t="str">
            <v>6360 GLOCK 17/22 STX PLN BLK LH</v>
          </cell>
          <cell r="F1655" t="str">
            <v>DG-HOLSTER-DTC</v>
          </cell>
          <cell r="G1655" t="str">
            <v>1420-210-FG</v>
          </cell>
          <cell r="H1655" t="str">
            <v>R</v>
          </cell>
          <cell r="I1655" t="str">
            <v>06/11/2024</v>
          </cell>
          <cell r="J1655" t="str">
            <v>06/14/2024</v>
          </cell>
          <cell r="K1655" t="str">
            <v>06/24/2024</v>
          </cell>
          <cell r="L1655">
            <v>20</v>
          </cell>
          <cell r="M1655" t="str">
            <v>6/13/2024 11:06:12 AM</v>
          </cell>
          <cell r="N1655" t="str">
            <v>26</v>
          </cell>
          <cell r="O1655">
            <v>20</v>
          </cell>
          <cell r="P1655">
            <v>4.25</v>
          </cell>
        </row>
        <row r="1656">
          <cell r="A1656" t="str">
            <v>6728006</v>
          </cell>
          <cell r="B1656" t="str">
            <v>1120606</v>
          </cell>
          <cell r="C1656" t="str">
            <v>6360-83-411</v>
          </cell>
          <cell r="D1656" t="str">
            <v>6360</v>
          </cell>
          <cell r="E1656" t="str">
            <v>6360 GLOCK 17/22 STX PLN BLK RH</v>
          </cell>
          <cell r="F1656" t="str">
            <v>DG-HOLSTER-DTC</v>
          </cell>
          <cell r="G1656" t="str">
            <v>1420-210-FG</v>
          </cell>
          <cell r="H1656" t="str">
            <v>R</v>
          </cell>
          <cell r="I1656" t="str">
            <v>06/11/2024</v>
          </cell>
          <cell r="J1656" t="str">
            <v>06/14/2024</v>
          </cell>
          <cell r="K1656" t="str">
            <v>06/24/2024</v>
          </cell>
          <cell r="L1656">
            <v>50</v>
          </cell>
          <cell r="M1656" t="str">
            <v>6/13/2024 11:06:12 AM</v>
          </cell>
          <cell r="N1656" t="str">
            <v>26</v>
          </cell>
          <cell r="O1656">
            <v>50</v>
          </cell>
          <cell r="P1656">
            <v>14.15</v>
          </cell>
        </row>
        <row r="1657">
          <cell r="A1657" t="str">
            <v>6728007</v>
          </cell>
          <cell r="B1657" t="str">
            <v>1120606</v>
          </cell>
          <cell r="C1657" t="str">
            <v>6360-83-411</v>
          </cell>
          <cell r="D1657" t="str">
            <v>6360</v>
          </cell>
          <cell r="E1657" t="str">
            <v>6360 GLOCK 17/22 STX PLN BLK RH</v>
          </cell>
          <cell r="F1657" t="str">
            <v>DG-HOLSTER-DTC</v>
          </cell>
          <cell r="G1657" t="str">
            <v>1420-210-FG</v>
          </cell>
          <cell r="H1657" t="str">
            <v>R</v>
          </cell>
          <cell r="I1657" t="str">
            <v>06/11/2024</v>
          </cell>
          <cell r="J1657" t="str">
            <v>06/14/2024</v>
          </cell>
          <cell r="K1657" t="str">
            <v>06/24/2024</v>
          </cell>
          <cell r="L1657">
            <v>50</v>
          </cell>
          <cell r="M1657" t="str">
            <v>6/13/2024 11:06:12 AM</v>
          </cell>
          <cell r="N1657" t="str">
            <v>26</v>
          </cell>
          <cell r="O1657">
            <v>50</v>
          </cell>
          <cell r="P1657">
            <v>14.15</v>
          </cell>
        </row>
        <row r="1658">
          <cell r="A1658" t="str">
            <v>6728087</v>
          </cell>
          <cell r="B1658" t="str">
            <v>1203901</v>
          </cell>
          <cell r="C1658" t="str">
            <v>6360-8321-481</v>
          </cell>
          <cell r="D1658" t="str">
            <v>6360</v>
          </cell>
          <cell r="E1658" t="str">
            <v>6360 GLOCK 17/22 TLR-2HL STX BSK BLK RH</v>
          </cell>
          <cell r="F1658" t="str">
            <v>DG-HOLSTER-DTC</v>
          </cell>
          <cell r="G1658" t="str">
            <v>1420-210-FG</v>
          </cell>
          <cell r="H1658" t="str">
            <v>R</v>
          </cell>
          <cell r="I1658" t="str">
            <v>06/11/2024</v>
          </cell>
          <cell r="J1658" t="str">
            <v>06/17/2024</v>
          </cell>
          <cell r="K1658" t="str">
            <v>06/24/2024</v>
          </cell>
          <cell r="L1658">
            <v>5</v>
          </cell>
          <cell r="M1658" t="str">
            <v>6/13/2024 10:48:05 AM</v>
          </cell>
          <cell r="N1658" t="str">
            <v>26</v>
          </cell>
          <cell r="O1658">
            <v>5</v>
          </cell>
          <cell r="P1658">
            <v>1.61</v>
          </cell>
        </row>
        <row r="1659">
          <cell r="A1659" t="str">
            <v>6726942</v>
          </cell>
          <cell r="B1659" t="str">
            <v>1203897</v>
          </cell>
          <cell r="C1659" t="str">
            <v>6360-8321-131</v>
          </cell>
          <cell r="D1659" t="str">
            <v>6360</v>
          </cell>
          <cell r="E1659" t="str">
            <v>6360 GLOCK 17/22 TLR-2HL STX TAC BLK RH</v>
          </cell>
          <cell r="F1659" t="str">
            <v>DG-HOLSTER-DTC</v>
          </cell>
          <cell r="G1659" t="str">
            <v>1420-210-FG</v>
          </cell>
          <cell r="H1659" t="str">
            <v>R</v>
          </cell>
          <cell r="I1659" t="str">
            <v>06/10/2024</v>
          </cell>
          <cell r="J1659" t="str">
            <v>06/10/2024</v>
          </cell>
          <cell r="K1659" t="str">
            <v>06/24/2024</v>
          </cell>
          <cell r="L1659">
            <v>5</v>
          </cell>
          <cell r="M1659" t="str">
            <v>6/13/2024 10:37:08 AM</v>
          </cell>
          <cell r="N1659" t="str">
            <v>26</v>
          </cell>
          <cell r="O1659">
            <v>5</v>
          </cell>
          <cell r="P1659">
            <v>1.61</v>
          </cell>
        </row>
        <row r="1660">
          <cell r="A1660" t="str">
            <v>6728041</v>
          </cell>
          <cell r="B1660" t="str">
            <v>1123890</v>
          </cell>
          <cell r="C1660" t="str">
            <v>6360-832-82</v>
          </cell>
          <cell r="D1660" t="str">
            <v>6360</v>
          </cell>
          <cell r="E1660" t="str">
            <v>6360 GLOCK 17/22 X300U BSK BLK LH</v>
          </cell>
          <cell r="F1660" t="str">
            <v>DG-HOLSTER-DTC</v>
          </cell>
          <cell r="G1660" t="str">
            <v>1420-210-FG</v>
          </cell>
          <cell r="H1660" t="str">
            <v>R</v>
          </cell>
          <cell r="I1660" t="str">
            <v>06/11/2024</v>
          </cell>
          <cell r="J1660" t="str">
            <v>06/14/2024</v>
          </cell>
          <cell r="K1660" t="str">
            <v>06/24/2024</v>
          </cell>
          <cell r="L1660">
            <v>5</v>
          </cell>
          <cell r="M1660" t="str">
            <v>6/13/2024 11:06:12 AM</v>
          </cell>
          <cell r="N1660" t="str">
            <v>26</v>
          </cell>
          <cell r="O1660">
            <v>5</v>
          </cell>
          <cell r="P1660">
            <v>2.1</v>
          </cell>
        </row>
        <row r="1661">
          <cell r="A1661" t="str">
            <v>6726095</v>
          </cell>
          <cell r="B1661" t="str">
            <v>1123889</v>
          </cell>
          <cell r="C1661" t="str">
            <v>6360-832-81</v>
          </cell>
          <cell r="D1661" t="str">
            <v>6360</v>
          </cell>
          <cell r="E1661" t="str">
            <v>6360 GLOCK 17/22 X300U BSK BLK RH</v>
          </cell>
          <cell r="F1661" t="str">
            <v>DG-HOLSTER-DTC</v>
          </cell>
          <cell r="G1661" t="str">
            <v>1420-210-FG</v>
          </cell>
          <cell r="H1661" t="str">
            <v>R</v>
          </cell>
          <cell r="I1661" t="str">
            <v>06/07/2024</v>
          </cell>
          <cell r="J1661" t="str">
            <v>06/07/2024</v>
          </cell>
          <cell r="K1661" t="str">
            <v>06/24/2024</v>
          </cell>
          <cell r="L1661">
            <v>50</v>
          </cell>
          <cell r="M1661" t="str">
            <v>6/13/2024 11:06:12 AM</v>
          </cell>
          <cell r="N1661" t="str">
            <v>26</v>
          </cell>
          <cell r="O1661">
            <v>50</v>
          </cell>
          <cell r="P1661">
            <v>21.07</v>
          </cell>
        </row>
        <row r="1662">
          <cell r="A1662" t="str">
            <v>6726924</v>
          </cell>
          <cell r="B1662" t="str">
            <v>1119249</v>
          </cell>
          <cell r="C1662" t="str">
            <v>6360-832-481</v>
          </cell>
          <cell r="D1662" t="str">
            <v>6360</v>
          </cell>
          <cell r="E1662" t="str">
            <v>6360 GLOCK 17/22 X300U STX BSK BLK RH</v>
          </cell>
          <cell r="F1662" t="str">
            <v>DG-HOLSTER-DTC</v>
          </cell>
          <cell r="G1662" t="str">
            <v>1420-210-FG</v>
          </cell>
          <cell r="H1662" t="str">
            <v>R</v>
          </cell>
          <cell r="I1662" t="str">
            <v>06/10/2024</v>
          </cell>
          <cell r="J1662" t="str">
            <v>06/10/2024</v>
          </cell>
          <cell r="K1662" t="str">
            <v>06/24/2024</v>
          </cell>
          <cell r="L1662">
            <v>20</v>
          </cell>
          <cell r="M1662" t="str">
            <v>6/13/2024 11:09:29 AM</v>
          </cell>
          <cell r="N1662" t="str">
            <v>26</v>
          </cell>
          <cell r="O1662">
            <v>20</v>
          </cell>
          <cell r="P1662">
            <v>8.15</v>
          </cell>
        </row>
        <row r="1663">
          <cell r="A1663" t="str">
            <v>6728005</v>
          </cell>
          <cell r="B1663" t="str">
            <v>1119249</v>
          </cell>
          <cell r="C1663" t="str">
            <v>6360-832-481</v>
          </cell>
          <cell r="D1663" t="str">
            <v>6360</v>
          </cell>
          <cell r="E1663" t="str">
            <v>6360 GLOCK 17/22 X300U STX BSK BLK RH</v>
          </cell>
          <cell r="F1663" t="str">
            <v>DG-HOLSTER-DTC</v>
          </cell>
          <cell r="G1663" t="str">
            <v>1420-210-FG</v>
          </cell>
          <cell r="H1663" t="str">
            <v>R</v>
          </cell>
          <cell r="I1663" t="str">
            <v>06/11/2024</v>
          </cell>
          <cell r="J1663" t="str">
            <v>06/14/2024</v>
          </cell>
          <cell r="K1663" t="str">
            <v>06/24/2024</v>
          </cell>
          <cell r="L1663">
            <v>20</v>
          </cell>
          <cell r="M1663" t="str">
            <v>6/13/2024 11:11:01 AM</v>
          </cell>
          <cell r="N1663" t="str">
            <v>26</v>
          </cell>
          <cell r="O1663">
            <v>20</v>
          </cell>
          <cell r="P1663">
            <v>8.15</v>
          </cell>
        </row>
        <row r="1664">
          <cell r="A1664" t="str">
            <v>6726086</v>
          </cell>
          <cell r="B1664" t="str">
            <v>1131516</v>
          </cell>
          <cell r="C1664" t="str">
            <v>6360-283-481</v>
          </cell>
          <cell r="D1664" t="str">
            <v>6360</v>
          </cell>
          <cell r="E1664" t="str">
            <v>6360 GLOCK 19/23 STX BSK BLK RH</v>
          </cell>
          <cell r="F1664" t="str">
            <v>DG-HOLSTER-DTC</v>
          </cell>
          <cell r="G1664" t="str">
            <v>1420-210-FG</v>
          </cell>
          <cell r="H1664" t="str">
            <v>R</v>
          </cell>
          <cell r="I1664" t="str">
            <v>06/07/2024</v>
          </cell>
          <cell r="J1664" t="str">
            <v>06/07/2024</v>
          </cell>
          <cell r="K1664" t="str">
            <v>06/24/2024</v>
          </cell>
          <cell r="L1664">
            <v>15</v>
          </cell>
          <cell r="M1664" t="str">
            <v>6/13/2024 11:09:12 AM</v>
          </cell>
          <cell r="N1664" t="str">
            <v>26</v>
          </cell>
          <cell r="O1664">
            <v>15</v>
          </cell>
          <cell r="P1664">
            <v>4</v>
          </cell>
        </row>
        <row r="1665">
          <cell r="A1665" t="str">
            <v>6728058</v>
          </cell>
          <cell r="B1665" t="str">
            <v>1131997</v>
          </cell>
          <cell r="C1665" t="str">
            <v>6360-283-412</v>
          </cell>
          <cell r="D1665" t="str">
            <v>6360</v>
          </cell>
          <cell r="E1665" t="str">
            <v>6360 GLOCK 19/23 STX PLN BLK LH</v>
          </cell>
          <cell r="F1665" t="str">
            <v>DG-HOLSTER-DTC</v>
          </cell>
          <cell r="G1665" t="str">
            <v>1420-210-FG</v>
          </cell>
          <cell r="H1665" t="str">
            <v>R</v>
          </cell>
          <cell r="I1665" t="str">
            <v>06/11/2024</v>
          </cell>
          <cell r="J1665" t="str">
            <v>06/14/2024</v>
          </cell>
          <cell r="K1665" t="str">
            <v>06/24/2024</v>
          </cell>
          <cell r="L1665">
            <v>5</v>
          </cell>
          <cell r="M1665" t="str">
            <v>6/13/2024 11:06:12 AM</v>
          </cell>
          <cell r="N1665" t="str">
            <v>26</v>
          </cell>
          <cell r="O1665">
            <v>5</v>
          </cell>
          <cell r="P1665">
            <v>1.33</v>
          </cell>
        </row>
        <row r="1666">
          <cell r="A1666" t="str">
            <v>6728079</v>
          </cell>
          <cell r="B1666" t="str">
            <v>1160496</v>
          </cell>
          <cell r="C1666" t="str">
            <v>6360-283-761</v>
          </cell>
          <cell r="D1666" t="str">
            <v>6360</v>
          </cell>
          <cell r="E1666" t="str">
            <v>6360 GLOCK 19/23 STX TAC CYTB RH</v>
          </cell>
          <cell r="F1666" t="str">
            <v>DG-HOLSTER-DTC</v>
          </cell>
          <cell r="G1666" t="str">
            <v>1420-210-FG</v>
          </cell>
          <cell r="H1666" t="str">
            <v>R</v>
          </cell>
          <cell r="I1666" t="str">
            <v>06/11/2024</v>
          </cell>
          <cell r="J1666" t="str">
            <v>06/17/2024</v>
          </cell>
          <cell r="K1666" t="str">
            <v>06/24/2024</v>
          </cell>
          <cell r="L1666">
            <v>5</v>
          </cell>
          <cell r="M1666" t="str">
            <v>6/13/2024 11:11:27 AM</v>
          </cell>
          <cell r="N1666" t="str">
            <v>26</v>
          </cell>
          <cell r="O1666">
            <v>5</v>
          </cell>
          <cell r="P1666">
            <v>1.33</v>
          </cell>
        </row>
        <row r="1667">
          <cell r="A1667" t="str">
            <v>6728060</v>
          </cell>
          <cell r="B1667" t="str">
            <v>1133112</v>
          </cell>
          <cell r="C1667" t="str">
            <v>6360-2832-412</v>
          </cell>
          <cell r="D1667" t="str">
            <v>6360</v>
          </cell>
          <cell r="E1667" t="str">
            <v>6360 GLOCK 19/23 X300U STX PLN BLK LH</v>
          </cell>
          <cell r="F1667" t="str">
            <v>DG-HOLSTER-DTC</v>
          </cell>
          <cell r="G1667" t="str">
            <v>1420-210-FG</v>
          </cell>
          <cell r="H1667" t="str">
            <v>R</v>
          </cell>
          <cell r="I1667" t="str">
            <v>06/11/2024</v>
          </cell>
          <cell r="J1667" t="str">
            <v>06/14/2024</v>
          </cell>
          <cell r="K1667" t="str">
            <v>06/24/2024</v>
          </cell>
          <cell r="L1667">
            <v>5</v>
          </cell>
          <cell r="M1667" t="str">
            <v>6/13/2024 10:40:25 AM</v>
          </cell>
          <cell r="N1667" t="str">
            <v>26</v>
          </cell>
          <cell r="O1667">
            <v>5</v>
          </cell>
          <cell r="P1667">
            <v>2.04</v>
          </cell>
        </row>
        <row r="1668">
          <cell r="A1668" t="str">
            <v>6726937</v>
          </cell>
          <cell r="B1668" t="str">
            <v>1129323</v>
          </cell>
          <cell r="C1668" t="str">
            <v>6360-2832-411</v>
          </cell>
          <cell r="D1668" t="str">
            <v>6360</v>
          </cell>
          <cell r="E1668" t="str">
            <v>6360 GLOCK 19/23 X300U STX PLN BLK RH</v>
          </cell>
          <cell r="F1668" t="str">
            <v>DG-HOLSTER-DTC</v>
          </cell>
          <cell r="G1668" t="str">
            <v>1420-210-FG</v>
          </cell>
          <cell r="H1668" t="str">
            <v>R</v>
          </cell>
          <cell r="I1668" t="str">
            <v>06/10/2024</v>
          </cell>
          <cell r="J1668" t="str">
            <v>06/10/2024</v>
          </cell>
          <cell r="K1668" t="str">
            <v>06/24/2024</v>
          </cell>
          <cell r="L1668">
            <v>15</v>
          </cell>
          <cell r="M1668" t="str">
            <v>6/13/2024 10:40:25 AM</v>
          </cell>
          <cell r="N1668" t="str">
            <v>26</v>
          </cell>
          <cell r="O1668">
            <v>15</v>
          </cell>
          <cell r="P1668">
            <v>4.84</v>
          </cell>
        </row>
        <row r="1669">
          <cell r="A1669" t="str">
            <v>6728053</v>
          </cell>
          <cell r="B1669" t="str">
            <v>1129323</v>
          </cell>
          <cell r="C1669" t="str">
            <v>6360-2832-411</v>
          </cell>
          <cell r="D1669" t="str">
            <v>6360</v>
          </cell>
          <cell r="E1669" t="str">
            <v>6360 GLOCK 19/23 X300U STX PLN BLK RH</v>
          </cell>
          <cell r="F1669" t="str">
            <v>DG-HOLSTER-DTC</v>
          </cell>
          <cell r="G1669" t="str">
            <v>1420-210-FG</v>
          </cell>
          <cell r="H1669" t="str">
            <v>R</v>
          </cell>
          <cell r="I1669" t="str">
            <v>06/11/2024</v>
          </cell>
          <cell r="J1669" t="str">
            <v>06/14/2024</v>
          </cell>
          <cell r="K1669" t="str">
            <v>06/24/2024</v>
          </cell>
          <cell r="L1669">
            <v>15</v>
          </cell>
          <cell r="M1669" t="str">
            <v>6/13/2024 10:40:25 AM</v>
          </cell>
          <cell r="N1669" t="str">
            <v>26</v>
          </cell>
          <cell r="O1669">
            <v>15</v>
          </cell>
          <cell r="P1669">
            <v>4.84</v>
          </cell>
        </row>
        <row r="1670">
          <cell r="A1670" t="str">
            <v>6726925</v>
          </cell>
          <cell r="B1670" t="str">
            <v>1128905</v>
          </cell>
          <cell r="C1670" t="str">
            <v>6360-2832-131</v>
          </cell>
          <cell r="D1670" t="str">
            <v>6360</v>
          </cell>
          <cell r="E1670" t="str">
            <v>6360 GLOCK 19/23 X300U STX TAC BLK RH</v>
          </cell>
          <cell r="F1670" t="str">
            <v>DG-HOLSTER-DTC</v>
          </cell>
          <cell r="G1670" t="str">
            <v>1420-210-FG</v>
          </cell>
          <cell r="H1670" t="str">
            <v>F</v>
          </cell>
          <cell r="I1670" t="str">
            <v>06/10/2024</v>
          </cell>
          <cell r="J1670" t="str">
            <v>06/10/2024</v>
          </cell>
          <cell r="K1670" t="str">
            <v>06/24/2024</v>
          </cell>
          <cell r="L1670">
            <v>20</v>
          </cell>
          <cell r="M1670" t="str">
            <v/>
          </cell>
          <cell r="N1670" t="str">
            <v>26</v>
          </cell>
          <cell r="O1670">
            <v>20</v>
          </cell>
          <cell r="P1670">
            <v>8.15</v>
          </cell>
        </row>
        <row r="1671">
          <cell r="A1671" t="str">
            <v>6726832</v>
          </cell>
          <cell r="B1671" t="str">
            <v>1126466</v>
          </cell>
          <cell r="C1671" t="str">
            <v>6360-383-481</v>
          </cell>
          <cell r="D1671" t="str">
            <v>6360</v>
          </cell>
          <cell r="E1671" t="str">
            <v>6360 GLOCK 20/21 STX BSK BLK RH</v>
          </cell>
          <cell r="F1671" t="str">
            <v>DG-HOLSTER</v>
          </cell>
          <cell r="G1671" t="str">
            <v>1420-210-FG</v>
          </cell>
          <cell r="H1671" t="str">
            <v>R</v>
          </cell>
          <cell r="I1671" t="str">
            <v>06/10/2024</v>
          </cell>
          <cell r="J1671" t="str">
            <v>06/10/2024</v>
          </cell>
          <cell r="K1671" t="str">
            <v>06/24/2024</v>
          </cell>
          <cell r="L1671">
            <v>5</v>
          </cell>
          <cell r="M1671" t="str">
            <v>6/13/2024 10:48:05 AM</v>
          </cell>
          <cell r="N1671" t="str">
            <v>26</v>
          </cell>
          <cell r="O1671">
            <v>5</v>
          </cell>
          <cell r="P1671">
            <v>1.1599999999999999</v>
          </cell>
        </row>
        <row r="1672">
          <cell r="A1672" t="str">
            <v>6726896</v>
          </cell>
          <cell r="B1672" t="str">
            <v>1328343</v>
          </cell>
          <cell r="C1672" t="str">
            <v>6360-8252-132</v>
          </cell>
          <cell r="D1672" t="str">
            <v>6360</v>
          </cell>
          <cell r="E1672" t="str">
            <v>6360 GLOCK 22 GEN 5 X300U STX TAC BLK LH</v>
          </cell>
          <cell r="F1672" t="str">
            <v>DG-HOLSTER</v>
          </cell>
          <cell r="G1672" t="str">
            <v>1420-210-FG</v>
          </cell>
          <cell r="H1672" t="str">
            <v>R</v>
          </cell>
          <cell r="I1672" t="str">
            <v>06/10/2024</v>
          </cell>
          <cell r="J1672" t="str">
            <v>06/10/2024</v>
          </cell>
          <cell r="K1672" t="str">
            <v>06/24/2024</v>
          </cell>
          <cell r="L1672">
            <v>5</v>
          </cell>
          <cell r="M1672" t="str">
            <v>6/13/2024 10:37:08 AM</v>
          </cell>
          <cell r="N1672" t="str">
            <v>26</v>
          </cell>
          <cell r="O1672">
            <v>5</v>
          </cell>
          <cell r="P1672">
            <v>1.87</v>
          </cell>
        </row>
        <row r="1673">
          <cell r="A1673" t="str">
            <v>6723448</v>
          </cell>
          <cell r="B1673" t="str">
            <v>1329266</v>
          </cell>
          <cell r="C1673" t="str">
            <v>6360-825-481</v>
          </cell>
          <cell r="D1673" t="str">
            <v>6360</v>
          </cell>
          <cell r="E1673" t="str">
            <v>6360 GLOCK 22 GEN5 STX BSK BLK RH</v>
          </cell>
          <cell r="F1673" t="str">
            <v>DG-HOLSTER</v>
          </cell>
          <cell r="G1673" t="str">
            <v>1420-210-FG</v>
          </cell>
          <cell r="H1673" t="str">
            <v>R</v>
          </cell>
          <cell r="I1673" t="str">
            <v>06/03/2024</v>
          </cell>
          <cell r="J1673" t="str">
            <v>06/03/2024</v>
          </cell>
          <cell r="K1673" t="str">
            <v>06/24/2024</v>
          </cell>
          <cell r="L1673">
            <v>5</v>
          </cell>
          <cell r="M1673" t="str">
            <v>6/13/2024 10:48:05 AM</v>
          </cell>
          <cell r="N1673" t="str">
            <v>26</v>
          </cell>
          <cell r="O1673">
            <v>5</v>
          </cell>
          <cell r="P1673">
            <v>1.1599999999999999</v>
          </cell>
        </row>
        <row r="1674">
          <cell r="A1674" t="str">
            <v>6726808</v>
          </cell>
          <cell r="B1674" t="str">
            <v>1328088</v>
          </cell>
          <cell r="C1674" t="str">
            <v>6360-825-412</v>
          </cell>
          <cell r="D1674" t="str">
            <v>6360</v>
          </cell>
          <cell r="E1674" t="str">
            <v>6360 GLOCK 22 GEN5 STX PLN BLK LH</v>
          </cell>
          <cell r="F1674" t="str">
            <v>DG-HOLSTER</v>
          </cell>
          <cell r="G1674" t="str">
            <v>1420-210-FG</v>
          </cell>
          <cell r="H1674" t="str">
            <v>R</v>
          </cell>
          <cell r="I1674" t="str">
            <v>06/10/2024</v>
          </cell>
          <cell r="J1674" t="str">
            <v>06/10/2024</v>
          </cell>
          <cell r="K1674" t="str">
            <v>06/24/2024</v>
          </cell>
          <cell r="L1674">
            <v>20</v>
          </cell>
          <cell r="M1674" t="str">
            <v>6/13/2024 10:40:25 AM</v>
          </cell>
          <cell r="N1674" t="str">
            <v>26</v>
          </cell>
          <cell r="O1674">
            <v>20</v>
          </cell>
          <cell r="P1674">
            <v>4.6500000000000004</v>
          </cell>
        </row>
        <row r="1675">
          <cell r="A1675" t="str">
            <v>6726807</v>
          </cell>
          <cell r="B1675" t="str">
            <v>1328087</v>
          </cell>
          <cell r="C1675" t="str">
            <v>6360-825-411</v>
          </cell>
          <cell r="D1675" t="str">
            <v>6360</v>
          </cell>
          <cell r="E1675" t="str">
            <v>6360 GLOCK 22 GEN5 STX PLN BLK RH</v>
          </cell>
          <cell r="F1675" t="str">
            <v>DG-HOLSTER</v>
          </cell>
          <cell r="G1675" t="str">
            <v>1420-210-FG</v>
          </cell>
          <cell r="H1675" t="str">
            <v>R</v>
          </cell>
          <cell r="I1675" t="str">
            <v>06/10/2024</v>
          </cell>
          <cell r="J1675" t="str">
            <v>06/10/2024</v>
          </cell>
          <cell r="K1675" t="str">
            <v>06/24/2024</v>
          </cell>
          <cell r="L1675">
            <v>25</v>
          </cell>
          <cell r="M1675" t="str">
            <v>6/13/2024 10:40:25 AM</v>
          </cell>
          <cell r="N1675" t="str">
            <v>26</v>
          </cell>
          <cell r="O1675">
            <v>25</v>
          </cell>
          <cell r="P1675">
            <v>5.84</v>
          </cell>
        </row>
        <row r="1676">
          <cell r="A1676" t="str">
            <v>6726806</v>
          </cell>
          <cell r="B1676" t="str">
            <v>1328085</v>
          </cell>
          <cell r="C1676" t="str">
            <v>6360-825-131</v>
          </cell>
          <cell r="D1676" t="str">
            <v>6360</v>
          </cell>
          <cell r="E1676" t="str">
            <v>6360 GLOCK 22 GEN5 STX TAC BLK RH</v>
          </cell>
          <cell r="F1676" t="str">
            <v>DG-HOLSTER</v>
          </cell>
          <cell r="G1676" t="str">
            <v>1420-210-FG</v>
          </cell>
          <cell r="H1676" t="str">
            <v>R</v>
          </cell>
          <cell r="I1676" t="str">
            <v>06/10/2024</v>
          </cell>
          <cell r="J1676" t="str">
            <v>06/10/2024</v>
          </cell>
          <cell r="K1676" t="str">
            <v>06/24/2024</v>
          </cell>
          <cell r="L1676">
            <v>26</v>
          </cell>
          <cell r="M1676" t="str">
            <v>6/13/2024 10:37:08 AM</v>
          </cell>
          <cell r="N1676" t="str">
            <v>26</v>
          </cell>
          <cell r="O1676">
            <v>26</v>
          </cell>
          <cell r="P1676">
            <v>6.05</v>
          </cell>
        </row>
        <row r="1677">
          <cell r="A1677" t="str">
            <v>6726834</v>
          </cell>
          <cell r="B1677" t="str">
            <v>1126782</v>
          </cell>
          <cell r="C1677" t="str">
            <v>6360-483-131</v>
          </cell>
          <cell r="D1677" t="str">
            <v>6360</v>
          </cell>
          <cell r="E1677" t="str">
            <v>6360 GLOCK 29/30 STX TAC BLK RH</v>
          </cell>
          <cell r="F1677" t="str">
            <v>DG-HOLSTER</v>
          </cell>
          <cell r="G1677" t="str">
            <v>1420-210-FG</v>
          </cell>
          <cell r="H1677" t="str">
            <v>R</v>
          </cell>
          <cell r="I1677" t="str">
            <v>06/10/2024</v>
          </cell>
          <cell r="J1677" t="str">
            <v>06/10/2024</v>
          </cell>
          <cell r="K1677" t="str">
            <v>06/24/2024</v>
          </cell>
          <cell r="L1677">
            <v>5</v>
          </cell>
          <cell r="M1677" t="str">
            <v>6/13/2024 10:37:08 AM</v>
          </cell>
          <cell r="N1677" t="str">
            <v>26</v>
          </cell>
          <cell r="O1677">
            <v>5</v>
          </cell>
          <cell r="P1677">
            <v>1.1599999999999999</v>
          </cell>
        </row>
        <row r="1678">
          <cell r="A1678" t="str">
            <v>6726818</v>
          </cell>
          <cell r="B1678" t="str">
            <v>1120868</v>
          </cell>
          <cell r="C1678" t="str">
            <v>6360-97-132</v>
          </cell>
          <cell r="D1678" t="str">
            <v>6360</v>
          </cell>
          <cell r="E1678" t="str">
            <v>6360 H&amp;K P2000 STX TAC BLK LH</v>
          </cell>
          <cell r="F1678" t="str">
            <v>DG-HOLSTER</v>
          </cell>
          <cell r="G1678" t="str">
            <v>1420-210-FG</v>
          </cell>
          <cell r="H1678" t="str">
            <v>R</v>
          </cell>
          <cell r="I1678" t="str">
            <v>06/10/2024</v>
          </cell>
          <cell r="J1678" t="str">
            <v>06/10/2024</v>
          </cell>
          <cell r="K1678" t="str">
            <v>06/24/2024</v>
          </cell>
          <cell r="L1678">
            <v>10</v>
          </cell>
          <cell r="M1678" t="str">
            <v>6/13/2024 10:37:08 AM</v>
          </cell>
          <cell r="N1678" t="str">
            <v>26</v>
          </cell>
          <cell r="O1678">
            <v>10</v>
          </cell>
          <cell r="P1678">
            <v>2.34</v>
          </cell>
        </row>
        <row r="1679">
          <cell r="A1679" t="str">
            <v>6726817</v>
          </cell>
          <cell r="B1679" t="str">
            <v>1120867</v>
          </cell>
          <cell r="C1679" t="str">
            <v>6360-97-131</v>
          </cell>
          <cell r="D1679" t="str">
            <v>6360</v>
          </cell>
          <cell r="E1679" t="str">
            <v>6360 H&amp;K P2000 STX TAC BLK RH</v>
          </cell>
          <cell r="F1679" t="str">
            <v>DG-HOLSTER</v>
          </cell>
          <cell r="G1679" t="str">
            <v>1420-210-FG</v>
          </cell>
          <cell r="H1679" t="str">
            <v>R</v>
          </cell>
          <cell r="I1679" t="str">
            <v>06/10/2024</v>
          </cell>
          <cell r="J1679" t="str">
            <v>06/10/2024</v>
          </cell>
          <cell r="K1679" t="str">
            <v>06/24/2024</v>
          </cell>
          <cell r="L1679">
            <v>15</v>
          </cell>
          <cell r="M1679" t="str">
            <v>6/13/2024 10:37:08 AM</v>
          </cell>
          <cell r="N1679" t="str">
            <v>26</v>
          </cell>
          <cell r="O1679">
            <v>15</v>
          </cell>
          <cell r="P1679">
            <v>3.5</v>
          </cell>
        </row>
        <row r="1680">
          <cell r="A1680" t="str">
            <v>6726845</v>
          </cell>
          <cell r="B1680" t="str">
            <v>1135335</v>
          </cell>
          <cell r="C1680" t="str">
            <v>6360-1972-131</v>
          </cell>
          <cell r="D1680" t="str">
            <v>6360</v>
          </cell>
          <cell r="E1680" t="str">
            <v>6360 H&amp;K P2000 X300U STX TAC BLK RH</v>
          </cell>
          <cell r="F1680" t="str">
            <v>DG-HOLSTER</v>
          </cell>
          <cell r="G1680" t="str">
            <v>1420-210-FG</v>
          </cell>
          <cell r="H1680" t="str">
            <v>R</v>
          </cell>
          <cell r="I1680" t="str">
            <v>06/10/2024</v>
          </cell>
          <cell r="J1680" t="str">
            <v>06/10/2024</v>
          </cell>
          <cell r="K1680" t="str">
            <v>06/24/2024</v>
          </cell>
          <cell r="L1680">
            <v>5</v>
          </cell>
          <cell r="M1680" t="str">
            <v>6/13/2024 10:37:08 AM</v>
          </cell>
          <cell r="N1680" t="str">
            <v>26</v>
          </cell>
          <cell r="O1680">
            <v>5</v>
          </cell>
          <cell r="P1680">
            <v>1.87</v>
          </cell>
        </row>
        <row r="1681">
          <cell r="A1681" t="str">
            <v>6726874</v>
          </cell>
          <cell r="B1681" t="str">
            <v>1176556</v>
          </cell>
          <cell r="C1681" t="str">
            <v>6360-3952-131</v>
          </cell>
          <cell r="D1681" t="str">
            <v>6360</v>
          </cell>
          <cell r="E1681" t="str">
            <v>6360 H&amp;K P30L X300U STX TAC BLK RH</v>
          </cell>
          <cell r="F1681" t="str">
            <v>DG-HOLSTER</v>
          </cell>
          <cell r="G1681" t="str">
            <v>1420-210-FG</v>
          </cell>
          <cell r="H1681" t="str">
            <v>R</v>
          </cell>
          <cell r="I1681" t="str">
            <v>06/10/2024</v>
          </cell>
          <cell r="J1681" t="str">
            <v>06/10/2024</v>
          </cell>
          <cell r="K1681" t="str">
            <v>06/24/2024</v>
          </cell>
          <cell r="L1681">
            <v>5</v>
          </cell>
          <cell r="M1681" t="str">
            <v>6/13/2024 10:37:08 AM</v>
          </cell>
          <cell r="N1681" t="str">
            <v>26</v>
          </cell>
          <cell r="O1681">
            <v>5</v>
          </cell>
          <cell r="P1681">
            <v>1.87</v>
          </cell>
        </row>
        <row r="1682">
          <cell r="A1682" t="str">
            <v>6726888</v>
          </cell>
          <cell r="B1682" t="str">
            <v>1323765</v>
          </cell>
          <cell r="C1682" t="str">
            <v>6360-91-561</v>
          </cell>
          <cell r="D1682" t="str">
            <v>6360</v>
          </cell>
          <cell r="E1682" t="str">
            <v>6360 H&amp;K USP 9/40 STX TAC ODG RH</v>
          </cell>
          <cell r="F1682" t="str">
            <v>DG-HOLSTER</v>
          </cell>
          <cell r="G1682" t="str">
            <v>1420-210-FG</v>
          </cell>
          <cell r="H1682" t="str">
            <v>R</v>
          </cell>
          <cell r="I1682" t="str">
            <v>06/10/2024</v>
          </cell>
          <cell r="J1682" t="str">
            <v>06/10/2024</v>
          </cell>
          <cell r="K1682" t="str">
            <v>06/24/2024</v>
          </cell>
          <cell r="L1682">
            <v>5</v>
          </cell>
          <cell r="M1682" t="str">
            <v>6/13/2024 10:46:14 AM</v>
          </cell>
          <cell r="N1682" t="str">
            <v>26</v>
          </cell>
          <cell r="O1682">
            <v>5</v>
          </cell>
          <cell r="P1682">
            <v>0.89</v>
          </cell>
        </row>
        <row r="1683">
          <cell r="A1683" t="str">
            <v>6726882</v>
          </cell>
          <cell r="B1683" t="str">
            <v>1206287</v>
          </cell>
          <cell r="C1683" t="str">
            <v>6360-8182-481</v>
          </cell>
          <cell r="D1683" t="str">
            <v>6360</v>
          </cell>
          <cell r="E1683" t="str">
            <v>6360 S&amp;W M&amp;P 2.0 9L X300U STX BSK BLK RH</v>
          </cell>
          <cell r="F1683" t="str">
            <v>DG-HOLSTER</v>
          </cell>
          <cell r="G1683" t="str">
            <v>1420-210-FG</v>
          </cell>
          <cell r="H1683" t="str">
            <v>R</v>
          </cell>
          <cell r="I1683" t="str">
            <v>06/10/2024</v>
          </cell>
          <cell r="J1683" t="str">
            <v>06/10/2024</v>
          </cell>
          <cell r="K1683" t="str">
            <v>06/24/2024</v>
          </cell>
          <cell r="L1683">
            <v>5</v>
          </cell>
          <cell r="M1683" t="str">
            <v>6/13/2024 10:48:05 AM</v>
          </cell>
          <cell r="N1683" t="str">
            <v>26</v>
          </cell>
          <cell r="O1683">
            <v>5</v>
          </cell>
          <cell r="P1683">
            <v>1.44</v>
          </cell>
        </row>
        <row r="1684">
          <cell r="A1684" t="str">
            <v>6726812</v>
          </cell>
          <cell r="B1684" t="str">
            <v>1119328</v>
          </cell>
          <cell r="C1684" t="str">
            <v>6360-419-481</v>
          </cell>
          <cell r="D1684" t="str">
            <v>6360</v>
          </cell>
          <cell r="E1684" t="str">
            <v>6360 S&amp;W M&amp;P 45 STX BSK BLK RH</v>
          </cell>
          <cell r="F1684" t="str">
            <v>DG-HOLSTER</v>
          </cell>
          <cell r="G1684" t="str">
            <v>1420-210-FG</v>
          </cell>
          <cell r="H1684" t="str">
            <v>R</v>
          </cell>
          <cell r="I1684" t="str">
            <v>06/10/2024</v>
          </cell>
          <cell r="J1684" t="str">
            <v>06/10/2024</v>
          </cell>
          <cell r="K1684" t="str">
            <v>06/24/2024</v>
          </cell>
          <cell r="L1684">
            <v>5</v>
          </cell>
          <cell r="M1684" t="str">
            <v>6/13/2024 10:48:05 AM</v>
          </cell>
          <cell r="N1684" t="str">
            <v>26</v>
          </cell>
          <cell r="O1684">
            <v>5</v>
          </cell>
          <cell r="P1684">
            <v>1.1599999999999999</v>
          </cell>
        </row>
        <row r="1685">
          <cell r="A1685" t="str">
            <v>6726829</v>
          </cell>
          <cell r="B1685" t="str">
            <v>1125468</v>
          </cell>
          <cell r="C1685" t="str">
            <v>6360-419-131</v>
          </cell>
          <cell r="D1685" t="str">
            <v>6360</v>
          </cell>
          <cell r="E1685" t="str">
            <v>6360 S&amp;W M&amp;P 45 STX TAC BLK RH</v>
          </cell>
          <cell r="F1685" t="str">
            <v>DG-HOLSTER</v>
          </cell>
          <cell r="G1685" t="str">
            <v>1420-210-FG</v>
          </cell>
          <cell r="H1685" t="str">
            <v>R</v>
          </cell>
          <cell r="I1685" t="str">
            <v>06/10/2024</v>
          </cell>
          <cell r="J1685" t="str">
            <v>06/10/2024</v>
          </cell>
          <cell r="K1685" t="str">
            <v>06/24/2024</v>
          </cell>
          <cell r="L1685">
            <v>5</v>
          </cell>
          <cell r="M1685" t="str">
            <v>6/13/2024 10:37:08 AM</v>
          </cell>
          <cell r="N1685" t="str">
            <v>26</v>
          </cell>
          <cell r="O1685">
            <v>5</v>
          </cell>
          <cell r="P1685">
            <v>1.1599999999999999</v>
          </cell>
        </row>
        <row r="1686">
          <cell r="A1686" t="str">
            <v>6726844</v>
          </cell>
          <cell r="B1686" t="str">
            <v>1133537</v>
          </cell>
          <cell r="C1686" t="str">
            <v>6360-4192-481</v>
          </cell>
          <cell r="D1686" t="str">
            <v>6360</v>
          </cell>
          <cell r="E1686" t="str">
            <v>6360 S&amp;W M&amp;P 45 X300 STX BSK BLK RH</v>
          </cell>
          <cell r="F1686" t="str">
            <v>DG-HOLSTER</v>
          </cell>
          <cell r="G1686" t="str">
            <v>1420-210-FG</v>
          </cell>
          <cell r="H1686" t="str">
            <v>R</v>
          </cell>
          <cell r="I1686" t="str">
            <v>06/10/2024</v>
          </cell>
          <cell r="J1686" t="str">
            <v>06/10/2024</v>
          </cell>
          <cell r="K1686" t="str">
            <v>06/24/2024</v>
          </cell>
          <cell r="L1686">
            <v>5</v>
          </cell>
          <cell r="M1686" t="str">
            <v>6/13/2024 10:48:05 AM</v>
          </cell>
          <cell r="N1686" t="str">
            <v>26</v>
          </cell>
          <cell r="O1686">
            <v>5</v>
          </cell>
          <cell r="P1686">
            <v>1.87</v>
          </cell>
        </row>
        <row r="1687">
          <cell r="A1687" t="str">
            <v>6726846</v>
          </cell>
          <cell r="B1687" t="str">
            <v>1136442</v>
          </cell>
          <cell r="C1687" t="str">
            <v>6360-9192-131</v>
          </cell>
          <cell r="D1687" t="str">
            <v>6360</v>
          </cell>
          <cell r="E1687" t="str">
            <v>6360 S&amp;W M&amp;P 45C X300 STX TAC BLK RH</v>
          </cell>
          <cell r="F1687" t="str">
            <v>DG-HOLSTER</v>
          </cell>
          <cell r="G1687" t="str">
            <v>1420-210-FG</v>
          </cell>
          <cell r="H1687" t="str">
            <v>R</v>
          </cell>
          <cell r="I1687" t="str">
            <v>06/10/2024</v>
          </cell>
          <cell r="J1687" t="str">
            <v>06/10/2024</v>
          </cell>
          <cell r="K1687" t="str">
            <v>06/24/2024</v>
          </cell>
          <cell r="L1687">
            <v>5</v>
          </cell>
          <cell r="M1687" t="str">
            <v>6/13/2024 10:37:08 AM</v>
          </cell>
          <cell r="N1687" t="str">
            <v>26</v>
          </cell>
          <cell r="O1687">
            <v>5</v>
          </cell>
          <cell r="P1687">
            <v>1.87</v>
          </cell>
        </row>
        <row r="1688">
          <cell r="A1688" t="str">
            <v>6726843</v>
          </cell>
          <cell r="B1688" t="str">
            <v>1133523</v>
          </cell>
          <cell r="C1688" t="str">
            <v>6360-619-131</v>
          </cell>
          <cell r="D1688" t="str">
            <v>6360</v>
          </cell>
          <cell r="E1688" t="str">
            <v>6360 S&amp;W M&amp;P 9/40 4IN STX TAC BLK RH</v>
          </cell>
          <cell r="F1688" t="str">
            <v>DG-HOLSTER</v>
          </cell>
          <cell r="G1688" t="str">
            <v>1420-210-FG</v>
          </cell>
          <cell r="H1688" t="str">
            <v>R</v>
          </cell>
          <cell r="I1688" t="str">
            <v>06/10/2024</v>
          </cell>
          <cell r="J1688" t="str">
            <v>06/10/2024</v>
          </cell>
          <cell r="K1688" t="str">
            <v>06/24/2024</v>
          </cell>
          <cell r="L1688">
            <v>5</v>
          </cell>
          <cell r="M1688" t="str">
            <v>6/13/2024 10:37:08 AM</v>
          </cell>
          <cell r="N1688" t="str">
            <v>26</v>
          </cell>
          <cell r="O1688">
            <v>5</v>
          </cell>
          <cell r="P1688">
            <v>1.1599999999999999</v>
          </cell>
        </row>
        <row r="1689">
          <cell r="A1689" t="str">
            <v>6726821</v>
          </cell>
          <cell r="B1689" t="str">
            <v>1121439</v>
          </cell>
          <cell r="C1689" t="str">
            <v>6360-219-412</v>
          </cell>
          <cell r="D1689" t="str">
            <v>6360</v>
          </cell>
          <cell r="E1689" t="str">
            <v>6360 S&amp;W M&amp;P9/40 1.0 STX PLN BLK LH</v>
          </cell>
          <cell r="F1689" t="str">
            <v>DG-HOLSTER</v>
          </cell>
          <cell r="G1689" t="str">
            <v>1420-210-FG</v>
          </cell>
          <cell r="H1689" t="str">
            <v>R</v>
          </cell>
          <cell r="I1689" t="str">
            <v>06/10/2024</v>
          </cell>
          <cell r="J1689" t="str">
            <v>06/10/2024</v>
          </cell>
          <cell r="K1689" t="str">
            <v>06/24/2024</v>
          </cell>
          <cell r="L1689">
            <v>5</v>
          </cell>
          <cell r="M1689" t="str">
            <v>6/13/2024 10:40:25 AM</v>
          </cell>
          <cell r="N1689" t="str">
            <v>26</v>
          </cell>
          <cell r="O1689">
            <v>5</v>
          </cell>
          <cell r="P1689">
            <v>1.1599999999999999</v>
          </cell>
        </row>
        <row r="1690">
          <cell r="A1690" t="str">
            <v>6727928</v>
          </cell>
          <cell r="B1690" t="str">
            <v>1121439</v>
          </cell>
          <cell r="C1690" t="str">
            <v>6360-219-412</v>
          </cell>
          <cell r="D1690" t="str">
            <v>6360</v>
          </cell>
          <cell r="E1690" t="str">
            <v>6360 S&amp;W M&amp;P9/40 1.0 STX PLN BLK LH</v>
          </cell>
          <cell r="F1690" t="str">
            <v>DG-HOLSTER</v>
          </cell>
          <cell r="G1690" t="str">
            <v>1420-210-FG</v>
          </cell>
          <cell r="H1690" t="str">
            <v>R</v>
          </cell>
          <cell r="I1690" t="str">
            <v>06/11/2024</v>
          </cell>
          <cell r="J1690" t="str">
            <v>06/17/2024</v>
          </cell>
          <cell r="K1690" t="str">
            <v>06/24/2024</v>
          </cell>
          <cell r="L1690">
            <v>8</v>
          </cell>
          <cell r="M1690" t="str">
            <v>6/13/2024 10:40:25 AM</v>
          </cell>
          <cell r="N1690" t="str">
            <v>26</v>
          </cell>
          <cell r="O1690">
            <v>8</v>
          </cell>
          <cell r="P1690">
            <v>1.86</v>
          </cell>
        </row>
        <row r="1691">
          <cell r="A1691" t="str">
            <v>6726814</v>
          </cell>
          <cell r="B1691" t="str">
            <v>1120582</v>
          </cell>
          <cell r="C1691" t="str">
            <v>6360-74-61</v>
          </cell>
          <cell r="D1691" t="str">
            <v>6360</v>
          </cell>
          <cell r="E1691" t="str">
            <v>6360 SIG P228/P229 PLN BLK RH</v>
          </cell>
          <cell r="F1691" t="str">
            <v>DG-HOLSTER</v>
          </cell>
          <cell r="G1691" t="str">
            <v>1420-210-FG</v>
          </cell>
          <cell r="H1691" t="str">
            <v>R</v>
          </cell>
          <cell r="I1691" t="str">
            <v>06/10/2024</v>
          </cell>
          <cell r="J1691" t="str">
            <v>06/10/2024</v>
          </cell>
          <cell r="K1691" t="str">
            <v>06/24/2024</v>
          </cell>
          <cell r="L1691">
            <v>5</v>
          </cell>
          <cell r="M1691" t="str">
            <v>6/13/2024 10:40:25 AM</v>
          </cell>
          <cell r="N1691" t="str">
            <v>26</v>
          </cell>
          <cell r="O1691">
            <v>5</v>
          </cell>
          <cell r="P1691">
            <v>1.22</v>
          </cell>
        </row>
        <row r="1692">
          <cell r="A1692" t="str">
            <v>6726811</v>
          </cell>
          <cell r="B1692" t="str">
            <v>1112111</v>
          </cell>
          <cell r="C1692" t="str">
            <v>6360-7442-131</v>
          </cell>
          <cell r="D1692" t="str">
            <v>6360</v>
          </cell>
          <cell r="E1692" t="str">
            <v>6360 SIG P229R X300 STX TAC BLK RH</v>
          </cell>
          <cell r="F1692" t="str">
            <v>DG-HOLSTER</v>
          </cell>
          <cell r="G1692" t="str">
            <v>1420-210-FG</v>
          </cell>
          <cell r="H1692" t="str">
            <v>R</v>
          </cell>
          <cell r="I1692" t="str">
            <v>06/10/2024</v>
          </cell>
          <cell r="J1692" t="str">
            <v>06/10/2024</v>
          </cell>
          <cell r="K1692" t="str">
            <v>06/24/2024</v>
          </cell>
          <cell r="L1692">
            <v>10</v>
          </cell>
          <cell r="M1692" t="str">
            <v>6/13/2024 10:37:08 AM</v>
          </cell>
          <cell r="N1692" t="str">
            <v>26</v>
          </cell>
          <cell r="O1692">
            <v>10</v>
          </cell>
          <cell r="P1692">
            <v>3.75</v>
          </cell>
        </row>
        <row r="1693">
          <cell r="A1693" t="str">
            <v>6726849</v>
          </cell>
          <cell r="B1693" t="str">
            <v>1140668</v>
          </cell>
          <cell r="C1693" t="str">
            <v>6360-450-61</v>
          </cell>
          <cell r="D1693" t="str">
            <v>6360</v>
          </cell>
          <cell r="E1693" t="str">
            <v>6360 SIG P320 9/40/45 PLN BLK RH</v>
          </cell>
          <cell r="F1693" t="str">
            <v>DG-HOLSTER</v>
          </cell>
          <cell r="G1693" t="str">
            <v>1420-210-FG</v>
          </cell>
          <cell r="H1693" t="str">
            <v>F</v>
          </cell>
          <cell r="I1693" t="str">
            <v>06/10/2024</v>
          </cell>
          <cell r="J1693" t="str">
            <v>06/10/2024</v>
          </cell>
          <cell r="K1693" t="str">
            <v>06/24/2024</v>
          </cell>
          <cell r="L1693">
            <v>5</v>
          </cell>
          <cell r="M1693" t="str">
            <v/>
          </cell>
          <cell r="N1693" t="str">
            <v>26</v>
          </cell>
          <cell r="O1693">
            <v>5</v>
          </cell>
          <cell r="P1693">
            <v>1.39</v>
          </cell>
        </row>
        <row r="1694">
          <cell r="A1694" t="str">
            <v>6727949</v>
          </cell>
          <cell r="B1694" t="str">
            <v>1157958</v>
          </cell>
          <cell r="C1694" t="str">
            <v>6360-450-492</v>
          </cell>
          <cell r="D1694" t="str">
            <v>6360</v>
          </cell>
          <cell r="E1694" t="str">
            <v>6360 SIG P320 9/40/45 STX HGS BLK LH</v>
          </cell>
          <cell r="F1694" t="str">
            <v>DG-HOLSTER</v>
          </cell>
          <cell r="G1694" t="str">
            <v>1420-210-FG</v>
          </cell>
          <cell r="H1694" t="str">
            <v>R</v>
          </cell>
          <cell r="I1694" t="str">
            <v>06/11/2024</v>
          </cell>
          <cell r="J1694" t="str">
            <v>06/17/2024</v>
          </cell>
          <cell r="K1694" t="str">
            <v>06/24/2024</v>
          </cell>
          <cell r="L1694">
            <v>2</v>
          </cell>
          <cell r="M1694" t="str">
            <v>6/13/2024 10:50:10 AM</v>
          </cell>
          <cell r="N1694" t="str">
            <v>26</v>
          </cell>
          <cell r="O1694">
            <v>2</v>
          </cell>
          <cell r="P1694">
            <v>0.53</v>
          </cell>
        </row>
        <row r="1695">
          <cell r="A1695" t="str">
            <v>6727948</v>
          </cell>
          <cell r="B1695" t="str">
            <v>1157957</v>
          </cell>
          <cell r="C1695" t="str">
            <v>6360-450-491</v>
          </cell>
          <cell r="D1695" t="str">
            <v>6360</v>
          </cell>
          <cell r="E1695" t="str">
            <v>6360 SIG P320 9/40/45 STX HGS BLK RH</v>
          </cell>
          <cell r="F1695" t="str">
            <v>DG-HOLSTER</v>
          </cell>
          <cell r="G1695" t="str">
            <v>1420-210-FG</v>
          </cell>
          <cell r="H1695" t="str">
            <v>R</v>
          </cell>
          <cell r="I1695" t="str">
            <v>06/11/2024</v>
          </cell>
          <cell r="J1695" t="str">
            <v>06/17/2024</v>
          </cell>
          <cell r="K1695" t="str">
            <v>06/24/2024</v>
          </cell>
          <cell r="L1695">
            <v>11</v>
          </cell>
          <cell r="M1695" t="str">
            <v>6/13/2024 10:49:55 AM</v>
          </cell>
          <cell r="N1695" t="str">
            <v>26</v>
          </cell>
          <cell r="O1695">
            <v>11</v>
          </cell>
          <cell r="P1695">
            <v>2.91</v>
          </cell>
        </row>
        <row r="1696">
          <cell r="A1696" t="str">
            <v>6727954</v>
          </cell>
          <cell r="B1696" t="str">
            <v>1183758</v>
          </cell>
          <cell r="C1696" t="str">
            <v>6360-4502-81</v>
          </cell>
          <cell r="D1696" t="str">
            <v>6360</v>
          </cell>
          <cell r="E1696" t="str">
            <v>6360 SIG P320 X300U BSK BLK RH</v>
          </cell>
          <cell r="F1696" t="str">
            <v>DG-HOLSTER</v>
          </cell>
          <cell r="G1696" t="str">
            <v>1420-210-FG</v>
          </cell>
          <cell r="H1696" t="str">
            <v>R</v>
          </cell>
          <cell r="I1696" t="str">
            <v>06/11/2024</v>
          </cell>
          <cell r="J1696" t="str">
            <v>06/17/2024</v>
          </cell>
          <cell r="K1696" t="str">
            <v>06/24/2024</v>
          </cell>
          <cell r="L1696">
            <v>5</v>
          </cell>
          <cell r="M1696" t="str">
            <v>6/13/2024 10:40:25 AM</v>
          </cell>
          <cell r="N1696" t="str">
            <v>26</v>
          </cell>
          <cell r="O1696">
            <v>5</v>
          </cell>
          <cell r="P1696">
            <v>1.66</v>
          </cell>
        </row>
        <row r="1697">
          <cell r="A1697" t="str">
            <v>6726877</v>
          </cell>
          <cell r="B1697" t="str">
            <v>1182920</v>
          </cell>
          <cell r="C1697" t="str">
            <v>6360-4502-412</v>
          </cell>
          <cell r="D1697" t="str">
            <v>6360</v>
          </cell>
          <cell r="E1697" t="str">
            <v>6360 SIG P320 X300U STX PLN BLK LH</v>
          </cell>
          <cell r="F1697" t="str">
            <v>DG-HOLSTER</v>
          </cell>
          <cell r="G1697" t="str">
            <v>1420-210-FG</v>
          </cell>
          <cell r="H1697" t="str">
            <v>F</v>
          </cell>
          <cell r="I1697" t="str">
            <v>06/10/2024</v>
          </cell>
          <cell r="J1697" t="str">
            <v>06/10/2024</v>
          </cell>
          <cell r="K1697" t="str">
            <v>06/24/2024</v>
          </cell>
          <cell r="L1697">
            <v>5</v>
          </cell>
          <cell r="M1697" t="str">
            <v/>
          </cell>
          <cell r="N1697" t="str">
            <v>26</v>
          </cell>
          <cell r="O1697">
            <v>5</v>
          </cell>
          <cell r="P1697">
            <v>1.61</v>
          </cell>
        </row>
        <row r="1698">
          <cell r="A1698" t="str">
            <v>6726876</v>
          </cell>
          <cell r="B1698" t="str">
            <v>1182919</v>
          </cell>
          <cell r="C1698" t="str">
            <v>6360-4502-411</v>
          </cell>
          <cell r="D1698" t="str">
            <v>6360</v>
          </cell>
          <cell r="E1698" t="str">
            <v>6360 SIG P320 X300U STX PLN BLK RH</v>
          </cell>
          <cell r="F1698" t="str">
            <v>DG-HOLSTER</v>
          </cell>
          <cell r="G1698" t="str">
            <v>1420-210-FG</v>
          </cell>
          <cell r="H1698" t="str">
            <v>R</v>
          </cell>
          <cell r="I1698" t="str">
            <v>06/10/2024</v>
          </cell>
          <cell r="J1698" t="str">
            <v>06/10/2024</v>
          </cell>
          <cell r="K1698" t="str">
            <v>06/24/2024</v>
          </cell>
          <cell r="L1698">
            <v>5</v>
          </cell>
          <cell r="M1698" t="str">
            <v>6/13/2024 10:40:25 AM</v>
          </cell>
          <cell r="N1698" t="str">
            <v>26</v>
          </cell>
          <cell r="O1698">
            <v>5</v>
          </cell>
          <cell r="P1698">
            <v>1.61</v>
          </cell>
        </row>
        <row r="1699">
          <cell r="A1699" t="str">
            <v>6723345</v>
          </cell>
          <cell r="B1699" t="str">
            <v>1137310</v>
          </cell>
          <cell r="C1699" t="str">
            <v>6360-1492-131</v>
          </cell>
          <cell r="D1699" t="str">
            <v>6360</v>
          </cell>
          <cell r="E1699" t="str">
            <v>6360 SPNGFLD XD 9/40 X300 STX TAC BLK RH</v>
          </cell>
          <cell r="F1699" t="str">
            <v>DG-HOLSTER</v>
          </cell>
          <cell r="G1699" t="str">
            <v>1420-210-FG</v>
          </cell>
          <cell r="H1699" t="str">
            <v>R</v>
          </cell>
          <cell r="I1699" t="str">
            <v>06/03/2024</v>
          </cell>
          <cell r="J1699" t="str">
            <v>06/03/2024</v>
          </cell>
          <cell r="K1699" t="str">
            <v>06/24/2024</v>
          </cell>
          <cell r="L1699">
            <v>25</v>
          </cell>
          <cell r="M1699" t="str">
            <v>6/13/2024 10:37:08 AM</v>
          </cell>
          <cell r="N1699" t="str">
            <v>26</v>
          </cell>
          <cell r="O1699">
            <v>25</v>
          </cell>
          <cell r="P1699">
            <v>9.39</v>
          </cell>
        </row>
        <row r="1700">
          <cell r="A1700" t="str">
            <v>6726848</v>
          </cell>
          <cell r="B1700" t="str">
            <v>1138988</v>
          </cell>
          <cell r="C1700" t="str">
            <v>6360-1452-131</v>
          </cell>
          <cell r="D1700" t="str">
            <v>6360</v>
          </cell>
          <cell r="E1700" t="str">
            <v>6360 SPRGFLD XDM9 X300 STX TAC BLK RH</v>
          </cell>
          <cell r="F1700" t="str">
            <v>DG-HOLSTER</v>
          </cell>
          <cell r="G1700" t="str">
            <v>1420-210-FG</v>
          </cell>
          <cell r="H1700" t="str">
            <v>R</v>
          </cell>
          <cell r="I1700" t="str">
            <v>06/10/2024</v>
          </cell>
          <cell r="J1700" t="str">
            <v>06/10/2024</v>
          </cell>
          <cell r="K1700" t="str">
            <v>06/24/2024</v>
          </cell>
          <cell r="L1700">
            <v>5</v>
          </cell>
          <cell r="M1700" t="str">
            <v>6/13/2024 10:37:08 AM</v>
          </cell>
          <cell r="N1700" t="str">
            <v>26</v>
          </cell>
          <cell r="O1700">
            <v>5</v>
          </cell>
          <cell r="P1700">
            <v>1.87</v>
          </cell>
        </row>
        <row r="1701">
          <cell r="A1701" t="str">
            <v>6726828</v>
          </cell>
          <cell r="B1701" t="str">
            <v>1123945</v>
          </cell>
          <cell r="C1701" t="str">
            <v>6360-56-81</v>
          </cell>
          <cell r="D1701" t="str">
            <v>6360</v>
          </cell>
          <cell r="E1701" t="str">
            <v>6360 SPRNGFLD OPR BSK BLK RH</v>
          </cell>
          <cell r="F1701" t="str">
            <v>DG-HOLSTER</v>
          </cell>
          <cell r="G1701" t="str">
            <v>1420-210-FG</v>
          </cell>
          <cell r="H1701" t="str">
            <v>R</v>
          </cell>
          <cell r="I1701" t="str">
            <v>06/10/2024</v>
          </cell>
          <cell r="J1701" t="str">
            <v>06/10/2024</v>
          </cell>
          <cell r="K1701" t="str">
            <v>06/24/2024</v>
          </cell>
          <cell r="L1701">
            <v>5</v>
          </cell>
          <cell r="M1701" t="str">
            <v>6/13/2024 10:40:25 AM</v>
          </cell>
          <cell r="N1701" t="str">
            <v>26</v>
          </cell>
          <cell r="O1701">
            <v>5</v>
          </cell>
          <cell r="P1701">
            <v>1.22</v>
          </cell>
        </row>
        <row r="1702">
          <cell r="A1702" t="str">
            <v>6726864</v>
          </cell>
          <cell r="B1702" t="str">
            <v>1166149</v>
          </cell>
          <cell r="C1702" t="str">
            <v>6360-56-551</v>
          </cell>
          <cell r="D1702" t="str">
            <v>6360</v>
          </cell>
          <cell r="E1702" t="str">
            <v>6360 SPRNGFLD OPR STX TAC FDE RH</v>
          </cell>
          <cell r="F1702" t="str">
            <v>DG-HOLSTER</v>
          </cell>
          <cell r="G1702" t="str">
            <v>1420-210-FG</v>
          </cell>
          <cell r="H1702" t="str">
            <v>R</v>
          </cell>
          <cell r="I1702" t="str">
            <v>06/10/2024</v>
          </cell>
          <cell r="J1702" t="str">
            <v>06/10/2024</v>
          </cell>
          <cell r="K1702" t="str">
            <v>06/24/2024</v>
          </cell>
          <cell r="L1702">
            <v>5</v>
          </cell>
          <cell r="M1702" t="str">
            <v>6/13/2024 10:43:06 AM</v>
          </cell>
          <cell r="N1702" t="str">
            <v>26</v>
          </cell>
          <cell r="O1702">
            <v>5</v>
          </cell>
          <cell r="P1702">
            <v>1.1599999999999999</v>
          </cell>
        </row>
        <row r="1703">
          <cell r="A1703" t="str">
            <v>6726803</v>
          </cell>
          <cell r="B1703" t="str">
            <v>1129474</v>
          </cell>
          <cell r="C1703" t="str">
            <v>6360-560-131</v>
          </cell>
          <cell r="D1703" t="str">
            <v>6360</v>
          </cell>
          <cell r="E1703" t="str">
            <v>6360 SPRNGFLD OPR X300  STX TAC BLK RH</v>
          </cell>
          <cell r="F1703" t="str">
            <v>DG-HOLSTER</v>
          </cell>
          <cell r="G1703" t="str">
            <v>1420-210-FG</v>
          </cell>
          <cell r="H1703" t="str">
            <v>R</v>
          </cell>
          <cell r="I1703" t="str">
            <v>06/10/2024</v>
          </cell>
          <cell r="J1703" t="str">
            <v>06/10/2024</v>
          </cell>
          <cell r="K1703" t="str">
            <v>06/24/2024</v>
          </cell>
          <cell r="L1703">
            <v>30</v>
          </cell>
          <cell r="M1703" t="str">
            <v>6/13/2024 10:37:08 AM</v>
          </cell>
          <cell r="N1703" t="str">
            <v>26</v>
          </cell>
          <cell r="O1703">
            <v>30</v>
          </cell>
          <cell r="P1703">
            <v>8.68</v>
          </cell>
        </row>
        <row r="1704">
          <cell r="A1704" t="str">
            <v>6726835</v>
          </cell>
          <cell r="B1704" t="str">
            <v>1127109</v>
          </cell>
          <cell r="C1704" t="str">
            <v>6360-148-491</v>
          </cell>
          <cell r="D1704" t="str">
            <v>6360</v>
          </cell>
          <cell r="E1704" t="str">
            <v>6360 SPRNGFLD XD 9/40/45 STX HGS BLK RH</v>
          </cell>
          <cell r="F1704" t="str">
            <v>DG-HOLSTER</v>
          </cell>
          <cell r="G1704" t="str">
            <v>1420-210-FG</v>
          </cell>
          <cell r="H1704" t="str">
            <v>R</v>
          </cell>
          <cell r="I1704" t="str">
            <v>06/10/2024</v>
          </cell>
          <cell r="J1704" t="str">
            <v>06/10/2024</v>
          </cell>
          <cell r="K1704" t="str">
            <v>06/24/2024</v>
          </cell>
          <cell r="L1704">
            <v>5</v>
          </cell>
          <cell r="M1704" t="str">
            <v>6/13/2024 10:48:42 AM</v>
          </cell>
          <cell r="N1704" t="str">
            <v>26</v>
          </cell>
          <cell r="O1704">
            <v>5</v>
          </cell>
          <cell r="P1704">
            <v>1.27</v>
          </cell>
        </row>
        <row r="1705">
          <cell r="A1705" t="str">
            <v>6726836</v>
          </cell>
          <cell r="B1705" t="str">
            <v>1127472</v>
          </cell>
          <cell r="C1705" t="str">
            <v>6360-149-131</v>
          </cell>
          <cell r="D1705" t="str">
            <v>6360</v>
          </cell>
          <cell r="E1705" t="str">
            <v>6360 SPRNGFLD XD 9/40/45 STX TAC BLK RH</v>
          </cell>
          <cell r="F1705" t="str">
            <v>DG-HOLSTER</v>
          </cell>
          <cell r="G1705" t="str">
            <v>1420-210-FG</v>
          </cell>
          <cell r="H1705" t="str">
            <v>R</v>
          </cell>
          <cell r="I1705" t="str">
            <v>06/10/2024</v>
          </cell>
          <cell r="J1705" t="str">
            <v>06/10/2024</v>
          </cell>
          <cell r="K1705" t="str">
            <v>06/24/2024</v>
          </cell>
          <cell r="L1705">
            <v>10</v>
          </cell>
          <cell r="M1705" t="str">
            <v>6/13/2024 10:37:08 AM</v>
          </cell>
          <cell r="N1705" t="str">
            <v>26</v>
          </cell>
          <cell r="O1705">
            <v>10</v>
          </cell>
          <cell r="P1705">
            <v>2.34</v>
          </cell>
        </row>
        <row r="1706">
          <cell r="A1706" t="str">
            <v>6726863</v>
          </cell>
          <cell r="B1706" t="str">
            <v>1164848</v>
          </cell>
          <cell r="C1706" t="str">
            <v>6360-3842-131</v>
          </cell>
          <cell r="D1706" t="str">
            <v>6360</v>
          </cell>
          <cell r="E1706" t="str">
            <v>6360 WALTHER P99Q X300 STX TAC BLK  RH</v>
          </cell>
          <cell r="F1706" t="str">
            <v>DG-HOLSTER</v>
          </cell>
          <cell r="G1706" t="str">
            <v>1420-210-FG</v>
          </cell>
          <cell r="H1706" t="str">
            <v>R</v>
          </cell>
          <cell r="I1706" t="str">
            <v>06/10/2024</v>
          </cell>
          <cell r="J1706" t="str">
            <v>06/10/2024</v>
          </cell>
          <cell r="K1706" t="str">
            <v>06/24/2024</v>
          </cell>
          <cell r="L1706">
            <v>5</v>
          </cell>
          <cell r="M1706" t="str">
            <v>6/13/2024 10:37:08 AM</v>
          </cell>
          <cell r="N1706" t="str">
            <v>26</v>
          </cell>
          <cell r="O1706">
            <v>5</v>
          </cell>
          <cell r="P1706">
            <v>1.87</v>
          </cell>
        </row>
        <row r="1707">
          <cell r="A1707" t="str">
            <v>6723863</v>
          </cell>
          <cell r="B1707" t="str">
            <v>1332644</v>
          </cell>
          <cell r="C1707" t="str">
            <v>6360RDS-8327-481</v>
          </cell>
          <cell r="D1707" t="str">
            <v>6360RDS</v>
          </cell>
          <cell r="E1707" t="str">
            <v>6360RDS GLOCK 17MOS TLR-7 STX BSK BLK RH</v>
          </cell>
          <cell r="F1707" t="str">
            <v>DG-HOLSTER-RDS-DTC</v>
          </cell>
          <cell r="G1707" t="str">
            <v>1420-210-FG</v>
          </cell>
          <cell r="H1707" t="str">
            <v>R</v>
          </cell>
          <cell r="I1707" t="str">
            <v>06/03/2024</v>
          </cell>
          <cell r="J1707" t="str">
            <v>06/03/2024</v>
          </cell>
          <cell r="K1707" t="str">
            <v>06/24/2024</v>
          </cell>
          <cell r="L1707">
            <v>5</v>
          </cell>
          <cell r="M1707" t="str">
            <v>6/13/2024 11:43:03 AM</v>
          </cell>
          <cell r="N1707" t="str">
            <v>26</v>
          </cell>
          <cell r="O1707">
            <v>5</v>
          </cell>
          <cell r="P1707">
            <v>2.17</v>
          </cell>
        </row>
        <row r="1708">
          <cell r="A1708" t="str">
            <v>6727167</v>
          </cell>
          <cell r="B1708" t="str">
            <v>1204674</v>
          </cell>
          <cell r="C1708" t="str">
            <v>6360RDS-832-781</v>
          </cell>
          <cell r="D1708" t="str">
            <v>6360RDS</v>
          </cell>
          <cell r="E1708" t="str">
            <v>6360RDS GLOCK 17MOS X300U COR BLK RH</v>
          </cell>
          <cell r="F1708" t="str">
            <v>DG-HOLSTER-RDS-DTC</v>
          </cell>
          <cell r="G1708" t="str">
            <v>1420-210-FG</v>
          </cell>
          <cell r="H1708" t="str">
            <v>F</v>
          </cell>
          <cell r="I1708" t="str">
            <v>06/10/2024</v>
          </cell>
          <cell r="J1708" t="str">
            <v>06/10/2024</v>
          </cell>
          <cell r="K1708" t="str">
            <v>06/24/2024</v>
          </cell>
          <cell r="L1708">
            <v>5</v>
          </cell>
          <cell r="M1708" t="str">
            <v/>
          </cell>
          <cell r="N1708" t="str">
            <v>26</v>
          </cell>
          <cell r="O1708">
            <v>5</v>
          </cell>
          <cell r="P1708">
            <v>2.17</v>
          </cell>
        </row>
        <row r="1709">
          <cell r="A1709" t="str">
            <v>6723822</v>
          </cell>
          <cell r="B1709" t="str">
            <v>1204670</v>
          </cell>
          <cell r="C1709" t="str">
            <v>6360RDS-832-701</v>
          </cell>
          <cell r="D1709" t="str">
            <v>6360RDS</v>
          </cell>
          <cell r="E1709" t="str">
            <v>6360RDS GLOCK 17MOS X300U COR MLTCM RH</v>
          </cell>
          <cell r="F1709" t="str">
            <v>DG-HOLSTER-RDS-DTC</v>
          </cell>
          <cell r="G1709" t="str">
            <v>1420-210-FG</v>
          </cell>
          <cell r="H1709" t="str">
            <v>R</v>
          </cell>
          <cell r="I1709" t="str">
            <v>06/03/2024</v>
          </cell>
          <cell r="J1709" t="str">
            <v>06/03/2024</v>
          </cell>
          <cell r="K1709" t="str">
            <v>06/24/2024</v>
          </cell>
          <cell r="L1709">
            <v>15</v>
          </cell>
          <cell r="M1709" t="str">
            <v>6/13/2024 11:46:14 AM</v>
          </cell>
          <cell r="N1709" t="str">
            <v>26</v>
          </cell>
          <cell r="O1709">
            <v>15</v>
          </cell>
          <cell r="P1709">
            <v>6.5</v>
          </cell>
        </row>
        <row r="1710">
          <cell r="A1710" t="str">
            <v>6728192</v>
          </cell>
          <cell r="B1710" t="str">
            <v>1204670</v>
          </cell>
          <cell r="C1710" t="str">
            <v>6360RDS-832-701</v>
          </cell>
          <cell r="D1710" t="str">
            <v>6360RDS</v>
          </cell>
          <cell r="E1710" t="str">
            <v>6360RDS GLOCK 17MOS X300U COR MLTCM RH</v>
          </cell>
          <cell r="F1710" t="str">
            <v>DG-HOLSTER-RDS-DTC</v>
          </cell>
          <cell r="G1710" t="str">
            <v>1420-210-FG</v>
          </cell>
          <cell r="H1710" t="str">
            <v>R</v>
          </cell>
          <cell r="I1710" t="str">
            <v>06/11/2024</v>
          </cell>
          <cell r="J1710" t="str">
            <v>06/12/2024</v>
          </cell>
          <cell r="K1710" t="str">
            <v>06/24/2024</v>
          </cell>
          <cell r="L1710">
            <v>15</v>
          </cell>
          <cell r="M1710" t="str">
            <v>6/13/2024 11:46:14 AM</v>
          </cell>
          <cell r="N1710" t="str">
            <v>26</v>
          </cell>
          <cell r="O1710">
            <v>15</v>
          </cell>
          <cell r="P1710">
            <v>6.5</v>
          </cell>
        </row>
        <row r="1711">
          <cell r="A1711" t="str">
            <v>6727152</v>
          </cell>
          <cell r="B1711" t="str">
            <v>1201631</v>
          </cell>
          <cell r="C1711" t="str">
            <v>6360RDS-832-482</v>
          </cell>
          <cell r="D1711" t="str">
            <v>6360RDS</v>
          </cell>
          <cell r="E1711" t="str">
            <v>6360RDS GLOCK 17MOS X300U STX BSK BLK LH</v>
          </cell>
          <cell r="F1711" t="str">
            <v>DG-HOLSTER-RDS-DTC</v>
          </cell>
          <cell r="G1711" t="str">
            <v>1420-210-FG</v>
          </cell>
          <cell r="H1711" t="str">
            <v>R</v>
          </cell>
          <cell r="I1711" t="str">
            <v>06/10/2024</v>
          </cell>
          <cell r="J1711" t="str">
            <v>06/10/2024</v>
          </cell>
          <cell r="K1711" t="str">
            <v>06/24/2024</v>
          </cell>
          <cell r="L1711">
            <v>15</v>
          </cell>
          <cell r="M1711" t="str">
            <v>6/13/2024 11:39:16 AM</v>
          </cell>
          <cell r="N1711" t="str">
            <v>26</v>
          </cell>
          <cell r="O1711">
            <v>15</v>
          </cell>
          <cell r="P1711">
            <v>6.5</v>
          </cell>
        </row>
        <row r="1712">
          <cell r="A1712" t="str">
            <v>6727671</v>
          </cell>
          <cell r="B1712" t="str">
            <v>1201630</v>
          </cell>
          <cell r="C1712" t="str">
            <v>6360RDS-832-481</v>
          </cell>
          <cell r="D1712" t="str">
            <v>6360RDS</v>
          </cell>
          <cell r="E1712" t="str">
            <v>6360RDS GLOCK 17MOS X300U STX BSK BLK RH</v>
          </cell>
          <cell r="F1712" t="str">
            <v>DG-HOLSTER-RDS-DTC</v>
          </cell>
          <cell r="G1712" t="str">
            <v>1420-210-FG</v>
          </cell>
          <cell r="H1712" t="str">
            <v>R</v>
          </cell>
          <cell r="I1712" t="str">
            <v>06/11/2024</v>
          </cell>
          <cell r="J1712" t="str">
            <v>06/11/2024</v>
          </cell>
          <cell r="K1712" t="str">
            <v>06/24/2024</v>
          </cell>
          <cell r="L1712">
            <v>100</v>
          </cell>
          <cell r="M1712" t="str">
            <v>6/13/2024 11:39:52 AM</v>
          </cell>
          <cell r="N1712" t="str">
            <v>26</v>
          </cell>
          <cell r="O1712">
            <v>100</v>
          </cell>
          <cell r="P1712">
            <v>43.3</v>
          </cell>
        </row>
        <row r="1713">
          <cell r="A1713" t="str">
            <v>6728268</v>
          </cell>
          <cell r="B1713" t="str">
            <v>1200911</v>
          </cell>
          <cell r="C1713" t="str">
            <v>6360RDS-832-411</v>
          </cell>
          <cell r="D1713" t="str">
            <v>6360RDS</v>
          </cell>
          <cell r="E1713" t="str">
            <v>6360RDS GLOCK 17MOS X300U STX PLN BLK RH</v>
          </cell>
          <cell r="F1713" t="str">
            <v>DG-HOLSTER-RDS-DTC</v>
          </cell>
          <cell r="G1713" t="str">
            <v>1420-210-FG</v>
          </cell>
          <cell r="H1713" t="str">
            <v>R</v>
          </cell>
          <cell r="I1713" t="str">
            <v>06/11/2024</v>
          </cell>
          <cell r="J1713" t="str">
            <v>06/14/2024</v>
          </cell>
          <cell r="K1713" t="str">
            <v>06/24/2024</v>
          </cell>
          <cell r="L1713">
            <v>50</v>
          </cell>
          <cell r="M1713" t="str">
            <v>6/13/2024 11:35:38 AM</v>
          </cell>
          <cell r="N1713" t="str">
            <v>26</v>
          </cell>
          <cell r="O1713">
            <v>50</v>
          </cell>
          <cell r="P1713">
            <v>21.65</v>
          </cell>
        </row>
        <row r="1714">
          <cell r="A1714" t="str">
            <v>6728269</v>
          </cell>
          <cell r="B1714" t="str">
            <v>1200911</v>
          </cell>
          <cell r="C1714" t="str">
            <v>6360RDS-832-411</v>
          </cell>
          <cell r="D1714" t="str">
            <v>6360RDS</v>
          </cell>
          <cell r="E1714" t="str">
            <v>6360RDS GLOCK 17MOS X300U STX PLN BLK RH</v>
          </cell>
          <cell r="F1714" t="str">
            <v>DG-HOLSTER-RDS-DTC</v>
          </cell>
          <cell r="G1714" t="str">
            <v>1420-210-FG</v>
          </cell>
          <cell r="H1714" t="str">
            <v>R</v>
          </cell>
          <cell r="I1714" t="str">
            <v>06/11/2024</v>
          </cell>
          <cell r="J1714" t="str">
            <v>06/17/2024</v>
          </cell>
          <cell r="K1714" t="str">
            <v>06/24/2024</v>
          </cell>
          <cell r="L1714">
            <v>50</v>
          </cell>
          <cell r="M1714" t="str">
            <v>6/13/2024 11:35:38 AM</v>
          </cell>
          <cell r="N1714" t="str">
            <v>26</v>
          </cell>
          <cell r="O1714">
            <v>50</v>
          </cell>
          <cell r="P1714">
            <v>21.65</v>
          </cell>
        </row>
        <row r="1715">
          <cell r="A1715" t="str">
            <v>6723731</v>
          </cell>
          <cell r="B1715" t="str">
            <v>1200316</v>
          </cell>
          <cell r="C1715" t="str">
            <v>6360RDS-832-132</v>
          </cell>
          <cell r="D1715" t="str">
            <v>6360RDS</v>
          </cell>
          <cell r="E1715" t="str">
            <v>6360RDS GLOCK 17MOS X300U STX TAC BLK LH</v>
          </cell>
          <cell r="F1715" t="str">
            <v>DG-HOLSTER-RDS-DTC</v>
          </cell>
          <cell r="G1715" t="str">
            <v>1420-210-FG</v>
          </cell>
          <cell r="H1715" t="str">
            <v>R</v>
          </cell>
          <cell r="I1715" t="str">
            <v>06/03/2024</v>
          </cell>
          <cell r="J1715" t="str">
            <v>06/03/2024</v>
          </cell>
          <cell r="K1715" t="str">
            <v>06/24/2024</v>
          </cell>
          <cell r="L1715">
            <v>21</v>
          </cell>
          <cell r="M1715" t="str">
            <v>6/13/2024 11:33:39 AM</v>
          </cell>
          <cell r="N1715" t="str">
            <v>26</v>
          </cell>
          <cell r="O1715">
            <v>21</v>
          </cell>
          <cell r="P1715">
            <v>9.09</v>
          </cell>
        </row>
        <row r="1716">
          <cell r="A1716" t="str">
            <v>6727129</v>
          </cell>
          <cell r="B1716" t="str">
            <v>1200316</v>
          </cell>
          <cell r="C1716" t="str">
            <v>6360RDS-832-132</v>
          </cell>
          <cell r="D1716" t="str">
            <v>6360RDS</v>
          </cell>
          <cell r="E1716" t="str">
            <v>6360RDS GLOCK 17MOS X300U STX TAC BLK LH</v>
          </cell>
          <cell r="F1716" t="str">
            <v>DG-HOLSTER-RDS-DTC</v>
          </cell>
          <cell r="G1716" t="str">
            <v>1420-210-FG</v>
          </cell>
          <cell r="H1716" t="str">
            <v>R</v>
          </cell>
          <cell r="I1716" t="str">
            <v>06/10/2024</v>
          </cell>
          <cell r="J1716" t="str">
            <v>06/10/2024</v>
          </cell>
          <cell r="K1716" t="str">
            <v>06/24/2024</v>
          </cell>
          <cell r="L1716">
            <v>20</v>
          </cell>
          <cell r="M1716" t="str">
            <v>6/13/2024 11:33:39 AM</v>
          </cell>
          <cell r="N1716" t="str">
            <v>26</v>
          </cell>
          <cell r="O1716">
            <v>20</v>
          </cell>
          <cell r="P1716">
            <v>8.66</v>
          </cell>
        </row>
        <row r="1717">
          <cell r="A1717" t="str">
            <v>6727153</v>
          </cell>
          <cell r="B1717" t="str">
            <v>1201821</v>
          </cell>
          <cell r="C1717" t="str">
            <v>6360RDS-832-561</v>
          </cell>
          <cell r="D1717" t="str">
            <v>6360RDS</v>
          </cell>
          <cell r="E1717" t="str">
            <v>6360RDS GLOCK 17MOS X300U STX TAC ODG RH</v>
          </cell>
          <cell r="F1717" t="str">
            <v>DG-HOLSTER-RDS-DTC</v>
          </cell>
          <cell r="G1717" t="str">
            <v>1420-210-FG</v>
          </cell>
          <cell r="H1717" t="str">
            <v>R</v>
          </cell>
          <cell r="I1717" t="str">
            <v>06/10/2024</v>
          </cell>
          <cell r="J1717" t="str">
            <v>06/10/2024</v>
          </cell>
          <cell r="K1717" t="str">
            <v>06/24/2024</v>
          </cell>
          <cell r="L1717">
            <v>5</v>
          </cell>
          <cell r="M1717" t="str">
            <v>6/13/2024 11:38:13 AM</v>
          </cell>
          <cell r="N1717" t="str">
            <v>26</v>
          </cell>
          <cell r="O1717">
            <v>5</v>
          </cell>
          <cell r="P1717">
            <v>2.17</v>
          </cell>
        </row>
        <row r="1718">
          <cell r="A1718" t="str">
            <v>6727194</v>
          </cell>
          <cell r="B1718" t="str">
            <v>1333008</v>
          </cell>
          <cell r="C1718" t="str">
            <v>6360RDS-28327-781</v>
          </cell>
          <cell r="D1718" t="str">
            <v>6360RDS</v>
          </cell>
          <cell r="E1718" t="str">
            <v>6360RDS GLOCK 19MOS TLR-7 CORD BLK RH</v>
          </cell>
          <cell r="F1718" t="str">
            <v>DG-HOLSTER-RDS-DTC</v>
          </cell>
          <cell r="G1718" t="str">
            <v>1420-210-FG</v>
          </cell>
          <cell r="H1718" t="str">
            <v>R</v>
          </cell>
          <cell r="I1718" t="str">
            <v>06/10/2024</v>
          </cell>
          <cell r="J1718" t="str">
            <v>06/10/2024</v>
          </cell>
          <cell r="K1718" t="str">
            <v>06/24/2024</v>
          </cell>
          <cell r="L1718">
            <v>5</v>
          </cell>
          <cell r="M1718" t="str">
            <v>6/13/2024 11:22:56 AM</v>
          </cell>
          <cell r="N1718" t="str">
            <v>26</v>
          </cell>
          <cell r="O1718">
            <v>5</v>
          </cell>
          <cell r="P1718">
            <v>2</v>
          </cell>
        </row>
        <row r="1719">
          <cell r="A1719" t="str">
            <v>6727140</v>
          </cell>
          <cell r="B1719" t="str">
            <v>1333006</v>
          </cell>
          <cell r="C1719" t="str">
            <v>6360RDS-28327-481</v>
          </cell>
          <cell r="D1719" t="str">
            <v>6360RDS</v>
          </cell>
          <cell r="E1719" t="str">
            <v>6360RDS GLOCK 19MOS TLR-7 STX BSK BLK RH</v>
          </cell>
          <cell r="F1719" t="str">
            <v>DG-HOLSTER-RDS-DTC</v>
          </cell>
          <cell r="G1719" t="str">
            <v>1420-210-FG</v>
          </cell>
          <cell r="H1719" t="str">
            <v>R</v>
          </cell>
          <cell r="I1719" t="str">
            <v>06/10/2024</v>
          </cell>
          <cell r="J1719" t="str">
            <v>06/10/2024</v>
          </cell>
          <cell r="K1719" t="str">
            <v>06/24/2024</v>
          </cell>
          <cell r="L1719">
            <v>25</v>
          </cell>
          <cell r="M1719" t="str">
            <v>6/13/2024 11:14:09 AM</v>
          </cell>
          <cell r="N1719" t="str">
            <v>26</v>
          </cell>
          <cell r="O1719">
            <v>25</v>
          </cell>
          <cell r="P1719">
            <v>10.83</v>
          </cell>
        </row>
        <row r="1720">
          <cell r="A1720" t="str">
            <v>6727169</v>
          </cell>
          <cell r="B1720" t="str">
            <v>1206334</v>
          </cell>
          <cell r="C1720" t="str">
            <v>6360RDS-2832-731</v>
          </cell>
          <cell r="D1720" t="str">
            <v>6360RDS</v>
          </cell>
          <cell r="E1720" t="str">
            <v>6360RDS GLOCK 19MOS X300U COR CAM GRN RH</v>
          </cell>
          <cell r="F1720" t="str">
            <v>DG-HOLSTER-RDS-DTC</v>
          </cell>
          <cell r="G1720" t="str">
            <v>1420-210-FG</v>
          </cell>
          <cell r="H1720" t="str">
            <v>R</v>
          </cell>
          <cell r="I1720" t="str">
            <v>06/10/2024</v>
          </cell>
          <cell r="J1720" t="str">
            <v>06/10/2024</v>
          </cell>
          <cell r="K1720" t="str">
            <v>06/24/2024</v>
          </cell>
          <cell r="L1720">
            <v>5</v>
          </cell>
          <cell r="M1720" t="str">
            <v>6/13/2024 10:55:31 AM</v>
          </cell>
          <cell r="N1720" t="str">
            <v>26</v>
          </cell>
          <cell r="O1720">
            <v>5</v>
          </cell>
          <cell r="P1720">
            <v>2</v>
          </cell>
        </row>
        <row r="1721">
          <cell r="A1721" t="str">
            <v>6723751</v>
          </cell>
          <cell r="B1721" t="str">
            <v>1204136</v>
          </cell>
          <cell r="C1721" t="str">
            <v>6360RDS-2832-481</v>
          </cell>
          <cell r="D1721" t="str">
            <v>6360RDS</v>
          </cell>
          <cell r="E1721" t="str">
            <v>6360RDS GLOCK 19MOS X300U STX BSK BLK RH</v>
          </cell>
          <cell r="F1721" t="str">
            <v>DG-HOLSTER-RDS-DTC</v>
          </cell>
          <cell r="G1721" t="str">
            <v>1420-210-FG</v>
          </cell>
          <cell r="H1721" t="str">
            <v>R</v>
          </cell>
          <cell r="I1721" t="str">
            <v>06/03/2024</v>
          </cell>
          <cell r="J1721" t="str">
            <v>06/03/2024</v>
          </cell>
          <cell r="K1721" t="str">
            <v>06/24/2024</v>
          </cell>
          <cell r="L1721">
            <v>50</v>
          </cell>
          <cell r="M1721" t="str">
            <v>6/13/2024 10:48:05 AM</v>
          </cell>
          <cell r="N1721" t="str">
            <v>26</v>
          </cell>
          <cell r="O1721">
            <v>50</v>
          </cell>
          <cell r="P1721">
            <v>20</v>
          </cell>
        </row>
        <row r="1722">
          <cell r="A1722" t="str">
            <v>6727155</v>
          </cell>
          <cell r="B1722" t="str">
            <v>1204138</v>
          </cell>
          <cell r="C1722" t="str">
            <v>6360RDS-2832-491</v>
          </cell>
          <cell r="D1722" t="str">
            <v>6360RDS</v>
          </cell>
          <cell r="E1722" t="str">
            <v>6360RDS GLOCK 19MOS X300U STX HGS BLK RH</v>
          </cell>
          <cell r="F1722" t="str">
            <v>DG-HOLSTER-RDS-DTC</v>
          </cell>
          <cell r="G1722" t="str">
            <v>1420-210-FG</v>
          </cell>
          <cell r="H1722" t="str">
            <v>R</v>
          </cell>
          <cell r="I1722" t="str">
            <v>06/10/2024</v>
          </cell>
          <cell r="J1722" t="str">
            <v>06/10/2024</v>
          </cell>
          <cell r="K1722" t="str">
            <v>06/24/2024</v>
          </cell>
          <cell r="L1722">
            <v>30</v>
          </cell>
          <cell r="M1722" t="str">
            <v>6/13/2024 10:49:24 AM</v>
          </cell>
          <cell r="N1722" t="str">
            <v>26</v>
          </cell>
          <cell r="O1722">
            <v>30</v>
          </cell>
          <cell r="P1722">
            <v>12</v>
          </cell>
        </row>
        <row r="1723">
          <cell r="A1723" t="str">
            <v>6728182</v>
          </cell>
          <cell r="B1723" t="str">
            <v>1204135</v>
          </cell>
          <cell r="C1723" t="str">
            <v>6360RDS-2832-412</v>
          </cell>
          <cell r="D1723" t="str">
            <v>6360RDS</v>
          </cell>
          <cell r="E1723" t="str">
            <v>6360RDS GLOCK 19MOS X300U STX PLN BLK LH</v>
          </cell>
          <cell r="F1723" t="str">
            <v>DG-HOLSTER-RDS-DTC</v>
          </cell>
          <cell r="G1723" t="str">
            <v>1420-210-FG</v>
          </cell>
          <cell r="H1723" t="str">
            <v>R</v>
          </cell>
          <cell r="I1723" t="str">
            <v>06/11/2024</v>
          </cell>
          <cell r="J1723" t="str">
            <v>06/13/2024</v>
          </cell>
          <cell r="K1723" t="str">
            <v>06/24/2024</v>
          </cell>
          <cell r="L1723">
            <v>45</v>
          </cell>
          <cell r="M1723" t="str">
            <v>6/13/2024 10:40:25 AM</v>
          </cell>
          <cell r="N1723" t="str">
            <v>26</v>
          </cell>
          <cell r="O1723">
            <v>45</v>
          </cell>
          <cell r="P1723">
            <v>18</v>
          </cell>
        </row>
        <row r="1724">
          <cell r="A1724" t="str">
            <v>6723744</v>
          </cell>
          <cell r="B1724" t="str">
            <v>1204132</v>
          </cell>
          <cell r="C1724" t="str">
            <v>6360RDS-2832-131</v>
          </cell>
          <cell r="D1724" t="str">
            <v>6360RDS</v>
          </cell>
          <cell r="E1724" t="str">
            <v>6360RDS GLOCK 19MOS X300U STX TAC BLK RH</v>
          </cell>
          <cell r="F1724" t="str">
            <v>DG-HOLSTER-RDS-DTC</v>
          </cell>
          <cell r="G1724" t="str">
            <v>1420-210-FG</v>
          </cell>
          <cell r="H1724" t="str">
            <v>R</v>
          </cell>
          <cell r="I1724" t="str">
            <v>06/03/2024</v>
          </cell>
          <cell r="J1724" t="str">
            <v>06/03/2024</v>
          </cell>
          <cell r="K1724" t="str">
            <v>06/24/2024</v>
          </cell>
          <cell r="L1724">
            <v>100</v>
          </cell>
          <cell r="M1724" t="str">
            <v>6/13/2024 10:37:08 AM</v>
          </cell>
          <cell r="N1724" t="str">
            <v>26</v>
          </cell>
          <cell r="O1724">
            <v>100</v>
          </cell>
          <cell r="P1724">
            <v>40</v>
          </cell>
        </row>
        <row r="1725">
          <cell r="A1725" t="str">
            <v>6723745</v>
          </cell>
          <cell r="B1725" t="str">
            <v>1204132</v>
          </cell>
          <cell r="C1725" t="str">
            <v>6360RDS-2832-131</v>
          </cell>
          <cell r="D1725" t="str">
            <v>6360RDS</v>
          </cell>
          <cell r="E1725" t="str">
            <v>6360RDS GLOCK 19MOS X300U STX TAC BLK RH</v>
          </cell>
          <cell r="F1725" t="str">
            <v>DG-HOLSTER-RDS-DTC</v>
          </cell>
          <cell r="G1725" t="str">
            <v>1420-210-FG</v>
          </cell>
          <cell r="H1725" t="str">
            <v>R</v>
          </cell>
          <cell r="I1725" t="str">
            <v>06/03/2024</v>
          </cell>
          <cell r="J1725" t="str">
            <v>06/03/2024</v>
          </cell>
          <cell r="K1725" t="str">
            <v>06/24/2024</v>
          </cell>
          <cell r="L1725">
            <v>100</v>
          </cell>
          <cell r="M1725" t="str">
            <v>6/13/2024 10:37:08 AM</v>
          </cell>
          <cell r="N1725" t="str">
            <v>26</v>
          </cell>
          <cell r="O1725">
            <v>100</v>
          </cell>
          <cell r="P1725">
            <v>40</v>
          </cell>
        </row>
        <row r="1726">
          <cell r="A1726" t="str">
            <v>6727131</v>
          </cell>
          <cell r="B1726" t="str">
            <v>1204132</v>
          </cell>
          <cell r="C1726" t="str">
            <v>6360RDS-2832-131</v>
          </cell>
          <cell r="D1726" t="str">
            <v>6360RDS</v>
          </cell>
          <cell r="E1726" t="str">
            <v>6360RDS GLOCK 19MOS X300U STX TAC BLK RH</v>
          </cell>
          <cell r="F1726" t="str">
            <v>DG-HOLSTER-RDS-DTC</v>
          </cell>
          <cell r="G1726" t="str">
            <v>1420-210-FG</v>
          </cell>
          <cell r="H1726" t="str">
            <v>R</v>
          </cell>
          <cell r="I1726" t="str">
            <v>06/10/2024</v>
          </cell>
          <cell r="J1726" t="str">
            <v>06/10/2024</v>
          </cell>
          <cell r="K1726" t="str">
            <v>06/24/2024</v>
          </cell>
          <cell r="L1726">
            <v>100</v>
          </cell>
          <cell r="M1726" t="str">
            <v>6/13/2024 10:37:08 AM</v>
          </cell>
          <cell r="N1726" t="str">
            <v>26</v>
          </cell>
          <cell r="O1726">
            <v>100</v>
          </cell>
          <cell r="P1726">
            <v>40</v>
          </cell>
        </row>
        <row r="1727">
          <cell r="A1727" t="str">
            <v>6728133</v>
          </cell>
          <cell r="B1727" t="str">
            <v>1201574</v>
          </cell>
          <cell r="C1727" t="str">
            <v>6360RDS-6832-411</v>
          </cell>
          <cell r="D1727" t="str">
            <v>6360RDS</v>
          </cell>
          <cell r="E1727" t="str">
            <v>6360RDS GLOCK 34/35 X300U STX PLN BLK RH</v>
          </cell>
          <cell r="F1727" t="str">
            <v>DG-HOLSTER-RDS</v>
          </cell>
          <cell r="G1727" t="str">
            <v>1420-210-FG</v>
          </cell>
          <cell r="H1727" t="str">
            <v>R</v>
          </cell>
          <cell r="I1727" t="str">
            <v>06/11/2024</v>
          </cell>
          <cell r="J1727" t="str">
            <v>06/14/2024</v>
          </cell>
          <cell r="K1727" t="str">
            <v>06/24/2024</v>
          </cell>
          <cell r="L1727">
            <v>5</v>
          </cell>
          <cell r="M1727" t="str">
            <v>6/13/2024 11:35:38 AM</v>
          </cell>
          <cell r="N1727" t="str">
            <v>26</v>
          </cell>
          <cell r="O1727">
            <v>5</v>
          </cell>
          <cell r="P1727">
            <v>2</v>
          </cell>
        </row>
        <row r="1728">
          <cell r="A1728" t="str">
            <v>6727053</v>
          </cell>
          <cell r="B1728" t="str">
            <v>1325743</v>
          </cell>
          <cell r="C1728" t="str">
            <v>6360RDS-8972-412</v>
          </cell>
          <cell r="D1728" t="str">
            <v>6360RDS</v>
          </cell>
          <cell r="E1728" t="str">
            <v>6360RDS GLOCK 47 X300U STX PLN BLK LH</v>
          </cell>
          <cell r="F1728" t="str">
            <v>DG-HOLSTER-RDS</v>
          </cell>
          <cell r="G1728" t="str">
            <v>1420-210-FG</v>
          </cell>
          <cell r="H1728" t="str">
            <v>R</v>
          </cell>
          <cell r="I1728" t="str">
            <v>06/10/2024</v>
          </cell>
          <cell r="J1728" t="str">
            <v>06/10/2024</v>
          </cell>
          <cell r="K1728" t="str">
            <v>06/24/2024</v>
          </cell>
          <cell r="L1728">
            <v>10</v>
          </cell>
          <cell r="M1728" t="str">
            <v>6/13/2024 10:40:25 AM</v>
          </cell>
          <cell r="N1728" t="str">
            <v>26</v>
          </cell>
          <cell r="O1728">
            <v>10</v>
          </cell>
          <cell r="P1728">
            <v>4</v>
          </cell>
        </row>
        <row r="1729">
          <cell r="A1729" t="str">
            <v>6727659</v>
          </cell>
          <cell r="B1729" t="str">
            <v>1325741</v>
          </cell>
          <cell r="C1729" t="str">
            <v>6360RDS-8972-132</v>
          </cell>
          <cell r="D1729" t="str">
            <v>6360RDS</v>
          </cell>
          <cell r="E1729" t="str">
            <v>6360RDS GLOCK 47 X300U STX TAC BLK LH</v>
          </cell>
          <cell r="F1729" t="str">
            <v>DG-HOLSTER-RDS</v>
          </cell>
          <cell r="G1729" t="str">
            <v>1420-210-FG</v>
          </cell>
          <cell r="H1729" t="str">
            <v>F</v>
          </cell>
          <cell r="I1729" t="str">
            <v>06/11/2024</v>
          </cell>
          <cell r="J1729" t="str">
            <v>06/11/2024</v>
          </cell>
          <cell r="K1729" t="str">
            <v>06/24/2024</v>
          </cell>
          <cell r="L1729">
            <v>5</v>
          </cell>
          <cell r="M1729" t="str">
            <v/>
          </cell>
          <cell r="N1729" t="str">
            <v>26</v>
          </cell>
          <cell r="O1729">
            <v>5</v>
          </cell>
          <cell r="P1729">
            <v>2</v>
          </cell>
        </row>
        <row r="1730">
          <cell r="A1730" t="str">
            <v>6727670</v>
          </cell>
          <cell r="B1730" t="str">
            <v>1325740</v>
          </cell>
          <cell r="C1730" t="str">
            <v>6360RDS-8972-131</v>
          </cell>
          <cell r="D1730" t="str">
            <v>6360RDS</v>
          </cell>
          <cell r="E1730" t="str">
            <v>6360RDS GLOCK 47 X300U STX TAC BLK RH</v>
          </cell>
          <cell r="F1730" t="str">
            <v>DG-HOLSTER-RDS</v>
          </cell>
          <cell r="G1730" t="str">
            <v>1420-210-FG</v>
          </cell>
          <cell r="H1730" t="str">
            <v>F</v>
          </cell>
          <cell r="I1730" t="str">
            <v>06/11/2024</v>
          </cell>
          <cell r="J1730" t="str">
            <v>06/11/2024</v>
          </cell>
          <cell r="K1730" t="str">
            <v>06/24/2024</v>
          </cell>
          <cell r="L1730">
            <v>40</v>
          </cell>
          <cell r="M1730" t="str">
            <v/>
          </cell>
          <cell r="N1730" t="str">
            <v>26</v>
          </cell>
          <cell r="O1730">
            <v>40</v>
          </cell>
          <cell r="P1730">
            <v>16</v>
          </cell>
        </row>
        <row r="1731">
          <cell r="A1731" t="str">
            <v>6727107</v>
          </cell>
          <cell r="B1731" t="str">
            <v>1334653</v>
          </cell>
          <cell r="C1731" t="str">
            <v>6360RDS-5932-701</v>
          </cell>
          <cell r="D1731" t="str">
            <v>6360RDS</v>
          </cell>
          <cell r="E1731" t="str">
            <v>6360RDS H&amp;K VP9 X300U CORD MLTCM RH</v>
          </cell>
          <cell r="F1731" t="str">
            <v>DG-HOLSTER-RDS</v>
          </cell>
          <cell r="G1731" t="str">
            <v>1420-210-FG</v>
          </cell>
          <cell r="H1731" t="str">
            <v>R</v>
          </cell>
          <cell r="I1731" t="str">
            <v>06/10/2024</v>
          </cell>
          <cell r="J1731" t="str">
            <v>06/10/2024</v>
          </cell>
          <cell r="K1731" t="str">
            <v>06/24/2024</v>
          </cell>
          <cell r="L1731">
            <v>10</v>
          </cell>
          <cell r="M1731" t="str">
            <v>6/13/2024 11:49:01 AM</v>
          </cell>
          <cell r="N1731" t="str">
            <v>26</v>
          </cell>
          <cell r="O1731">
            <v>10</v>
          </cell>
          <cell r="P1731">
            <v>4</v>
          </cell>
        </row>
        <row r="1732">
          <cell r="A1732" t="str">
            <v>6723707</v>
          </cell>
          <cell r="B1732" t="str">
            <v>1334563</v>
          </cell>
          <cell r="C1732" t="str">
            <v>6360RDS-5932-131</v>
          </cell>
          <cell r="D1732" t="str">
            <v>6360RDS</v>
          </cell>
          <cell r="E1732" t="str">
            <v>6360RDS H&amp;K VP9 X300U STX TAC BLK RH</v>
          </cell>
          <cell r="F1732" t="str">
            <v>DG-HOLSTER-RDS</v>
          </cell>
          <cell r="G1732" t="str">
            <v>1420-210-FG</v>
          </cell>
          <cell r="H1732" t="str">
            <v>R</v>
          </cell>
          <cell r="I1732" t="str">
            <v>06/03/2024</v>
          </cell>
          <cell r="J1732" t="str">
            <v>06/03/2024</v>
          </cell>
          <cell r="K1732" t="str">
            <v>06/24/2024</v>
          </cell>
          <cell r="L1732">
            <v>10</v>
          </cell>
          <cell r="M1732" t="str">
            <v>6/13/2024 11:43:03 AM</v>
          </cell>
          <cell r="N1732" t="str">
            <v>26</v>
          </cell>
          <cell r="O1732">
            <v>10</v>
          </cell>
          <cell r="P1732">
            <v>4</v>
          </cell>
        </row>
        <row r="1733">
          <cell r="A1733" t="str">
            <v>6727059</v>
          </cell>
          <cell r="B1733" t="str">
            <v>1325891</v>
          </cell>
          <cell r="C1733" t="str">
            <v>6360RDS-8182-411</v>
          </cell>
          <cell r="D1733" t="str">
            <v>6360RDS</v>
          </cell>
          <cell r="E1733" t="str">
            <v>6360RDS MP 2.0 9MM X300U STX PLN BLK RH</v>
          </cell>
          <cell r="F1733" t="str">
            <v>DG-HOLSTER-RDS</v>
          </cell>
          <cell r="G1733" t="str">
            <v>1420-210-FG</v>
          </cell>
          <cell r="H1733" t="str">
            <v>R</v>
          </cell>
          <cell r="I1733" t="str">
            <v>06/10/2024</v>
          </cell>
          <cell r="J1733" t="str">
            <v>06/10/2024</v>
          </cell>
          <cell r="K1733" t="str">
            <v>06/24/2024</v>
          </cell>
          <cell r="L1733">
            <v>15</v>
          </cell>
          <cell r="M1733" t="str">
            <v>6/13/2024 11:35:38 AM</v>
          </cell>
          <cell r="N1733" t="str">
            <v>26</v>
          </cell>
          <cell r="O1733">
            <v>15</v>
          </cell>
          <cell r="P1733">
            <v>6</v>
          </cell>
        </row>
        <row r="1734">
          <cell r="A1734" t="str">
            <v>6723676</v>
          </cell>
          <cell r="B1734" t="str">
            <v>1331847</v>
          </cell>
          <cell r="C1734" t="str">
            <v>6360RDS-2222-701</v>
          </cell>
          <cell r="D1734" t="str">
            <v>6360RDS</v>
          </cell>
          <cell r="E1734" t="str">
            <v>6360RDS MP2.0 9 CORE X300U CORD MTCM RH</v>
          </cell>
          <cell r="F1734" t="str">
            <v>DG-HOLSTER-RDS</v>
          </cell>
          <cell r="G1734" t="str">
            <v>1420-210-FG</v>
          </cell>
          <cell r="H1734" t="str">
            <v>R</v>
          </cell>
          <cell r="I1734" t="str">
            <v>06/03/2024</v>
          </cell>
          <cell r="J1734" t="str">
            <v>06/03/2024</v>
          </cell>
          <cell r="K1734" t="str">
            <v>06/24/2024</v>
          </cell>
          <cell r="L1734">
            <v>5</v>
          </cell>
          <cell r="M1734" t="str">
            <v>6/13/2024 11:43:03 AM</v>
          </cell>
          <cell r="N1734" t="str">
            <v>26</v>
          </cell>
          <cell r="O1734">
            <v>5</v>
          </cell>
          <cell r="P1734">
            <v>2</v>
          </cell>
        </row>
        <row r="1735">
          <cell r="A1735" t="str">
            <v>6727011</v>
          </cell>
          <cell r="B1735" t="str">
            <v>1319549</v>
          </cell>
          <cell r="C1735" t="str">
            <v>6360RDS-2222-132</v>
          </cell>
          <cell r="D1735" t="str">
            <v>6360RDS</v>
          </cell>
          <cell r="E1735" t="str">
            <v>6360RDS MP2.0 9 CORE X300U STXTAC BLK LH</v>
          </cell>
          <cell r="F1735" t="str">
            <v>DG-HOLSTER-RDS</v>
          </cell>
          <cell r="G1735" t="str">
            <v>1420-210-FG</v>
          </cell>
          <cell r="H1735" t="str">
            <v>R</v>
          </cell>
          <cell r="I1735" t="str">
            <v>06/10/2024</v>
          </cell>
          <cell r="J1735" t="str">
            <v>06/10/2024</v>
          </cell>
          <cell r="K1735" t="str">
            <v>06/24/2024</v>
          </cell>
          <cell r="L1735">
            <v>16</v>
          </cell>
          <cell r="M1735" t="str">
            <v>6/13/2024 11:33:39 AM</v>
          </cell>
          <cell r="N1735" t="str">
            <v>26</v>
          </cell>
          <cell r="O1735">
            <v>16</v>
          </cell>
          <cell r="P1735">
            <v>6.4</v>
          </cell>
        </row>
        <row r="1736">
          <cell r="A1736" t="str">
            <v>6727023</v>
          </cell>
          <cell r="B1736" t="str">
            <v>1323749</v>
          </cell>
          <cell r="C1736" t="str">
            <v>6360RDS-582-701</v>
          </cell>
          <cell r="D1736" t="str">
            <v>6360RDS</v>
          </cell>
          <cell r="E1736" t="str">
            <v>6360RDS PRODIGY 4.25" X300U MLTCM RH</v>
          </cell>
          <cell r="F1736" t="str">
            <v>DG-HOLSTER-RDS</v>
          </cell>
          <cell r="G1736" t="str">
            <v>1420-210-FG</v>
          </cell>
          <cell r="H1736" t="str">
            <v>R</v>
          </cell>
          <cell r="I1736" t="str">
            <v>06/10/2024</v>
          </cell>
          <cell r="J1736" t="str">
            <v>06/10/2024</v>
          </cell>
          <cell r="K1736" t="str">
            <v>06/24/2024</v>
          </cell>
          <cell r="L1736">
            <v>5</v>
          </cell>
          <cell r="M1736" t="str">
            <v>6/13/2024 10:40:25 AM</v>
          </cell>
          <cell r="N1736" t="str">
            <v>26</v>
          </cell>
          <cell r="O1736">
            <v>5</v>
          </cell>
          <cell r="P1736">
            <v>2</v>
          </cell>
        </row>
        <row r="1737">
          <cell r="A1737" t="str">
            <v>6727022</v>
          </cell>
          <cell r="B1737" t="str">
            <v>1323747</v>
          </cell>
          <cell r="C1737" t="str">
            <v>6360RDS-582-781</v>
          </cell>
          <cell r="D1737" t="str">
            <v>6360RDS</v>
          </cell>
          <cell r="E1737" t="str">
            <v>6360RDS PRODIGY 4.25" X300U COR BLK RH</v>
          </cell>
          <cell r="F1737" t="str">
            <v>DG-HOLSTER-RDS</v>
          </cell>
          <cell r="G1737" t="str">
            <v>1420-210-FG</v>
          </cell>
          <cell r="H1737" t="str">
            <v>R</v>
          </cell>
          <cell r="I1737" t="str">
            <v>06/10/2024</v>
          </cell>
          <cell r="J1737" t="str">
            <v>06/10/2024</v>
          </cell>
          <cell r="K1737" t="str">
            <v>06/24/2024</v>
          </cell>
          <cell r="L1737">
            <v>5</v>
          </cell>
          <cell r="M1737" t="str">
            <v>6/13/2024 10:55:31 AM</v>
          </cell>
          <cell r="N1737" t="str">
            <v>26</v>
          </cell>
          <cell r="O1737">
            <v>5</v>
          </cell>
          <cell r="P1737">
            <v>2</v>
          </cell>
        </row>
        <row r="1738">
          <cell r="A1738" t="str">
            <v>6723539</v>
          </cell>
          <cell r="B1738" t="str">
            <v>1323729</v>
          </cell>
          <cell r="C1738" t="str">
            <v>6360RDS-582-131</v>
          </cell>
          <cell r="D1738" t="str">
            <v>6360RDS</v>
          </cell>
          <cell r="E1738" t="str">
            <v>6360RDS PRODIGY 4.25" X300U STX BLK RH</v>
          </cell>
          <cell r="F1738" t="str">
            <v>DG-HOLSTER-RDS</v>
          </cell>
          <cell r="G1738" t="str">
            <v>1420-210-FG</v>
          </cell>
          <cell r="H1738" t="str">
            <v>R</v>
          </cell>
          <cell r="I1738" t="str">
            <v>06/03/2024</v>
          </cell>
          <cell r="J1738" t="str">
            <v>06/03/2024</v>
          </cell>
          <cell r="K1738" t="str">
            <v>06/24/2024</v>
          </cell>
          <cell r="L1738">
            <v>15</v>
          </cell>
          <cell r="M1738" t="str">
            <v>6/13/2024 10:37:08 AM</v>
          </cell>
          <cell r="N1738" t="str">
            <v>26</v>
          </cell>
          <cell r="O1738">
            <v>15</v>
          </cell>
          <cell r="P1738">
            <v>6</v>
          </cell>
        </row>
        <row r="1739">
          <cell r="A1739" t="str">
            <v>6727018</v>
          </cell>
          <cell r="B1739" t="str">
            <v>1323729</v>
          </cell>
          <cell r="C1739" t="str">
            <v>6360RDS-582-131</v>
          </cell>
          <cell r="D1739" t="str">
            <v>6360RDS</v>
          </cell>
          <cell r="E1739" t="str">
            <v>6360RDS PRODIGY 4.25" X300U STX BLK RH</v>
          </cell>
          <cell r="F1739" t="str">
            <v>DG-HOLSTER-RDS</v>
          </cell>
          <cell r="G1739" t="str">
            <v>1420-210-FG</v>
          </cell>
          <cell r="H1739" t="str">
            <v>R</v>
          </cell>
          <cell r="I1739" t="str">
            <v>06/10/2024</v>
          </cell>
          <cell r="J1739" t="str">
            <v>06/10/2024</v>
          </cell>
          <cell r="K1739" t="str">
            <v>06/24/2024</v>
          </cell>
          <cell r="L1739">
            <v>15</v>
          </cell>
          <cell r="M1739" t="str">
            <v>6/13/2024 10:37:08 AM</v>
          </cell>
          <cell r="N1739" t="str">
            <v>26</v>
          </cell>
          <cell r="O1739">
            <v>15</v>
          </cell>
          <cell r="P1739">
            <v>6</v>
          </cell>
        </row>
        <row r="1740">
          <cell r="A1740" t="str">
            <v>6727024</v>
          </cell>
          <cell r="B1740" t="str">
            <v>1324257</v>
          </cell>
          <cell r="C1740" t="str">
            <v>6360RDS-2252-701</v>
          </cell>
          <cell r="D1740" t="str">
            <v>6360RDS</v>
          </cell>
          <cell r="E1740" t="str">
            <v>6360RDS S&amp;WM&amp;P9C 2.0 4" X300U CORD MTCRH</v>
          </cell>
          <cell r="F1740" t="str">
            <v>DG-HOLSTER-RDS</v>
          </cell>
          <cell r="G1740" t="str">
            <v>1420-210-FG</v>
          </cell>
          <cell r="H1740" t="str">
            <v>R</v>
          </cell>
          <cell r="I1740" t="str">
            <v>06/10/2024</v>
          </cell>
          <cell r="J1740" t="str">
            <v>06/10/2024</v>
          </cell>
          <cell r="K1740" t="str">
            <v>06/24/2024</v>
          </cell>
          <cell r="L1740">
            <v>5</v>
          </cell>
          <cell r="M1740" t="str">
            <v>6/13/2024 11:46:14 AM</v>
          </cell>
          <cell r="N1740" t="str">
            <v>26</v>
          </cell>
          <cell r="O1740">
            <v>5</v>
          </cell>
          <cell r="P1740">
            <v>2</v>
          </cell>
        </row>
        <row r="1741">
          <cell r="A1741" t="str">
            <v>6727653</v>
          </cell>
          <cell r="B1741" t="str">
            <v>1323995</v>
          </cell>
          <cell r="C1741" t="str">
            <v>6360RDS-2252-552</v>
          </cell>
          <cell r="D1741" t="str">
            <v>6360RDS</v>
          </cell>
          <cell r="E1741" t="str">
            <v>6360RDS S&amp;WM&amp;P9C 2.0 4" X300U STX FDE LH</v>
          </cell>
          <cell r="F1741" t="str">
            <v>DG-HOLSTER-RDS</v>
          </cell>
          <cell r="G1741" t="str">
            <v>1420-210-FG</v>
          </cell>
          <cell r="H1741" t="str">
            <v>R</v>
          </cell>
          <cell r="I1741" t="str">
            <v>06/11/2024</v>
          </cell>
          <cell r="J1741" t="str">
            <v>06/11/2024</v>
          </cell>
          <cell r="K1741" t="str">
            <v>06/24/2024</v>
          </cell>
          <cell r="L1741">
            <v>1</v>
          </cell>
          <cell r="M1741" t="str">
            <v>6/11/2024 3:44:53 PM</v>
          </cell>
          <cell r="N1741" t="str">
            <v>26</v>
          </cell>
          <cell r="O1741">
            <v>1</v>
          </cell>
          <cell r="P1741">
            <v>0.4</v>
          </cell>
        </row>
        <row r="1742">
          <cell r="A1742" t="str">
            <v>6727208</v>
          </cell>
          <cell r="B1742" t="str">
            <v>1335067</v>
          </cell>
          <cell r="C1742" t="str">
            <v>6360RDS-572-701</v>
          </cell>
          <cell r="D1742" t="str">
            <v>6360RDS</v>
          </cell>
          <cell r="E1742" t="str">
            <v>6360RDS SA ECHELON X300U COR MLTCM RH</v>
          </cell>
          <cell r="F1742" t="str">
            <v>DG-HOLSTER-RDS-DTC</v>
          </cell>
          <cell r="G1742" t="str">
            <v>1420-210-FG</v>
          </cell>
          <cell r="H1742" t="str">
            <v>R</v>
          </cell>
          <cell r="I1742" t="str">
            <v>06/10/2024</v>
          </cell>
          <cell r="J1742" t="str">
            <v>06/10/2024</v>
          </cell>
          <cell r="K1742" t="str">
            <v>06/24/2024</v>
          </cell>
          <cell r="L1742">
            <v>5</v>
          </cell>
          <cell r="M1742" t="str">
            <v>6/13/2024 11:49:01 AM</v>
          </cell>
          <cell r="N1742" t="str">
            <v>26</v>
          </cell>
          <cell r="O1742">
            <v>5</v>
          </cell>
          <cell r="P1742">
            <v>2</v>
          </cell>
        </row>
        <row r="1743">
          <cell r="A1743" t="str">
            <v>6727249</v>
          </cell>
          <cell r="B1743" t="str">
            <v>1336116</v>
          </cell>
          <cell r="C1743" t="str">
            <v>6360RDS-572-482</v>
          </cell>
          <cell r="D1743" t="str">
            <v>6360RDS</v>
          </cell>
          <cell r="E1743" t="str">
            <v>6360RDS SA ECHELON X300U STX BSK BLK LH</v>
          </cell>
          <cell r="F1743" t="str">
            <v>DG-HOLSTER-RDS-DTC</v>
          </cell>
          <cell r="G1743" t="str">
            <v>1420-210-FG</v>
          </cell>
          <cell r="H1743" t="str">
            <v>R</v>
          </cell>
          <cell r="I1743" t="str">
            <v>06/10/2024</v>
          </cell>
          <cell r="J1743" t="str">
            <v>06/10/2024</v>
          </cell>
          <cell r="K1743" t="str">
            <v>06/24/2024</v>
          </cell>
          <cell r="L1743">
            <v>5</v>
          </cell>
          <cell r="M1743" t="str">
            <v>6/13/2024 11:43:03 AM</v>
          </cell>
          <cell r="N1743" t="str">
            <v>26</v>
          </cell>
          <cell r="O1743">
            <v>5</v>
          </cell>
          <cell r="P1743">
            <v>2</v>
          </cell>
        </row>
        <row r="1744">
          <cell r="A1744" t="str">
            <v>6727236</v>
          </cell>
          <cell r="B1744" t="str">
            <v>1335418</v>
          </cell>
          <cell r="C1744" t="str">
            <v>6360RDS-572-132</v>
          </cell>
          <cell r="D1744" t="str">
            <v>6360RDS</v>
          </cell>
          <cell r="E1744" t="str">
            <v>6360RDS SA ECHELON X300U STX TAC BLK LH</v>
          </cell>
          <cell r="F1744" t="str">
            <v>DG-HOLSTER-RDS-DTC</v>
          </cell>
          <cell r="G1744" t="str">
            <v>1420-210-FG</v>
          </cell>
          <cell r="H1744" t="str">
            <v>R</v>
          </cell>
          <cell r="I1744" t="str">
            <v>06/10/2024</v>
          </cell>
          <cell r="J1744" t="str">
            <v>06/10/2024</v>
          </cell>
          <cell r="K1744" t="str">
            <v>06/24/2024</v>
          </cell>
          <cell r="L1744">
            <v>12</v>
          </cell>
          <cell r="M1744" t="str">
            <v>6/13/2024 11:43:03 AM</v>
          </cell>
          <cell r="N1744" t="str">
            <v>26</v>
          </cell>
          <cell r="O1744">
            <v>12</v>
          </cell>
          <cell r="P1744">
            <v>4.8</v>
          </cell>
        </row>
        <row r="1745">
          <cell r="A1745" t="str">
            <v>6727065</v>
          </cell>
          <cell r="B1745" t="str">
            <v>1327499</v>
          </cell>
          <cell r="C1745" t="str">
            <v>6360RDS-7502-701</v>
          </cell>
          <cell r="D1745" t="str">
            <v>6360RDS</v>
          </cell>
          <cell r="E1745" t="str">
            <v>6360RDS SIG 320CRX X300U COR MLTCM RH</v>
          </cell>
          <cell r="F1745" t="str">
            <v>DG-HOLSTER-RDS</v>
          </cell>
          <cell r="G1745" t="str">
            <v>1420-210-FG</v>
          </cell>
          <cell r="H1745" t="str">
            <v>R</v>
          </cell>
          <cell r="I1745" t="str">
            <v>06/10/2024</v>
          </cell>
          <cell r="J1745" t="str">
            <v>06/10/2024</v>
          </cell>
          <cell r="K1745" t="str">
            <v>06/24/2024</v>
          </cell>
          <cell r="L1745">
            <v>7</v>
          </cell>
          <cell r="M1745" t="str">
            <v>6/13/2024 11:46:14 AM</v>
          </cell>
          <cell r="N1745" t="str">
            <v>26</v>
          </cell>
          <cell r="O1745">
            <v>7</v>
          </cell>
          <cell r="P1745">
            <v>2.8</v>
          </cell>
        </row>
        <row r="1746">
          <cell r="A1746" t="str">
            <v>6727002</v>
          </cell>
          <cell r="B1746" t="str">
            <v>1208112</v>
          </cell>
          <cell r="C1746" t="str">
            <v>6360RDS-7502-411</v>
          </cell>
          <cell r="D1746" t="str">
            <v>6360RDS</v>
          </cell>
          <cell r="E1746" t="str">
            <v>6360RDS SIG 320CRX X300U STX PLN BLK RH</v>
          </cell>
          <cell r="F1746" t="str">
            <v>DG-HOLSTER-RDS</v>
          </cell>
          <cell r="G1746" t="str">
            <v>1420-210-FG</v>
          </cell>
          <cell r="H1746" t="str">
            <v>R</v>
          </cell>
          <cell r="I1746" t="str">
            <v>06/10/2024</v>
          </cell>
          <cell r="J1746" t="str">
            <v>06/10/2024</v>
          </cell>
          <cell r="K1746" t="str">
            <v>06/24/2024</v>
          </cell>
          <cell r="L1746">
            <v>9</v>
          </cell>
          <cell r="M1746" t="str">
            <v>6/13/2024 11:35:38 AM</v>
          </cell>
          <cell r="N1746" t="str">
            <v>26</v>
          </cell>
          <cell r="O1746">
            <v>9</v>
          </cell>
          <cell r="P1746">
            <v>3.6</v>
          </cell>
        </row>
        <row r="1747">
          <cell r="A1747" t="str">
            <v>6727061</v>
          </cell>
          <cell r="B1747" t="str">
            <v>1326003</v>
          </cell>
          <cell r="C1747" t="str">
            <v>6360RDS-7502-551</v>
          </cell>
          <cell r="D1747" t="str">
            <v>6360RDS</v>
          </cell>
          <cell r="E1747" t="str">
            <v>6360RDS SIG 320CRX X300U STX TAC FDE RH</v>
          </cell>
          <cell r="F1747" t="str">
            <v>DG-HOLSTER-RDS</v>
          </cell>
          <cell r="G1747" t="str">
            <v>1420-210-FG</v>
          </cell>
          <cell r="H1747" t="str">
            <v>R</v>
          </cell>
          <cell r="I1747" t="str">
            <v>06/10/2024</v>
          </cell>
          <cell r="J1747" t="str">
            <v>06/10/2024</v>
          </cell>
          <cell r="K1747" t="str">
            <v>06/24/2024</v>
          </cell>
          <cell r="L1747">
            <v>5</v>
          </cell>
          <cell r="M1747" t="str">
            <v>6/13/2024 11:36:38 AM</v>
          </cell>
          <cell r="N1747" t="str">
            <v>26</v>
          </cell>
          <cell r="O1747">
            <v>5</v>
          </cell>
          <cell r="P1747">
            <v>2</v>
          </cell>
        </row>
        <row r="1748">
          <cell r="A1748" t="str">
            <v>6723517</v>
          </cell>
          <cell r="B1748" t="str">
            <v>1207978</v>
          </cell>
          <cell r="C1748" t="str">
            <v>6360RDS-4502-411</v>
          </cell>
          <cell r="D1748" t="str">
            <v>6360RDS</v>
          </cell>
          <cell r="E1748" t="str">
            <v>6360RDS SIG 320RX X300U STX PLN BLK RH</v>
          </cell>
          <cell r="F1748" t="str">
            <v>DG-HOLSTER-RDS</v>
          </cell>
          <cell r="G1748" t="str">
            <v>1420-210-FG</v>
          </cell>
          <cell r="H1748" t="str">
            <v>R</v>
          </cell>
          <cell r="I1748" t="str">
            <v>06/03/2024</v>
          </cell>
          <cell r="J1748" t="str">
            <v>06/03/2024</v>
          </cell>
          <cell r="K1748" t="str">
            <v>06/24/2024</v>
          </cell>
          <cell r="L1748">
            <v>20</v>
          </cell>
          <cell r="M1748" t="str">
            <v>6/13/2024 11:35:38 AM</v>
          </cell>
          <cell r="N1748" t="str">
            <v>26</v>
          </cell>
          <cell r="O1748">
            <v>20</v>
          </cell>
          <cell r="P1748">
            <v>8.66</v>
          </cell>
        </row>
        <row r="1749">
          <cell r="A1749" t="str">
            <v>6727010</v>
          </cell>
          <cell r="B1749" t="str">
            <v>1319246</v>
          </cell>
          <cell r="C1749" t="str">
            <v>6360RDS-4502-551</v>
          </cell>
          <cell r="D1749" t="str">
            <v>6360RDS</v>
          </cell>
          <cell r="E1749" t="str">
            <v>6360RDS SIG 320RX X300U STX TAC FDE RH</v>
          </cell>
          <cell r="F1749" t="str">
            <v>DG-HOLSTER-RDS</v>
          </cell>
          <cell r="G1749" t="str">
            <v>1420-210-FG</v>
          </cell>
          <cell r="H1749" t="str">
            <v>R</v>
          </cell>
          <cell r="I1749" t="str">
            <v>06/10/2024</v>
          </cell>
          <cell r="J1749" t="str">
            <v>06/10/2024</v>
          </cell>
          <cell r="K1749" t="str">
            <v>06/24/2024</v>
          </cell>
          <cell r="L1749">
            <v>5</v>
          </cell>
          <cell r="M1749" t="str">
            <v>6/13/2024 11:36:21 AM</v>
          </cell>
          <cell r="N1749" t="str">
            <v>26</v>
          </cell>
          <cell r="O1749">
            <v>5</v>
          </cell>
          <cell r="P1749">
            <v>2.17</v>
          </cell>
        </row>
        <row r="1750">
          <cell r="A1750" t="str">
            <v>6727004</v>
          </cell>
          <cell r="B1750" t="str">
            <v>1209328</v>
          </cell>
          <cell r="C1750" t="str">
            <v>6360RDS-4502-561</v>
          </cell>
          <cell r="D1750" t="str">
            <v>6360RDS</v>
          </cell>
          <cell r="E1750" t="str">
            <v>6360RDS SIG 320RX X300U STX TAC ODG RH</v>
          </cell>
          <cell r="F1750" t="str">
            <v>DG-HOLSTER-RDS</v>
          </cell>
          <cell r="G1750" t="str">
            <v>1420-210-FG</v>
          </cell>
          <cell r="H1750" t="str">
            <v>R</v>
          </cell>
          <cell r="I1750" t="str">
            <v>06/10/2024</v>
          </cell>
          <cell r="J1750" t="str">
            <v>06/10/2024</v>
          </cell>
          <cell r="K1750" t="str">
            <v>06/24/2024</v>
          </cell>
          <cell r="L1750">
            <v>7</v>
          </cell>
          <cell r="M1750" t="str">
            <v>6/13/2024 11:37:56 AM</v>
          </cell>
          <cell r="N1750" t="str">
            <v>26</v>
          </cell>
          <cell r="O1750">
            <v>7</v>
          </cell>
          <cell r="P1750">
            <v>3.03</v>
          </cell>
        </row>
        <row r="1751">
          <cell r="A1751" t="str">
            <v>6727649</v>
          </cell>
          <cell r="B1751" t="str">
            <v>1209328</v>
          </cell>
          <cell r="C1751" t="str">
            <v>6360RDS-4502-561</v>
          </cell>
          <cell r="D1751" t="str">
            <v>6360RDS</v>
          </cell>
          <cell r="E1751" t="str">
            <v>6360RDS SIG 320RX X300U STX TAC ODG RH</v>
          </cell>
          <cell r="F1751" t="str">
            <v>DG-HOLSTER-RDS</v>
          </cell>
          <cell r="G1751" t="str">
            <v>1420-210-FG</v>
          </cell>
          <cell r="H1751" t="str">
            <v>R</v>
          </cell>
          <cell r="I1751" t="str">
            <v>06/11/2024</v>
          </cell>
          <cell r="J1751" t="str">
            <v>06/11/2024</v>
          </cell>
          <cell r="K1751" t="str">
            <v>06/24/2024</v>
          </cell>
          <cell r="L1751">
            <v>5</v>
          </cell>
          <cell r="M1751" t="str">
            <v>6/13/2024 11:38:32 AM</v>
          </cell>
          <cell r="N1751" t="str">
            <v>26</v>
          </cell>
          <cell r="O1751">
            <v>5</v>
          </cell>
          <cell r="P1751">
            <v>2.17</v>
          </cell>
        </row>
        <row r="1752">
          <cell r="A1752" t="str">
            <v>6723613</v>
          </cell>
          <cell r="B1752" t="str">
            <v>1305551</v>
          </cell>
          <cell r="C1752" t="str">
            <v>6360RDS-4502-781</v>
          </cell>
          <cell r="D1752" t="str">
            <v>6360RDS</v>
          </cell>
          <cell r="E1752" t="str">
            <v>6360RDS SIG P320RX X300U CORD BLK RH</v>
          </cell>
          <cell r="F1752" t="str">
            <v>DG-HOLSTER-RDS</v>
          </cell>
          <cell r="G1752" t="str">
            <v>1420-210-FG</v>
          </cell>
          <cell r="H1752" t="str">
            <v>R</v>
          </cell>
          <cell r="I1752" t="str">
            <v>06/03/2024</v>
          </cell>
          <cell r="J1752" t="str">
            <v>06/03/2024</v>
          </cell>
          <cell r="K1752" t="str">
            <v>06/24/2024</v>
          </cell>
          <cell r="L1752">
            <v>5</v>
          </cell>
          <cell r="M1752" t="str">
            <v>6/13/2024 11:46:14 AM</v>
          </cell>
          <cell r="N1752" t="str">
            <v>26</v>
          </cell>
          <cell r="O1752">
            <v>5</v>
          </cell>
          <cell r="P1752">
            <v>2.17</v>
          </cell>
        </row>
        <row r="1753">
          <cell r="A1753" t="str">
            <v>6723544</v>
          </cell>
          <cell r="B1753" t="str">
            <v>1324635</v>
          </cell>
          <cell r="C1753" t="str">
            <v>6360RDS-1582-131</v>
          </cell>
          <cell r="D1753" t="str">
            <v>6360RDS</v>
          </cell>
          <cell r="E1753" t="str">
            <v>6360RDS STI STACC P 4.4" X300U STXBLK RH</v>
          </cell>
          <cell r="F1753" t="str">
            <v>DG-HOLSTER-RDS</v>
          </cell>
          <cell r="G1753" t="str">
            <v>1420-210-FG</v>
          </cell>
          <cell r="H1753" t="str">
            <v>R</v>
          </cell>
          <cell r="I1753" t="str">
            <v>06/03/2024</v>
          </cell>
          <cell r="J1753" t="str">
            <v>06/03/2024</v>
          </cell>
          <cell r="K1753" t="str">
            <v>06/24/2024</v>
          </cell>
          <cell r="L1753">
            <v>49</v>
          </cell>
          <cell r="M1753" t="str">
            <v>6/13/2024 10:37:08 AM</v>
          </cell>
          <cell r="N1753" t="str">
            <v>26</v>
          </cell>
          <cell r="O1753">
            <v>49</v>
          </cell>
          <cell r="P1753">
            <v>19.600000000000001</v>
          </cell>
        </row>
        <row r="1754">
          <cell r="A1754" t="str">
            <v>6728155</v>
          </cell>
          <cell r="B1754" t="str">
            <v>1325277</v>
          </cell>
          <cell r="C1754" t="str">
            <v>6360RDS-1582-561</v>
          </cell>
          <cell r="D1754" t="str">
            <v>6360RDS</v>
          </cell>
          <cell r="E1754" t="str">
            <v>6360RDS STI STACC P 4.4" X300U STXODG RH</v>
          </cell>
          <cell r="F1754" t="str">
            <v>DG-HOLSTER-RDS</v>
          </cell>
          <cell r="G1754" t="str">
            <v>1420-210-FG</v>
          </cell>
          <cell r="H1754" t="str">
            <v>R</v>
          </cell>
          <cell r="I1754" t="str">
            <v>06/11/2024</v>
          </cell>
          <cell r="J1754" t="str">
            <v>06/17/2024</v>
          </cell>
          <cell r="K1754" t="str">
            <v>06/24/2024</v>
          </cell>
          <cell r="L1754">
            <v>7</v>
          </cell>
          <cell r="M1754" t="str">
            <v>6/13/2024 10:46:14 AM</v>
          </cell>
          <cell r="N1754" t="str">
            <v>26</v>
          </cell>
          <cell r="O1754">
            <v>7</v>
          </cell>
          <cell r="P1754">
            <v>2.8</v>
          </cell>
        </row>
        <row r="1755">
          <cell r="A1755" t="str">
            <v>6723660</v>
          </cell>
          <cell r="B1755" t="str">
            <v>1327922</v>
          </cell>
          <cell r="C1755" t="str">
            <v>6360RDS-1582-411</v>
          </cell>
          <cell r="D1755" t="str">
            <v>6360RDS</v>
          </cell>
          <cell r="E1755" t="str">
            <v>6360RDS STI STACC P 4.4" X300U STXPLN RH</v>
          </cell>
          <cell r="F1755" t="str">
            <v>DG-HOLSTER-RDS</v>
          </cell>
          <cell r="G1755" t="str">
            <v>1420-210-FG</v>
          </cell>
          <cell r="H1755" t="str">
            <v>R</v>
          </cell>
          <cell r="I1755" t="str">
            <v>06/03/2024</v>
          </cell>
          <cell r="J1755" t="str">
            <v>06/03/2024</v>
          </cell>
          <cell r="K1755" t="str">
            <v>06/24/2024</v>
          </cell>
          <cell r="L1755">
            <v>10</v>
          </cell>
          <cell r="M1755" t="str">
            <v>6/13/2024 10:40:25 AM</v>
          </cell>
          <cell r="N1755" t="str">
            <v>26</v>
          </cell>
          <cell r="O1755">
            <v>10</v>
          </cell>
          <cell r="P1755">
            <v>4</v>
          </cell>
        </row>
        <row r="1756">
          <cell r="A1756" t="str">
            <v>6723639</v>
          </cell>
          <cell r="B1756" t="str">
            <v>1324641</v>
          </cell>
          <cell r="C1756" t="str">
            <v>6360RDS-1582-701</v>
          </cell>
          <cell r="D1756" t="str">
            <v>6360RDS</v>
          </cell>
          <cell r="E1756" t="str">
            <v>6360RDS STI STACC P 4.4"X300U MLTCM RH</v>
          </cell>
          <cell r="F1756" t="str">
            <v>DG-HOLSTER-RDS</v>
          </cell>
          <cell r="G1756" t="str">
            <v>1420-210-FG</v>
          </cell>
          <cell r="H1756" t="str">
            <v>R</v>
          </cell>
          <cell r="I1756" t="str">
            <v>06/03/2024</v>
          </cell>
          <cell r="J1756" t="str">
            <v>06/03/2024</v>
          </cell>
          <cell r="K1756" t="str">
            <v>06/24/2024</v>
          </cell>
          <cell r="L1756">
            <v>5</v>
          </cell>
          <cell r="M1756" t="str">
            <v>6/13/2024 10:40:25 AM</v>
          </cell>
          <cell r="N1756" t="str">
            <v>26</v>
          </cell>
          <cell r="O1756">
            <v>5</v>
          </cell>
          <cell r="P1756">
            <v>2</v>
          </cell>
        </row>
        <row r="1757">
          <cell r="A1757" t="str">
            <v>6728088</v>
          </cell>
          <cell r="B1757" t="str">
            <v>1203905</v>
          </cell>
          <cell r="C1757" t="str">
            <v>6362-8321-131</v>
          </cell>
          <cell r="D1757" t="str">
            <v>6362</v>
          </cell>
          <cell r="E1757" t="str">
            <v>6362 GLOCK 17/22 TLR-2HL STX TAC BLK RH</v>
          </cell>
          <cell r="F1757" t="str">
            <v>DG-HOLSTER-DTC</v>
          </cell>
          <cell r="G1757" t="str">
            <v>1420-210-FG</v>
          </cell>
          <cell r="H1757" t="str">
            <v>R</v>
          </cell>
          <cell r="I1757" t="str">
            <v>06/11/2024</v>
          </cell>
          <cell r="J1757" t="str">
            <v>06/18/2024</v>
          </cell>
          <cell r="K1757" t="str">
            <v>06/24/2024</v>
          </cell>
          <cell r="L1757">
            <v>7</v>
          </cell>
          <cell r="M1757" t="str">
            <v>6/13/2024 10:37:08 AM</v>
          </cell>
          <cell r="N1757" t="str">
            <v>26</v>
          </cell>
          <cell r="O1757">
            <v>7</v>
          </cell>
          <cell r="P1757">
            <v>2.27</v>
          </cell>
        </row>
        <row r="1758">
          <cell r="A1758" t="str">
            <v>6726827</v>
          </cell>
          <cell r="B1758" t="str">
            <v>1123796</v>
          </cell>
          <cell r="C1758" t="str">
            <v>6365-53-131</v>
          </cell>
          <cell r="D1758" t="str">
            <v>6365</v>
          </cell>
          <cell r="E1758" t="str">
            <v>6365 COLT 1911 STX TAC BLK RH</v>
          </cell>
          <cell r="F1758" t="str">
            <v>DG-HOLSTER</v>
          </cell>
          <cell r="G1758" t="str">
            <v>1420-210-FG</v>
          </cell>
          <cell r="H1758" t="str">
            <v>R</v>
          </cell>
          <cell r="I1758" t="str">
            <v>06/10/2024</v>
          </cell>
          <cell r="J1758" t="str">
            <v>06/10/2024</v>
          </cell>
          <cell r="K1758" t="str">
            <v>06/24/2024</v>
          </cell>
          <cell r="L1758">
            <v>5</v>
          </cell>
          <cell r="M1758" t="str">
            <v>6/13/2024 10:37:08 AM</v>
          </cell>
          <cell r="N1758" t="str">
            <v>26</v>
          </cell>
          <cell r="O1758">
            <v>5</v>
          </cell>
          <cell r="P1758">
            <v>1.1599999999999999</v>
          </cell>
        </row>
        <row r="1759">
          <cell r="A1759" t="str">
            <v>6728039</v>
          </cell>
          <cell r="B1759" t="str">
            <v>1120435</v>
          </cell>
          <cell r="C1759" t="str">
            <v>6365-83-131</v>
          </cell>
          <cell r="D1759" t="str">
            <v>6365</v>
          </cell>
          <cell r="E1759" t="str">
            <v>6365 GLOCK 17/22 STX TAC BLK RH</v>
          </cell>
          <cell r="F1759" t="str">
            <v>DG-HOLSTER-DTC</v>
          </cell>
          <cell r="G1759" t="str">
            <v>1420-210-FG</v>
          </cell>
          <cell r="H1759" t="str">
            <v>R</v>
          </cell>
          <cell r="I1759" t="str">
            <v>06/11/2024</v>
          </cell>
          <cell r="J1759" t="str">
            <v>06/12/2024</v>
          </cell>
          <cell r="K1759" t="str">
            <v>06/24/2024</v>
          </cell>
          <cell r="L1759">
            <v>15</v>
          </cell>
          <cell r="M1759" t="str">
            <v>6/13/2024 11:02:36 AM</v>
          </cell>
          <cell r="N1759" t="str">
            <v>26</v>
          </cell>
          <cell r="O1759">
            <v>15</v>
          </cell>
          <cell r="P1759">
            <v>3.2</v>
          </cell>
        </row>
        <row r="1760">
          <cell r="A1760" t="str">
            <v>6726898</v>
          </cell>
          <cell r="B1760" t="str">
            <v>1328348</v>
          </cell>
          <cell r="C1760" t="str">
            <v>6365-8252-411</v>
          </cell>
          <cell r="D1760" t="str">
            <v>6365</v>
          </cell>
          <cell r="E1760" t="str">
            <v>6365 GLOCK 22 GEN 5 X300U STX PLN BLK RH</v>
          </cell>
          <cell r="F1760" t="str">
            <v>DG-HOLSTER</v>
          </cell>
          <cell r="G1760" t="str">
            <v>1420-210-FG</v>
          </cell>
          <cell r="H1760" t="str">
            <v>R</v>
          </cell>
          <cell r="I1760" t="str">
            <v>06/10/2024</v>
          </cell>
          <cell r="J1760" t="str">
            <v>06/10/2024</v>
          </cell>
          <cell r="K1760" t="str">
            <v>06/24/2024</v>
          </cell>
          <cell r="L1760">
            <v>5</v>
          </cell>
          <cell r="M1760" t="str">
            <v>6/13/2024 10:40:25 AM</v>
          </cell>
          <cell r="N1760" t="str">
            <v>26</v>
          </cell>
          <cell r="O1760">
            <v>5</v>
          </cell>
          <cell r="P1760">
            <v>1.44</v>
          </cell>
        </row>
        <row r="1761">
          <cell r="A1761" t="str">
            <v>6726902</v>
          </cell>
          <cell r="B1761" t="str">
            <v>1329714</v>
          </cell>
          <cell r="C1761" t="str">
            <v>6365-825-91</v>
          </cell>
          <cell r="D1761" t="str">
            <v>6365</v>
          </cell>
          <cell r="E1761" t="str">
            <v>6365 GLOCK 22 GEN5 HGS BLK RH</v>
          </cell>
          <cell r="F1761" t="str">
            <v>DG-HOLSTER</v>
          </cell>
          <cell r="G1761" t="str">
            <v>1420-210-FG</v>
          </cell>
          <cell r="H1761" t="str">
            <v>R</v>
          </cell>
          <cell r="I1761" t="str">
            <v>06/10/2024</v>
          </cell>
          <cell r="J1761" t="str">
            <v>06/10/2024</v>
          </cell>
          <cell r="K1761" t="str">
            <v>06/24/2024</v>
          </cell>
          <cell r="L1761">
            <v>5</v>
          </cell>
          <cell r="M1761" t="str">
            <v>6/13/2024 10:40:25 AM</v>
          </cell>
          <cell r="N1761" t="str">
            <v>26</v>
          </cell>
          <cell r="O1761">
            <v>5</v>
          </cell>
          <cell r="P1761">
            <v>1.22</v>
          </cell>
        </row>
        <row r="1762">
          <cell r="A1762" t="str">
            <v>6726889</v>
          </cell>
          <cell r="B1762" t="str">
            <v>1324934</v>
          </cell>
          <cell r="C1762" t="str">
            <v>6365-8972-131</v>
          </cell>
          <cell r="D1762" t="str">
            <v>6365</v>
          </cell>
          <cell r="E1762" t="str">
            <v>6365 GLOCK 47 X300U STX TAC BLK RH</v>
          </cell>
          <cell r="F1762" t="str">
            <v>DG-HOLSTER</v>
          </cell>
          <cell r="G1762" t="str">
            <v>1420-210-FG</v>
          </cell>
          <cell r="H1762" t="str">
            <v>R</v>
          </cell>
          <cell r="I1762" t="str">
            <v>06/10/2024</v>
          </cell>
          <cell r="J1762" t="str">
            <v>06/10/2024</v>
          </cell>
          <cell r="K1762" t="str">
            <v>06/24/2024</v>
          </cell>
          <cell r="L1762">
            <v>5</v>
          </cell>
          <cell r="M1762" t="str">
            <v>6/13/2024 10:37:08 AM</v>
          </cell>
          <cell r="N1762" t="str">
            <v>26</v>
          </cell>
          <cell r="O1762">
            <v>5</v>
          </cell>
          <cell r="P1762">
            <v>1.44</v>
          </cell>
        </row>
        <row r="1763">
          <cell r="A1763" t="str">
            <v>6726883</v>
          </cell>
          <cell r="B1763" t="str">
            <v>1305230</v>
          </cell>
          <cell r="C1763" t="str">
            <v>6365-91-561</v>
          </cell>
          <cell r="D1763" t="str">
            <v>6365</v>
          </cell>
          <cell r="E1763" t="str">
            <v>6365 H&amp;K USP 9/40 STX TAC ODG RH</v>
          </cell>
          <cell r="F1763" t="str">
            <v>DG-HOLSTER</v>
          </cell>
          <cell r="G1763" t="str">
            <v>1420-210-FG</v>
          </cell>
          <cell r="H1763" t="str">
            <v>R</v>
          </cell>
          <cell r="I1763" t="str">
            <v>06/10/2024</v>
          </cell>
          <cell r="J1763" t="str">
            <v>06/10/2024</v>
          </cell>
          <cell r="K1763" t="str">
            <v>06/24/2024</v>
          </cell>
          <cell r="L1763">
            <v>5</v>
          </cell>
          <cell r="M1763" t="str">
            <v>6/13/2024 10:46:14 AM</v>
          </cell>
          <cell r="N1763" t="str">
            <v>26</v>
          </cell>
          <cell r="O1763">
            <v>5</v>
          </cell>
          <cell r="P1763">
            <v>0.89</v>
          </cell>
        </row>
        <row r="1764">
          <cell r="A1764" t="str">
            <v>6726830</v>
          </cell>
          <cell r="B1764" t="str">
            <v>1125478</v>
          </cell>
          <cell r="C1764" t="str">
            <v>6365-419-131</v>
          </cell>
          <cell r="D1764" t="str">
            <v>6365</v>
          </cell>
          <cell r="E1764" t="str">
            <v>6365 S&amp;W M&amp;P 45 STX TAC BLK RH</v>
          </cell>
          <cell r="F1764" t="str">
            <v>DG-HOLSTER</v>
          </cell>
          <cell r="G1764" t="str">
            <v>1420-210-FG</v>
          </cell>
          <cell r="H1764" t="str">
            <v>R</v>
          </cell>
          <cell r="I1764" t="str">
            <v>06/10/2024</v>
          </cell>
          <cell r="J1764" t="str">
            <v>06/10/2024</v>
          </cell>
          <cell r="K1764" t="str">
            <v>06/24/2024</v>
          </cell>
          <cell r="L1764">
            <v>5</v>
          </cell>
          <cell r="M1764" t="str">
            <v>6/13/2024 10:37:08 AM</v>
          </cell>
          <cell r="N1764" t="str">
            <v>26</v>
          </cell>
          <cell r="O1764">
            <v>5</v>
          </cell>
          <cell r="P1764">
            <v>1.1599999999999999</v>
          </cell>
        </row>
        <row r="1765">
          <cell r="A1765" t="str">
            <v>6726816</v>
          </cell>
          <cell r="B1765" t="str">
            <v>1120763</v>
          </cell>
          <cell r="C1765" t="str">
            <v>6365-77-131</v>
          </cell>
          <cell r="D1765" t="str">
            <v>6365</v>
          </cell>
          <cell r="E1765" t="str">
            <v>6365 SIG P226 STX TAC BLK RH</v>
          </cell>
          <cell r="F1765" t="str">
            <v>DG-HOLSTER</v>
          </cell>
          <cell r="G1765" t="str">
            <v>1420-210-FG</v>
          </cell>
          <cell r="H1765" t="str">
            <v>R</v>
          </cell>
          <cell r="I1765" t="str">
            <v>06/10/2024</v>
          </cell>
          <cell r="J1765" t="str">
            <v>06/10/2024</v>
          </cell>
          <cell r="K1765" t="str">
            <v>06/24/2024</v>
          </cell>
          <cell r="L1765">
            <v>5</v>
          </cell>
          <cell r="M1765" t="str">
            <v>6/13/2024 10:37:08 AM</v>
          </cell>
          <cell r="N1765" t="str">
            <v>26</v>
          </cell>
          <cell r="O1765">
            <v>5</v>
          </cell>
          <cell r="P1765">
            <v>1.1599999999999999</v>
          </cell>
        </row>
        <row r="1766">
          <cell r="A1766" t="str">
            <v>6727940</v>
          </cell>
          <cell r="B1766" t="str">
            <v>1141344</v>
          </cell>
          <cell r="C1766" t="str">
            <v>6365-450-92</v>
          </cell>
          <cell r="D1766" t="str">
            <v>6365</v>
          </cell>
          <cell r="E1766" t="str">
            <v>6365 SIG P320 9/40/45 HGS BLK LH</v>
          </cell>
          <cell r="F1766" t="str">
            <v>DG-HOLSTER</v>
          </cell>
          <cell r="G1766" t="str">
            <v>1420-210-FG</v>
          </cell>
          <cell r="H1766" t="str">
            <v>R</v>
          </cell>
          <cell r="I1766" t="str">
            <v>06/11/2024</v>
          </cell>
          <cell r="J1766" t="str">
            <v>06/17/2024</v>
          </cell>
          <cell r="K1766" t="str">
            <v>06/24/2024</v>
          </cell>
          <cell r="L1766">
            <v>1</v>
          </cell>
          <cell r="M1766" t="str">
            <v>6/13/2024 10:40:25 AM</v>
          </cell>
          <cell r="N1766" t="str">
            <v>26</v>
          </cell>
          <cell r="O1766">
            <v>1</v>
          </cell>
          <cell r="P1766">
            <v>0.33</v>
          </cell>
        </row>
        <row r="1767">
          <cell r="A1767" t="str">
            <v>6726847</v>
          </cell>
          <cell r="B1767" t="str">
            <v>1138268</v>
          </cell>
          <cell r="C1767" t="str">
            <v>6365-145-131</v>
          </cell>
          <cell r="D1767" t="str">
            <v>6365</v>
          </cell>
          <cell r="E1767" t="str">
            <v>6365 SPRNGFLD XDM 9 STX TAC BLK RH</v>
          </cell>
          <cell r="F1767" t="str">
            <v>DG-HOLSTER</v>
          </cell>
          <cell r="G1767" t="str">
            <v>1420-210-FG</v>
          </cell>
          <cell r="H1767" t="str">
            <v>R</v>
          </cell>
          <cell r="I1767" t="str">
            <v>06/10/2024</v>
          </cell>
          <cell r="J1767" t="str">
            <v>06/10/2024</v>
          </cell>
          <cell r="K1767" t="str">
            <v>06/24/2024</v>
          </cell>
          <cell r="L1767">
            <v>5</v>
          </cell>
          <cell r="M1767" t="str">
            <v>6/13/2024 10:37:08 AM</v>
          </cell>
          <cell r="N1767" t="str">
            <v>26</v>
          </cell>
          <cell r="O1767">
            <v>5</v>
          </cell>
          <cell r="P1767">
            <v>1.1599999999999999</v>
          </cell>
        </row>
        <row r="1768">
          <cell r="A1768" t="str">
            <v>6723669</v>
          </cell>
          <cell r="B1768" t="str">
            <v>1329113</v>
          </cell>
          <cell r="C1768" t="str">
            <v>6365RDS-2712-131</v>
          </cell>
          <cell r="D1768" t="str">
            <v>6365RDS</v>
          </cell>
          <cell r="E1768" t="str">
            <v>6365RDS FN509T 4.5IN X300U STX TACBLK RH</v>
          </cell>
          <cell r="F1768" t="str">
            <v>DG-HOLSTER-RDS</v>
          </cell>
          <cell r="G1768" t="str">
            <v>1420-210-FG</v>
          </cell>
          <cell r="H1768" t="str">
            <v>R</v>
          </cell>
          <cell r="I1768" t="str">
            <v>06/03/2024</v>
          </cell>
          <cell r="J1768" t="str">
            <v>06/03/2024</v>
          </cell>
          <cell r="K1768" t="str">
            <v>06/24/2024</v>
          </cell>
          <cell r="L1768">
            <v>5</v>
          </cell>
          <cell r="M1768" t="str">
            <v>6/13/2024 11:33:39 AM</v>
          </cell>
          <cell r="N1768" t="str">
            <v>26</v>
          </cell>
          <cell r="O1768">
            <v>5</v>
          </cell>
          <cell r="P1768">
            <v>2</v>
          </cell>
        </row>
        <row r="1769">
          <cell r="A1769" t="str">
            <v>6727191</v>
          </cell>
          <cell r="B1769" t="str">
            <v>1332646</v>
          </cell>
          <cell r="C1769" t="str">
            <v>6365RDS-8327-131</v>
          </cell>
          <cell r="D1769" t="str">
            <v>6365RDS</v>
          </cell>
          <cell r="E1769" t="str">
            <v>6365RDS GLOCK 17MOS TLR-7 STX TAC BLK RH</v>
          </cell>
          <cell r="F1769" t="str">
            <v>DG-HOLSTER-RDS-DTC</v>
          </cell>
          <cell r="G1769" t="str">
            <v>1420-210-FG</v>
          </cell>
          <cell r="H1769" t="str">
            <v>R</v>
          </cell>
          <cell r="I1769" t="str">
            <v>06/10/2024</v>
          </cell>
          <cell r="J1769" t="str">
            <v>06/10/2024</v>
          </cell>
          <cell r="K1769" t="str">
            <v>06/24/2024</v>
          </cell>
          <cell r="L1769">
            <v>5</v>
          </cell>
          <cell r="M1769" t="str">
            <v>6/13/2024 11:43:03 AM</v>
          </cell>
          <cell r="N1769" t="str">
            <v>26</v>
          </cell>
          <cell r="O1769">
            <v>5</v>
          </cell>
          <cell r="P1769">
            <v>2.17</v>
          </cell>
        </row>
        <row r="1770">
          <cell r="A1770" t="str">
            <v>6727165</v>
          </cell>
          <cell r="B1770" t="str">
            <v>1204517</v>
          </cell>
          <cell r="C1770" t="str">
            <v>6365RDS-832-551</v>
          </cell>
          <cell r="D1770" t="str">
            <v>6365RDS</v>
          </cell>
          <cell r="E1770" t="str">
            <v>6365RDS GLOCK 17MOS X300U STX TAC FDE RH</v>
          </cell>
          <cell r="F1770" t="str">
            <v>DG-HOLSTER-RDS-DTC</v>
          </cell>
          <cell r="G1770" t="str">
            <v>1420-210-FG</v>
          </cell>
          <cell r="H1770" t="str">
            <v>R</v>
          </cell>
          <cell r="I1770" t="str">
            <v>06/10/2024</v>
          </cell>
          <cell r="J1770" t="str">
            <v>06/10/2024</v>
          </cell>
          <cell r="K1770" t="str">
            <v>06/24/2024</v>
          </cell>
          <cell r="L1770">
            <v>5</v>
          </cell>
          <cell r="M1770" t="str">
            <v>6/13/2024 11:37:16 AM</v>
          </cell>
          <cell r="N1770" t="str">
            <v>26</v>
          </cell>
          <cell r="O1770">
            <v>5</v>
          </cell>
          <cell r="P1770">
            <v>2.17</v>
          </cell>
        </row>
        <row r="1771">
          <cell r="A1771" t="str">
            <v>6727159</v>
          </cell>
          <cell r="B1771" t="str">
            <v>1204147</v>
          </cell>
          <cell r="C1771" t="str">
            <v>6365RDS-2832-132</v>
          </cell>
          <cell r="D1771" t="str">
            <v>6365RDS</v>
          </cell>
          <cell r="E1771" t="str">
            <v>6365RDS GLOCK 19MOS X300U STX TAC BLK LH</v>
          </cell>
          <cell r="F1771" t="str">
            <v>DG-HOLSTER-RDS-DTC</v>
          </cell>
          <cell r="G1771" t="str">
            <v>1420-210-FG</v>
          </cell>
          <cell r="H1771" t="str">
            <v>F</v>
          </cell>
          <cell r="I1771" t="str">
            <v>06/10/2024</v>
          </cell>
          <cell r="J1771" t="str">
            <v>06/10/2024</v>
          </cell>
          <cell r="K1771" t="str">
            <v>06/24/2024</v>
          </cell>
          <cell r="L1771">
            <v>5</v>
          </cell>
          <cell r="M1771" t="str">
            <v/>
          </cell>
          <cell r="N1771" t="str">
            <v>26</v>
          </cell>
          <cell r="O1771">
            <v>5</v>
          </cell>
          <cell r="P1771">
            <v>2</v>
          </cell>
        </row>
        <row r="1772">
          <cell r="A1772" t="str">
            <v>6727176</v>
          </cell>
          <cell r="B1772" t="str">
            <v>1209479</v>
          </cell>
          <cell r="C1772" t="str">
            <v>6365RDS-2832-561</v>
          </cell>
          <cell r="D1772" t="str">
            <v>6365RDS</v>
          </cell>
          <cell r="E1772" t="str">
            <v>6365RDS GLOCK 19MOS X300U STX TAC ODG RH</v>
          </cell>
          <cell r="F1772" t="str">
            <v>DG-HOLSTER-RDS-DTC</v>
          </cell>
          <cell r="G1772" t="str">
            <v>1420-210-FG</v>
          </cell>
          <cell r="H1772" t="str">
            <v>R</v>
          </cell>
          <cell r="I1772" t="str">
            <v>06/10/2024</v>
          </cell>
          <cell r="J1772" t="str">
            <v>06/10/2024</v>
          </cell>
          <cell r="K1772" t="str">
            <v>06/24/2024</v>
          </cell>
          <cell r="L1772">
            <v>5</v>
          </cell>
          <cell r="M1772" t="str">
            <v>6/13/2024 10:46:14 AM</v>
          </cell>
          <cell r="N1772" t="str">
            <v>26</v>
          </cell>
          <cell r="O1772">
            <v>5</v>
          </cell>
          <cell r="P1772">
            <v>2</v>
          </cell>
        </row>
        <row r="1773">
          <cell r="A1773" t="str">
            <v>6728134</v>
          </cell>
          <cell r="B1773" t="str">
            <v>1203663</v>
          </cell>
          <cell r="C1773" t="str">
            <v>6365RDS-6832-481</v>
          </cell>
          <cell r="D1773" t="str">
            <v>6365RDS</v>
          </cell>
          <cell r="E1773" t="str">
            <v>6365RDS GLOCK 34/35 X300U STX BSK BLK RH</v>
          </cell>
          <cell r="F1773" t="str">
            <v>DG-HOLSTER-RDS</v>
          </cell>
          <cell r="G1773" t="str">
            <v>1420-210-FG</v>
          </cell>
          <cell r="H1773" t="str">
            <v>R</v>
          </cell>
          <cell r="I1773" t="str">
            <v>06/11/2024</v>
          </cell>
          <cell r="J1773" t="str">
            <v>06/14/2024</v>
          </cell>
          <cell r="K1773" t="str">
            <v>06/24/2024</v>
          </cell>
          <cell r="L1773">
            <v>5</v>
          </cell>
          <cell r="M1773" t="str">
            <v>6/13/2024 11:40:12 AM</v>
          </cell>
          <cell r="N1773" t="str">
            <v>26</v>
          </cell>
          <cell r="O1773">
            <v>5</v>
          </cell>
          <cell r="P1773">
            <v>2</v>
          </cell>
        </row>
        <row r="1774">
          <cell r="A1774" t="str">
            <v>6727205</v>
          </cell>
          <cell r="B1774" t="str">
            <v>1334981</v>
          </cell>
          <cell r="C1774" t="str">
            <v>6365RDS-8972-481</v>
          </cell>
          <cell r="D1774" t="str">
            <v>6365RDS</v>
          </cell>
          <cell r="E1774" t="str">
            <v>6365RDS GLOCK 47 X300U STX BSK BLK RH</v>
          </cell>
          <cell r="F1774" t="str">
            <v>DG-HOLSTER-RDS-DTC</v>
          </cell>
          <cell r="G1774" t="str">
            <v>1420-210-FG</v>
          </cell>
          <cell r="H1774" t="str">
            <v>R</v>
          </cell>
          <cell r="I1774" t="str">
            <v>06/10/2024</v>
          </cell>
          <cell r="J1774" t="str">
            <v>06/10/2024</v>
          </cell>
          <cell r="K1774" t="str">
            <v>06/24/2024</v>
          </cell>
          <cell r="L1774">
            <v>5</v>
          </cell>
          <cell r="M1774" t="str">
            <v>6/13/2024 10:53:13 AM</v>
          </cell>
          <cell r="N1774" t="str">
            <v>26</v>
          </cell>
          <cell r="O1774">
            <v>5</v>
          </cell>
          <cell r="P1774">
            <v>2</v>
          </cell>
        </row>
        <row r="1775">
          <cell r="A1775" t="str">
            <v>6727055</v>
          </cell>
          <cell r="B1775" t="str">
            <v>1325745</v>
          </cell>
          <cell r="C1775" t="str">
            <v>6365RDS-8972-132</v>
          </cell>
          <cell r="D1775" t="str">
            <v>6365RDS</v>
          </cell>
          <cell r="E1775" t="str">
            <v>6365RDS GLOCK 47 X300U STX TAC BLK LH</v>
          </cell>
          <cell r="F1775" t="str">
            <v>DG-HOLSTER-RDS</v>
          </cell>
          <cell r="G1775" t="str">
            <v>1420-210-FG</v>
          </cell>
          <cell r="H1775" t="str">
            <v>R</v>
          </cell>
          <cell r="I1775" t="str">
            <v>06/10/2024</v>
          </cell>
          <cell r="J1775" t="str">
            <v>06/10/2024</v>
          </cell>
          <cell r="K1775" t="str">
            <v>06/24/2024</v>
          </cell>
          <cell r="L1775">
            <v>5</v>
          </cell>
          <cell r="M1775" t="str">
            <v>6/13/2024 10:37:08 AM</v>
          </cell>
          <cell r="N1775" t="str">
            <v>26</v>
          </cell>
          <cell r="O1775">
            <v>5</v>
          </cell>
          <cell r="P1775">
            <v>2</v>
          </cell>
        </row>
        <row r="1776">
          <cell r="A1776" t="str">
            <v>6727054</v>
          </cell>
          <cell r="B1776" t="str">
            <v>1325744</v>
          </cell>
          <cell r="C1776" t="str">
            <v>6365RDS-8972-131</v>
          </cell>
          <cell r="D1776" t="str">
            <v>6365RDS</v>
          </cell>
          <cell r="E1776" t="str">
            <v>6365RDS GLOCK 47 X300U STX TAC BLK RH</v>
          </cell>
          <cell r="F1776" t="str">
            <v>DG-HOLSTER-RDS</v>
          </cell>
          <cell r="G1776" t="str">
            <v>1420-210-FG</v>
          </cell>
          <cell r="H1776" t="str">
            <v>R</v>
          </cell>
          <cell r="I1776" t="str">
            <v>06/10/2024</v>
          </cell>
          <cell r="J1776" t="str">
            <v>06/10/2024</v>
          </cell>
          <cell r="K1776" t="str">
            <v>06/24/2024</v>
          </cell>
          <cell r="L1776">
            <v>5</v>
          </cell>
          <cell r="M1776" t="str">
            <v>6/13/2024 10:37:08 AM</v>
          </cell>
          <cell r="N1776" t="str">
            <v>26</v>
          </cell>
          <cell r="O1776">
            <v>5</v>
          </cell>
          <cell r="P1776">
            <v>2</v>
          </cell>
        </row>
        <row r="1777">
          <cell r="A1777" t="str">
            <v>6727062</v>
          </cell>
          <cell r="B1777" t="str">
            <v>1326138</v>
          </cell>
          <cell r="C1777" t="str">
            <v>6365RDS-8182-131</v>
          </cell>
          <cell r="D1777" t="str">
            <v>6365RDS</v>
          </cell>
          <cell r="E1777" t="str">
            <v>6365RDS MP 2.0 9MM X300U STX TAC BLK RH</v>
          </cell>
          <cell r="F1777" t="str">
            <v>DG-HOLSTER-RDS</v>
          </cell>
          <cell r="G1777" t="str">
            <v>1420-210-FG</v>
          </cell>
          <cell r="H1777" t="str">
            <v>R</v>
          </cell>
          <cell r="I1777" t="str">
            <v>06/10/2024</v>
          </cell>
          <cell r="J1777" t="str">
            <v>06/10/2024</v>
          </cell>
          <cell r="K1777" t="str">
            <v>06/24/2024</v>
          </cell>
          <cell r="L1777">
            <v>5</v>
          </cell>
          <cell r="M1777" t="str">
            <v>6/13/2024 11:33:39 AM</v>
          </cell>
          <cell r="N1777" t="str">
            <v>26</v>
          </cell>
          <cell r="O1777">
            <v>5</v>
          </cell>
          <cell r="P1777">
            <v>2</v>
          </cell>
        </row>
        <row r="1778">
          <cell r="A1778" t="str">
            <v>6727020</v>
          </cell>
          <cell r="B1778" t="str">
            <v>1323734</v>
          </cell>
          <cell r="C1778" t="str">
            <v>6365RDS-582-132</v>
          </cell>
          <cell r="D1778" t="str">
            <v>6365RDS</v>
          </cell>
          <cell r="E1778" t="str">
            <v>6365RDS PRODIGY 4.25" X300U STX BLK LH</v>
          </cell>
          <cell r="F1778" t="str">
            <v>DG-HOLSTER-RDS</v>
          </cell>
          <cell r="G1778" t="str">
            <v>1420-210-FG</v>
          </cell>
          <cell r="H1778" t="str">
            <v>R</v>
          </cell>
          <cell r="I1778" t="str">
            <v>06/10/2024</v>
          </cell>
          <cell r="J1778" t="str">
            <v>06/10/2024</v>
          </cell>
          <cell r="K1778" t="str">
            <v>06/24/2024</v>
          </cell>
          <cell r="L1778">
            <v>5</v>
          </cell>
          <cell r="M1778" t="str">
            <v>6/13/2024 10:37:08 AM</v>
          </cell>
          <cell r="N1778" t="str">
            <v>26</v>
          </cell>
          <cell r="O1778">
            <v>5</v>
          </cell>
          <cell r="P1778">
            <v>2</v>
          </cell>
        </row>
        <row r="1779">
          <cell r="A1779" t="str">
            <v>6727003</v>
          </cell>
          <cell r="B1779" t="str">
            <v>1208118</v>
          </cell>
          <cell r="C1779" t="str">
            <v>6365RDS-7502-131</v>
          </cell>
          <cell r="D1779" t="str">
            <v>6365RDS</v>
          </cell>
          <cell r="E1779" t="str">
            <v>6365RDS SIG 320CRX X300U STX TAC BLK RH</v>
          </cell>
          <cell r="F1779" t="str">
            <v>DG-HOLSTER-RDS</v>
          </cell>
          <cell r="G1779" t="str">
            <v>1420-210-FG</v>
          </cell>
          <cell r="H1779" t="str">
            <v>F</v>
          </cell>
          <cell r="I1779" t="str">
            <v>06/10/2024</v>
          </cell>
          <cell r="J1779" t="str">
            <v>06/10/2024</v>
          </cell>
          <cell r="K1779" t="str">
            <v>06/24/2024</v>
          </cell>
          <cell r="L1779">
            <v>5</v>
          </cell>
          <cell r="M1779" t="str">
            <v/>
          </cell>
          <cell r="N1779" t="str">
            <v>26</v>
          </cell>
          <cell r="O1779">
            <v>5</v>
          </cell>
          <cell r="P1779">
            <v>2</v>
          </cell>
        </row>
        <row r="1780">
          <cell r="A1780" t="str">
            <v>6726997</v>
          </cell>
          <cell r="B1780" t="str">
            <v>1207988</v>
          </cell>
          <cell r="C1780" t="str">
            <v>6365RDS-4502-481</v>
          </cell>
          <cell r="D1780" t="str">
            <v>6365RDS</v>
          </cell>
          <cell r="E1780" t="str">
            <v>6365RDS SIG 320RX X300U STX BSK BLK RH</v>
          </cell>
          <cell r="F1780" t="str">
            <v>DG-HOLSTER-RDS</v>
          </cell>
          <cell r="G1780" t="str">
            <v>1420-210-FG</v>
          </cell>
          <cell r="H1780" t="str">
            <v>R</v>
          </cell>
          <cell r="I1780" t="str">
            <v>06/10/2024</v>
          </cell>
          <cell r="J1780" t="str">
            <v>06/10/2024</v>
          </cell>
          <cell r="K1780" t="str">
            <v>06/24/2024</v>
          </cell>
          <cell r="L1780">
            <v>5</v>
          </cell>
          <cell r="M1780" t="str">
            <v>6/13/2024 11:38:58 AM</v>
          </cell>
          <cell r="N1780" t="str">
            <v>26</v>
          </cell>
          <cell r="O1780">
            <v>5</v>
          </cell>
          <cell r="P1780">
            <v>2.17</v>
          </cell>
        </row>
        <row r="1781">
          <cell r="A1781" t="str">
            <v>6726996</v>
          </cell>
          <cell r="B1781" t="str">
            <v>1207984</v>
          </cell>
          <cell r="C1781" t="str">
            <v>6365RDS-4502-131</v>
          </cell>
          <cell r="D1781" t="str">
            <v>6365RDS</v>
          </cell>
          <cell r="E1781" t="str">
            <v>6365RDS SIG 320RX X300U STX TAC BLK RH</v>
          </cell>
          <cell r="F1781" t="str">
            <v>DG-HOLSTER-RDS</v>
          </cell>
          <cell r="G1781" t="str">
            <v>1420-210-FG</v>
          </cell>
          <cell r="H1781" t="str">
            <v>R</v>
          </cell>
          <cell r="I1781" t="str">
            <v>06/10/2024</v>
          </cell>
          <cell r="J1781" t="str">
            <v>06/10/2024</v>
          </cell>
          <cell r="K1781" t="str">
            <v>06/24/2024</v>
          </cell>
          <cell r="L1781">
            <v>10</v>
          </cell>
          <cell r="M1781" t="str">
            <v>6/13/2024 11:33:39 AM</v>
          </cell>
          <cell r="N1781" t="str">
            <v>26</v>
          </cell>
          <cell r="O1781">
            <v>10</v>
          </cell>
          <cell r="P1781">
            <v>4.33</v>
          </cell>
        </row>
        <row r="1782">
          <cell r="A1782" t="str">
            <v>6726831</v>
          </cell>
          <cell r="B1782" t="str">
            <v>1125769</v>
          </cell>
          <cell r="C1782" t="str">
            <v>6367-53-131</v>
          </cell>
          <cell r="D1782" t="str">
            <v>6367</v>
          </cell>
          <cell r="E1782" t="str">
            <v>6367 COLT 1911 STX TAC BLK RH</v>
          </cell>
          <cell r="F1782" t="str">
            <v>DG-HOLSTER</v>
          </cell>
          <cell r="G1782" t="str">
            <v>1420-210-FG</v>
          </cell>
          <cell r="H1782" t="str">
            <v>R</v>
          </cell>
          <cell r="I1782" t="str">
            <v>06/10/2024</v>
          </cell>
          <cell r="J1782" t="str">
            <v>06/10/2024</v>
          </cell>
          <cell r="K1782" t="str">
            <v>06/24/2024</v>
          </cell>
          <cell r="L1782">
            <v>5</v>
          </cell>
          <cell r="M1782" t="str">
            <v>6/13/2024 10:37:08 AM</v>
          </cell>
          <cell r="N1782" t="str">
            <v>26</v>
          </cell>
          <cell r="O1782">
            <v>5</v>
          </cell>
          <cell r="P1782">
            <v>1.1599999999999999</v>
          </cell>
        </row>
        <row r="1783">
          <cell r="A1783" t="str">
            <v>6726840</v>
          </cell>
          <cell r="B1783" t="str">
            <v>1129225</v>
          </cell>
          <cell r="C1783" t="str">
            <v>6367-619-131</v>
          </cell>
          <cell r="D1783" t="str">
            <v>6367</v>
          </cell>
          <cell r="E1783" t="str">
            <v>6367 S&amp;W M&amp;P 9/40 4IN STX TAC BLK RH</v>
          </cell>
          <cell r="F1783" t="str">
            <v>DG-HOLSTER</v>
          </cell>
          <cell r="G1783" t="str">
            <v>1420-210-FG</v>
          </cell>
          <cell r="H1783" t="str">
            <v>R</v>
          </cell>
          <cell r="I1783" t="str">
            <v>06/10/2024</v>
          </cell>
          <cell r="J1783" t="str">
            <v>06/10/2024</v>
          </cell>
          <cell r="K1783" t="str">
            <v>06/24/2024</v>
          </cell>
          <cell r="L1783">
            <v>5</v>
          </cell>
          <cell r="M1783" t="str">
            <v>6/13/2024 10:37:08 AM</v>
          </cell>
          <cell r="N1783" t="str">
            <v>26</v>
          </cell>
          <cell r="O1783">
            <v>5</v>
          </cell>
          <cell r="P1783">
            <v>1.1599999999999999</v>
          </cell>
        </row>
        <row r="1784">
          <cell r="A1784" t="str">
            <v>6727627</v>
          </cell>
          <cell r="B1784" t="str">
            <v>1128074</v>
          </cell>
          <cell r="C1784" t="str">
            <v>6378-53-411</v>
          </cell>
          <cell r="D1784" t="str">
            <v>6378</v>
          </cell>
          <cell r="E1784" t="str">
            <v>6378 COLT 1911 STX PLN BLK RH</v>
          </cell>
          <cell r="F1784" t="str">
            <v>DG-HOLSTER-DTC</v>
          </cell>
          <cell r="G1784" t="str">
            <v>1420-210-FG</v>
          </cell>
          <cell r="H1784" t="str">
            <v>R</v>
          </cell>
          <cell r="I1784" t="str">
            <v>06/11/2024</v>
          </cell>
          <cell r="J1784" t="str">
            <v>06/11/2024</v>
          </cell>
          <cell r="K1784" t="str">
            <v>06/24/2024</v>
          </cell>
          <cell r="L1784">
            <v>25</v>
          </cell>
          <cell r="M1784" t="str">
            <v>6/13/2024 11:06:12 AM</v>
          </cell>
          <cell r="N1784" t="str">
            <v>26</v>
          </cell>
          <cell r="O1784">
            <v>25</v>
          </cell>
          <cell r="P1784">
            <v>10.43</v>
          </cell>
        </row>
        <row r="1785">
          <cell r="A1785" t="str">
            <v>6726938</v>
          </cell>
          <cell r="B1785" t="str">
            <v>1129454</v>
          </cell>
          <cell r="C1785" t="str">
            <v>6378-53-131</v>
          </cell>
          <cell r="D1785" t="str">
            <v>6378</v>
          </cell>
          <cell r="E1785" t="str">
            <v>6378 COLT 1911 STX TAC BLK RH</v>
          </cell>
          <cell r="F1785" t="str">
            <v>DG-HOLSTER-DTC</v>
          </cell>
          <cell r="G1785" t="str">
            <v>1420-210-FG</v>
          </cell>
          <cell r="H1785" t="str">
            <v>R</v>
          </cell>
          <cell r="I1785" t="str">
            <v>06/10/2024</v>
          </cell>
          <cell r="J1785" t="str">
            <v>06/10/2024</v>
          </cell>
          <cell r="K1785" t="str">
            <v>06/24/2024</v>
          </cell>
          <cell r="L1785">
            <v>5</v>
          </cell>
          <cell r="M1785" t="str">
            <v>6/13/2024 11:02:36 AM</v>
          </cell>
          <cell r="N1785" t="str">
            <v>26</v>
          </cell>
          <cell r="O1785">
            <v>5</v>
          </cell>
          <cell r="P1785">
            <v>2.09</v>
          </cell>
        </row>
        <row r="1786">
          <cell r="A1786" t="str">
            <v>6728585</v>
          </cell>
          <cell r="B1786" t="str">
            <v>1123987</v>
          </cell>
          <cell r="C1786" t="str">
            <v>6378-83-131</v>
          </cell>
          <cell r="D1786" t="str">
            <v>6378</v>
          </cell>
          <cell r="E1786" t="str">
            <v>6378 GLOCK 17/22 STX TAC BLK RH</v>
          </cell>
          <cell r="F1786" t="str">
            <v>DG-HOLSTER-DTC</v>
          </cell>
          <cell r="G1786" t="str">
            <v>1420-210-FG</v>
          </cell>
          <cell r="H1786" t="str">
            <v>R</v>
          </cell>
          <cell r="I1786" t="str">
            <v>06/12/2024</v>
          </cell>
          <cell r="J1786" t="str">
            <v>06/12/2024</v>
          </cell>
          <cell r="K1786" t="str">
            <v>06/24/2024</v>
          </cell>
          <cell r="L1786">
            <v>40</v>
          </cell>
          <cell r="M1786" t="str">
            <v>6/13/2024 11:02:36 AM</v>
          </cell>
          <cell r="N1786" t="str">
            <v>26</v>
          </cell>
          <cell r="O1786">
            <v>40</v>
          </cell>
          <cell r="P1786">
            <v>6.65</v>
          </cell>
        </row>
        <row r="1787">
          <cell r="A1787" t="str">
            <v>6726926</v>
          </cell>
          <cell r="B1787" t="str">
            <v>1134094</v>
          </cell>
          <cell r="C1787" t="str">
            <v>6378-832-131</v>
          </cell>
          <cell r="D1787" t="str">
            <v>6378</v>
          </cell>
          <cell r="E1787" t="str">
            <v>6378 GLOCK 17/22 W/X300 STX TAC BLK RH</v>
          </cell>
          <cell r="F1787" t="str">
            <v>DG-HOLSTER-DTC</v>
          </cell>
          <cell r="G1787" t="str">
            <v>1420-210-FG</v>
          </cell>
          <cell r="H1787" t="str">
            <v>R</v>
          </cell>
          <cell r="I1787" t="str">
            <v>06/10/2024</v>
          </cell>
          <cell r="J1787" t="str">
            <v>06/10/2024</v>
          </cell>
          <cell r="K1787" t="str">
            <v>06/24/2024</v>
          </cell>
          <cell r="L1787">
            <v>20</v>
          </cell>
          <cell r="M1787" t="str">
            <v>6/13/2024 11:02:36 AM</v>
          </cell>
          <cell r="N1787" t="str">
            <v>26</v>
          </cell>
          <cell r="O1787">
            <v>20</v>
          </cell>
          <cell r="P1787">
            <v>13.55</v>
          </cell>
        </row>
        <row r="1788">
          <cell r="A1788" t="str">
            <v>6726935</v>
          </cell>
          <cell r="B1788" t="str">
            <v>1124356</v>
          </cell>
          <cell r="C1788" t="str">
            <v>6378-283-412</v>
          </cell>
          <cell r="D1788" t="str">
            <v>6378</v>
          </cell>
          <cell r="E1788" t="str">
            <v>6378 GLOCK 19/23 STX PLN BLK LH</v>
          </cell>
          <cell r="F1788" t="str">
            <v>DG-HOLSTER-DTC</v>
          </cell>
          <cell r="G1788" t="str">
            <v>1420-210-FG</v>
          </cell>
          <cell r="H1788" t="str">
            <v>R</v>
          </cell>
          <cell r="I1788" t="str">
            <v>06/10/2024</v>
          </cell>
          <cell r="J1788" t="str">
            <v>06/10/2024</v>
          </cell>
          <cell r="K1788" t="str">
            <v>06/24/2024</v>
          </cell>
          <cell r="L1788">
            <v>15</v>
          </cell>
          <cell r="M1788" t="str">
            <v>6/13/2024 11:06:12 AM</v>
          </cell>
          <cell r="N1788" t="str">
            <v>26</v>
          </cell>
          <cell r="O1788">
            <v>15</v>
          </cell>
          <cell r="P1788">
            <v>6.76</v>
          </cell>
        </row>
        <row r="1789">
          <cell r="A1789" t="str">
            <v>6727628</v>
          </cell>
          <cell r="B1789" t="str">
            <v>1138345</v>
          </cell>
          <cell r="C1789" t="str">
            <v>6378-2832-411</v>
          </cell>
          <cell r="D1789" t="str">
            <v>6378</v>
          </cell>
          <cell r="E1789" t="str">
            <v>6378 GLOCK 19/23 W/X300 STX PLN BLK RH</v>
          </cell>
          <cell r="F1789" t="str">
            <v>DG-HOLSTER-DTC</v>
          </cell>
          <cell r="G1789" t="str">
            <v>1420-210-FG</v>
          </cell>
          <cell r="H1789" t="str">
            <v>R</v>
          </cell>
          <cell r="I1789" t="str">
            <v>06/11/2024</v>
          </cell>
          <cell r="J1789" t="str">
            <v>06/11/2024</v>
          </cell>
          <cell r="K1789" t="str">
            <v>06/24/2024</v>
          </cell>
          <cell r="L1789">
            <v>40</v>
          </cell>
          <cell r="M1789" t="str">
            <v>6/13/2024 11:06:12 AM</v>
          </cell>
          <cell r="N1789" t="str">
            <v>26</v>
          </cell>
          <cell r="O1789">
            <v>40</v>
          </cell>
          <cell r="P1789">
            <v>27.06</v>
          </cell>
        </row>
        <row r="1790">
          <cell r="A1790" t="str">
            <v>6726928</v>
          </cell>
          <cell r="B1790" t="str">
            <v>1137803</v>
          </cell>
          <cell r="C1790" t="str">
            <v>6378-2832-131</v>
          </cell>
          <cell r="D1790" t="str">
            <v>6378</v>
          </cell>
          <cell r="E1790" t="str">
            <v>6378 GLOCK 19/23 W/X300 STX TAC BLK RH</v>
          </cell>
          <cell r="F1790" t="str">
            <v>DG-HOLSTER-DTC</v>
          </cell>
          <cell r="G1790" t="str">
            <v>1420-210-FG</v>
          </cell>
          <cell r="H1790" t="str">
            <v>R</v>
          </cell>
          <cell r="I1790" t="str">
            <v>06/10/2024</v>
          </cell>
          <cell r="J1790" t="str">
            <v>06/10/2024</v>
          </cell>
          <cell r="K1790" t="str">
            <v>06/24/2024</v>
          </cell>
          <cell r="L1790">
            <v>25</v>
          </cell>
          <cell r="M1790" t="str">
            <v>6/13/2024 11:02:36 AM</v>
          </cell>
          <cell r="N1790" t="str">
            <v>26</v>
          </cell>
          <cell r="O1790">
            <v>25</v>
          </cell>
          <cell r="P1790">
            <v>16.920000000000002</v>
          </cell>
        </row>
        <row r="1791">
          <cell r="A1791" t="str">
            <v>6727639</v>
          </cell>
          <cell r="B1791" t="str">
            <v>1138242</v>
          </cell>
          <cell r="C1791" t="str">
            <v>6378-2832-551</v>
          </cell>
          <cell r="D1791" t="str">
            <v>6378</v>
          </cell>
          <cell r="E1791" t="str">
            <v>6378 GLOCK 19/23 W/X300 STX TAC FDE RH</v>
          </cell>
          <cell r="F1791" t="str">
            <v>DG-HOLSTER-DTC</v>
          </cell>
          <cell r="G1791" t="str">
            <v>1420-210-FG</v>
          </cell>
          <cell r="H1791" t="str">
            <v>R</v>
          </cell>
          <cell r="I1791" t="str">
            <v>06/11/2024</v>
          </cell>
          <cell r="J1791" t="str">
            <v>06/11/2024</v>
          </cell>
          <cell r="K1791" t="str">
            <v>06/24/2024</v>
          </cell>
          <cell r="L1791">
            <v>15</v>
          </cell>
          <cell r="M1791" t="str">
            <v>6/13/2024 11:08:47 AM</v>
          </cell>
          <cell r="N1791" t="str">
            <v>26</v>
          </cell>
          <cell r="O1791">
            <v>15</v>
          </cell>
          <cell r="P1791">
            <v>10.15</v>
          </cell>
        </row>
        <row r="1792">
          <cell r="A1792" t="str">
            <v>6728012</v>
          </cell>
          <cell r="B1792" t="str">
            <v>1141025</v>
          </cell>
          <cell r="C1792" t="str">
            <v>6378-383-411</v>
          </cell>
          <cell r="D1792" t="str">
            <v>6378</v>
          </cell>
          <cell r="E1792" t="str">
            <v>6378 GLOCK 20/21  STX PLN BLK RH</v>
          </cell>
          <cell r="F1792" t="str">
            <v>DG-HOLSTER-DTC</v>
          </cell>
          <cell r="G1792" t="str">
            <v>1420-210-FG</v>
          </cell>
          <cell r="H1792" t="str">
            <v>R</v>
          </cell>
          <cell r="I1792" t="str">
            <v>06/11/2024</v>
          </cell>
          <cell r="J1792" t="str">
            <v>06/13/2024</v>
          </cell>
          <cell r="K1792" t="str">
            <v>06/24/2024</v>
          </cell>
          <cell r="L1792">
            <v>20</v>
          </cell>
          <cell r="M1792" t="str">
            <v>6/13/2024 11:06:12 AM</v>
          </cell>
          <cell r="N1792" t="str">
            <v>26</v>
          </cell>
          <cell r="O1792">
            <v>20</v>
          </cell>
          <cell r="P1792">
            <v>8.36</v>
          </cell>
        </row>
        <row r="1793">
          <cell r="A1793" t="str">
            <v>6728065</v>
          </cell>
          <cell r="B1793" t="str">
            <v>1139731</v>
          </cell>
          <cell r="C1793" t="str">
            <v>6378-3832-411</v>
          </cell>
          <cell r="D1793" t="str">
            <v>6378</v>
          </cell>
          <cell r="E1793" t="str">
            <v>6378 GLOCK 20/21 W/X300 STX PLN BLK RH</v>
          </cell>
          <cell r="F1793" t="str">
            <v>DG-HOLSTER-DTC</v>
          </cell>
          <cell r="G1793" t="str">
            <v>1420-210-FG</v>
          </cell>
          <cell r="H1793" t="str">
            <v>R</v>
          </cell>
          <cell r="I1793" t="str">
            <v>06/11/2024</v>
          </cell>
          <cell r="J1793" t="str">
            <v>06/17/2024</v>
          </cell>
          <cell r="K1793" t="str">
            <v>06/24/2024</v>
          </cell>
          <cell r="L1793">
            <v>10</v>
          </cell>
          <cell r="M1793" t="str">
            <v>6/13/2024 11:06:12 AM</v>
          </cell>
          <cell r="N1793" t="str">
            <v>26</v>
          </cell>
          <cell r="O1793">
            <v>10</v>
          </cell>
          <cell r="P1793">
            <v>6.42</v>
          </cell>
        </row>
        <row r="1794">
          <cell r="A1794" t="str">
            <v>6727632</v>
          </cell>
          <cell r="B1794" t="str">
            <v>1124809</v>
          </cell>
          <cell r="C1794" t="str">
            <v>6378-183-412</v>
          </cell>
          <cell r="D1794" t="str">
            <v>6378</v>
          </cell>
          <cell r="E1794" t="str">
            <v>6378 GLOCK 26/27 STX PLN BLK LH</v>
          </cell>
          <cell r="F1794" t="str">
            <v>DG-HOLSTER-DTC</v>
          </cell>
          <cell r="G1794" t="str">
            <v>1420-210-FG</v>
          </cell>
          <cell r="H1794" t="str">
            <v>R</v>
          </cell>
          <cell r="I1794" t="str">
            <v>06/11/2024</v>
          </cell>
          <cell r="J1794" t="str">
            <v>06/11/2024</v>
          </cell>
          <cell r="K1794" t="str">
            <v>06/24/2024</v>
          </cell>
          <cell r="L1794">
            <v>5</v>
          </cell>
          <cell r="M1794" t="str">
            <v>6/13/2024 11:06:12 AM</v>
          </cell>
          <cell r="N1794" t="str">
            <v>26</v>
          </cell>
          <cell r="O1794">
            <v>5</v>
          </cell>
          <cell r="P1794">
            <v>2.09</v>
          </cell>
        </row>
        <row r="1795">
          <cell r="A1795" t="str">
            <v>6728285</v>
          </cell>
          <cell r="B1795" t="str">
            <v>1132390</v>
          </cell>
          <cell r="C1795" t="str">
            <v>6378-483-411</v>
          </cell>
          <cell r="D1795" t="str">
            <v>6378</v>
          </cell>
          <cell r="E1795" t="str">
            <v>6378 GLOCK 29/30 STX PLN BLK RH</v>
          </cell>
          <cell r="F1795" t="str">
            <v>DG-HOLSTER-SEW-DTC</v>
          </cell>
          <cell r="G1795" t="str">
            <v>1420-210-FG</v>
          </cell>
          <cell r="H1795" t="str">
            <v>R</v>
          </cell>
          <cell r="I1795" t="str">
            <v>06/11/2024</v>
          </cell>
          <cell r="J1795" t="str">
            <v>06/14/2024</v>
          </cell>
          <cell r="K1795" t="str">
            <v>06/24/2024</v>
          </cell>
          <cell r="L1795">
            <v>10</v>
          </cell>
          <cell r="M1795" t="str">
            <v>6/13/2024 11:06:12 AM</v>
          </cell>
          <cell r="N1795" t="str">
            <v>26</v>
          </cell>
          <cell r="O1795">
            <v>10</v>
          </cell>
          <cell r="P1795">
            <v>4.17</v>
          </cell>
        </row>
        <row r="1796">
          <cell r="A1796" t="str">
            <v>6727636</v>
          </cell>
          <cell r="B1796" t="str">
            <v>1129859</v>
          </cell>
          <cell r="C1796" t="str">
            <v>6378-295-411</v>
          </cell>
          <cell r="D1796" t="str">
            <v>6378</v>
          </cell>
          <cell r="E1796" t="str">
            <v>6378 H&amp;K P30 STX PLN BLK RH</v>
          </cell>
          <cell r="F1796" t="str">
            <v>DG-HOLSTER-DTC</v>
          </cell>
          <cell r="G1796" t="str">
            <v>1420-210-FG</v>
          </cell>
          <cell r="H1796" t="str">
            <v>R</v>
          </cell>
          <cell r="I1796" t="str">
            <v>06/11/2024</v>
          </cell>
          <cell r="J1796" t="str">
            <v>06/11/2024</v>
          </cell>
          <cell r="K1796" t="str">
            <v>06/24/2024</v>
          </cell>
          <cell r="L1796">
            <v>5</v>
          </cell>
          <cell r="M1796" t="str">
            <v>6/13/2024 11:06:12 AM</v>
          </cell>
          <cell r="N1796" t="str">
            <v>26</v>
          </cell>
          <cell r="O1796">
            <v>5</v>
          </cell>
          <cell r="P1796">
            <v>2.09</v>
          </cell>
        </row>
        <row r="1797">
          <cell r="A1797" t="str">
            <v>6727633</v>
          </cell>
          <cell r="B1797" t="str">
            <v>1126904</v>
          </cell>
          <cell r="C1797" t="str">
            <v>6378-91-411</v>
          </cell>
          <cell r="D1797" t="str">
            <v>6378</v>
          </cell>
          <cell r="E1797" t="str">
            <v>6378 H&amp;K USP 9/40 STX PLN BLK RH</v>
          </cell>
          <cell r="F1797" t="str">
            <v>DG-HOLSTER-DTC</v>
          </cell>
          <cell r="G1797" t="str">
            <v>1420-210-FG</v>
          </cell>
          <cell r="H1797" t="str">
            <v>R</v>
          </cell>
          <cell r="I1797" t="str">
            <v>06/11/2024</v>
          </cell>
          <cell r="J1797" t="str">
            <v>06/11/2024</v>
          </cell>
          <cell r="K1797" t="str">
            <v>06/24/2024</v>
          </cell>
          <cell r="L1797">
            <v>5</v>
          </cell>
          <cell r="M1797" t="str">
            <v>6/13/2024 11:06:12 AM</v>
          </cell>
          <cell r="N1797" t="str">
            <v>26</v>
          </cell>
          <cell r="O1797">
            <v>5</v>
          </cell>
          <cell r="P1797">
            <v>2.09</v>
          </cell>
        </row>
        <row r="1798">
          <cell r="A1798" t="str">
            <v>6728096</v>
          </cell>
          <cell r="B1798" t="str">
            <v>1209774</v>
          </cell>
          <cell r="C1798" t="str">
            <v>6378-2222-131</v>
          </cell>
          <cell r="D1798" t="str">
            <v>6378</v>
          </cell>
          <cell r="E1798" t="str">
            <v>6378 S&amp;W M&amp;P9 2.0 X300U STX TAC BLK RH</v>
          </cell>
          <cell r="F1798" t="str">
            <v>DG-HOLSTER-DTC</v>
          </cell>
          <cell r="G1798" t="str">
            <v>1420-210-FG</v>
          </cell>
          <cell r="H1798" t="str">
            <v>R</v>
          </cell>
          <cell r="I1798" t="str">
            <v>06/11/2024</v>
          </cell>
          <cell r="J1798" t="str">
            <v>06/17/2024</v>
          </cell>
          <cell r="K1798" t="str">
            <v>06/24/2024</v>
          </cell>
          <cell r="L1798">
            <v>5</v>
          </cell>
          <cell r="M1798" t="str">
            <v>6/13/2024 11:02:36 AM</v>
          </cell>
          <cell r="N1798" t="str">
            <v>26</v>
          </cell>
          <cell r="O1798">
            <v>5</v>
          </cell>
          <cell r="P1798">
            <v>1.76</v>
          </cell>
        </row>
        <row r="1799">
          <cell r="A1799" t="str">
            <v>6727631</v>
          </cell>
          <cell r="B1799" t="str">
            <v>1123780</v>
          </cell>
          <cell r="C1799" t="str">
            <v>6378-77-411</v>
          </cell>
          <cell r="D1799" t="str">
            <v>6378</v>
          </cell>
          <cell r="E1799" t="str">
            <v>6378 SIG P226 STX PLN BLK RH</v>
          </cell>
          <cell r="F1799" t="str">
            <v>DG-HOLSTER-DTC</v>
          </cell>
          <cell r="G1799" t="str">
            <v>1420-210-FG</v>
          </cell>
          <cell r="H1799" t="str">
            <v>R</v>
          </cell>
          <cell r="I1799" t="str">
            <v>06/11/2024</v>
          </cell>
          <cell r="J1799" t="str">
            <v>06/11/2024</v>
          </cell>
          <cell r="K1799" t="str">
            <v>06/24/2024</v>
          </cell>
          <cell r="L1799">
            <v>10</v>
          </cell>
          <cell r="M1799" t="str">
            <v>6/13/2024 11:06:12 AM</v>
          </cell>
          <cell r="N1799" t="str">
            <v>26</v>
          </cell>
          <cell r="O1799">
            <v>10</v>
          </cell>
          <cell r="P1799">
            <v>4.17</v>
          </cell>
        </row>
        <row r="1800">
          <cell r="A1800" t="str">
            <v>6727634</v>
          </cell>
          <cell r="B1800" t="str">
            <v>1128070</v>
          </cell>
          <cell r="C1800" t="str">
            <v>6378-56-411</v>
          </cell>
          <cell r="D1800" t="str">
            <v>6378</v>
          </cell>
          <cell r="E1800" t="str">
            <v>6378 SPG FLD OPR 1911 STX PLN BLK RH</v>
          </cell>
          <cell r="F1800" t="str">
            <v>DG-HOLSTER-DTC</v>
          </cell>
          <cell r="G1800" t="str">
            <v>1420-210-FG</v>
          </cell>
          <cell r="H1800" t="str">
            <v>R</v>
          </cell>
          <cell r="I1800" t="str">
            <v>06/11/2024</v>
          </cell>
          <cell r="J1800" t="str">
            <v>06/11/2024</v>
          </cell>
          <cell r="K1800" t="str">
            <v>06/24/2024</v>
          </cell>
          <cell r="L1800">
            <v>10</v>
          </cell>
          <cell r="M1800" t="str">
            <v>6/13/2024 11:06:12 AM</v>
          </cell>
          <cell r="N1800" t="str">
            <v>26</v>
          </cell>
          <cell r="O1800">
            <v>10</v>
          </cell>
          <cell r="P1800">
            <v>4.17</v>
          </cell>
        </row>
        <row r="1801">
          <cell r="A1801" t="str">
            <v>6727635</v>
          </cell>
          <cell r="B1801" t="str">
            <v>1128912</v>
          </cell>
          <cell r="C1801" t="str">
            <v>6378-148-411</v>
          </cell>
          <cell r="D1801" t="str">
            <v>6378</v>
          </cell>
          <cell r="E1801" t="str">
            <v>6378 SPRGNFD XD STX PLN BLK RH</v>
          </cell>
          <cell r="F1801" t="str">
            <v>DG-HOLSTER-DTC</v>
          </cell>
          <cell r="G1801" t="str">
            <v>1420-210-FG</v>
          </cell>
          <cell r="H1801" t="str">
            <v>R</v>
          </cell>
          <cell r="I1801" t="str">
            <v>06/11/2024</v>
          </cell>
          <cell r="J1801" t="str">
            <v>06/11/2024</v>
          </cell>
          <cell r="K1801" t="str">
            <v>06/24/2024</v>
          </cell>
          <cell r="L1801">
            <v>10</v>
          </cell>
          <cell r="M1801" t="str">
            <v>6/13/2024 11:06:12 AM</v>
          </cell>
          <cell r="N1801" t="str">
            <v>26</v>
          </cell>
          <cell r="O1801">
            <v>10</v>
          </cell>
          <cell r="P1801">
            <v>4.17</v>
          </cell>
        </row>
        <row r="1802">
          <cell r="A1802" t="str">
            <v>6727638</v>
          </cell>
          <cell r="B1802" t="str">
            <v>1136462</v>
          </cell>
          <cell r="C1802" t="str">
            <v>6378-146-411</v>
          </cell>
          <cell r="D1802" t="str">
            <v>6378</v>
          </cell>
          <cell r="E1802" t="str">
            <v>6378 SPRNGFLD XDM 40 STX PLN BLK RH</v>
          </cell>
          <cell r="F1802" t="str">
            <v>DG-HOLSTER-DTC</v>
          </cell>
          <cell r="G1802" t="str">
            <v>1420-210-FG</v>
          </cell>
          <cell r="H1802" t="str">
            <v>R</v>
          </cell>
          <cell r="I1802" t="str">
            <v>06/11/2024</v>
          </cell>
          <cell r="J1802" t="str">
            <v>06/11/2024</v>
          </cell>
          <cell r="K1802" t="str">
            <v>06/24/2024</v>
          </cell>
          <cell r="L1802">
            <v>5</v>
          </cell>
          <cell r="M1802" t="str">
            <v>6/13/2024 11:06:12 AM</v>
          </cell>
          <cell r="N1802" t="str">
            <v>26</v>
          </cell>
          <cell r="O1802">
            <v>5</v>
          </cell>
          <cell r="P1802">
            <v>2.09</v>
          </cell>
        </row>
        <row r="1803">
          <cell r="A1803" t="str">
            <v>6727637</v>
          </cell>
          <cell r="B1803" t="str">
            <v>1136177</v>
          </cell>
          <cell r="C1803" t="str">
            <v>6378-145-411</v>
          </cell>
          <cell r="D1803" t="str">
            <v>6378</v>
          </cell>
          <cell r="E1803" t="str">
            <v>6378 SPRNGFLD XDM 9 STX PLN BLK RH</v>
          </cell>
          <cell r="F1803" t="str">
            <v>DG-HOLSTER-DTC</v>
          </cell>
          <cell r="G1803" t="str">
            <v>1420-210-FG</v>
          </cell>
          <cell r="H1803" t="str">
            <v>R</v>
          </cell>
          <cell r="I1803" t="str">
            <v>06/11/2024</v>
          </cell>
          <cell r="J1803" t="str">
            <v>06/11/2024</v>
          </cell>
          <cell r="K1803" t="str">
            <v>06/24/2024</v>
          </cell>
          <cell r="L1803">
            <v>5</v>
          </cell>
          <cell r="M1803" t="str">
            <v>6/13/2024 11:06:12 AM</v>
          </cell>
          <cell r="N1803" t="str">
            <v>26</v>
          </cell>
          <cell r="O1803">
            <v>5</v>
          </cell>
          <cell r="P1803">
            <v>2.09</v>
          </cell>
        </row>
        <row r="1804">
          <cell r="A1804" t="str">
            <v>6728597</v>
          </cell>
          <cell r="B1804" t="str">
            <v>1329522</v>
          </cell>
          <cell r="C1804" t="str">
            <v>6378RDS-2712-131</v>
          </cell>
          <cell r="D1804" t="str">
            <v>6378RDS</v>
          </cell>
          <cell r="E1804" t="str">
            <v>6378RDS FN509T 4.5IN X300U STX TACBLK RH</v>
          </cell>
          <cell r="F1804" t="str">
            <v>DG-HOLSTER-RDS</v>
          </cell>
          <cell r="G1804" t="str">
            <v>1420-210-FG</v>
          </cell>
          <cell r="H1804" t="str">
            <v>R</v>
          </cell>
          <cell r="I1804" t="str">
            <v>06/12/2024</v>
          </cell>
          <cell r="J1804" t="str">
            <v>06/12/2024</v>
          </cell>
          <cell r="K1804" t="str">
            <v>06/24/2024</v>
          </cell>
          <cell r="L1804">
            <v>5</v>
          </cell>
          <cell r="M1804" t="str">
            <v>6/13/2024 11:33:39 AM</v>
          </cell>
          <cell r="N1804" t="str">
            <v>26</v>
          </cell>
          <cell r="O1804">
            <v>5</v>
          </cell>
          <cell r="P1804">
            <v>2</v>
          </cell>
        </row>
        <row r="1805">
          <cell r="A1805" t="str">
            <v>6727149</v>
          </cell>
          <cell r="B1805" t="str">
            <v>1200372</v>
          </cell>
          <cell r="C1805" t="str">
            <v>6378RDS-832-132</v>
          </cell>
          <cell r="D1805" t="str">
            <v>6378RDS</v>
          </cell>
          <cell r="E1805" t="str">
            <v>6378RDS GLOCK 17MOS X300U STX TAC BLK LH</v>
          </cell>
          <cell r="F1805" t="str">
            <v>DG-HOLSTER-RDS-DTC</v>
          </cell>
          <cell r="G1805" t="str">
            <v>1420-210-FG</v>
          </cell>
          <cell r="H1805" t="str">
            <v>R</v>
          </cell>
          <cell r="I1805" t="str">
            <v>06/10/2024</v>
          </cell>
          <cell r="J1805" t="str">
            <v>06/10/2024</v>
          </cell>
          <cell r="K1805" t="str">
            <v>06/24/2024</v>
          </cell>
          <cell r="L1805">
            <v>5</v>
          </cell>
          <cell r="M1805" t="str">
            <v>6/13/2024 11:33:39 AM</v>
          </cell>
          <cell r="N1805" t="str">
            <v>26</v>
          </cell>
          <cell r="O1805">
            <v>5</v>
          </cell>
          <cell r="P1805">
            <v>2.17</v>
          </cell>
        </row>
        <row r="1806">
          <cell r="A1806" t="str">
            <v>6727136</v>
          </cell>
          <cell r="B1806" t="str">
            <v>1320750</v>
          </cell>
          <cell r="C1806" t="str">
            <v>6378RDS-832-551</v>
          </cell>
          <cell r="D1806" t="str">
            <v>6378RDS</v>
          </cell>
          <cell r="E1806" t="str">
            <v>6378RDS GLOCK 17MOS X300U STX TAC FDE RH</v>
          </cell>
          <cell r="F1806" t="str">
            <v>DG-HOLSTER-RDS-DTC</v>
          </cell>
          <cell r="G1806" t="str">
            <v>1420-210-FG</v>
          </cell>
          <cell r="H1806" t="str">
            <v>R</v>
          </cell>
          <cell r="I1806" t="str">
            <v>06/10/2024</v>
          </cell>
          <cell r="J1806" t="str">
            <v>06/10/2024</v>
          </cell>
          <cell r="K1806" t="str">
            <v>06/24/2024</v>
          </cell>
          <cell r="L1806">
            <v>25</v>
          </cell>
          <cell r="M1806" t="str">
            <v>6/13/2024 11:36:56 AM</v>
          </cell>
          <cell r="N1806" t="str">
            <v>26</v>
          </cell>
          <cell r="O1806">
            <v>25</v>
          </cell>
          <cell r="P1806">
            <v>10.83</v>
          </cell>
        </row>
        <row r="1807">
          <cell r="A1807" t="str">
            <v>6724384</v>
          </cell>
          <cell r="B1807" t="str">
            <v>1206668</v>
          </cell>
          <cell r="C1807" t="str">
            <v>6378RDS-2832-781</v>
          </cell>
          <cell r="D1807" t="str">
            <v>6378RDS</v>
          </cell>
          <cell r="E1807" t="str">
            <v>6378RDS GLOCK 19MOS X300U CORD BLK RH</v>
          </cell>
          <cell r="F1807" t="str">
            <v>DG-HOLSTER-RDS-DTC</v>
          </cell>
          <cell r="G1807" t="str">
            <v>1420-210-FG</v>
          </cell>
          <cell r="H1807" t="str">
            <v>R</v>
          </cell>
          <cell r="I1807" t="str">
            <v>06/04/2024</v>
          </cell>
          <cell r="J1807" t="str">
            <v>06/04/2024</v>
          </cell>
          <cell r="K1807" t="str">
            <v>06/24/2024</v>
          </cell>
          <cell r="L1807">
            <v>5</v>
          </cell>
          <cell r="M1807" t="str">
            <v>6/13/2024 10:55:31 AM</v>
          </cell>
          <cell r="N1807" t="str">
            <v>26</v>
          </cell>
          <cell r="O1807">
            <v>5</v>
          </cell>
          <cell r="P1807">
            <v>2</v>
          </cell>
        </row>
        <row r="1808">
          <cell r="A1808" t="str">
            <v>6723765</v>
          </cell>
          <cell r="B1808" t="str">
            <v>1206613</v>
          </cell>
          <cell r="C1808" t="str">
            <v>6378RDS-2832-412</v>
          </cell>
          <cell r="D1808" t="str">
            <v>6378RDS</v>
          </cell>
          <cell r="E1808" t="str">
            <v>6378RDS GLOCK 19MOS X300U STX PLN BLK LH</v>
          </cell>
          <cell r="F1808" t="str">
            <v>DG-HOLSTER-RDS-DTC</v>
          </cell>
          <cell r="G1808" t="str">
            <v>1420-210-FG</v>
          </cell>
          <cell r="H1808" t="str">
            <v>R</v>
          </cell>
          <cell r="I1808" t="str">
            <v>06/03/2024</v>
          </cell>
          <cell r="J1808" t="str">
            <v>06/03/2024</v>
          </cell>
          <cell r="K1808" t="str">
            <v>06/24/2024</v>
          </cell>
          <cell r="L1808">
            <v>10</v>
          </cell>
          <cell r="M1808" t="str">
            <v>6/13/2024 10:40:25 AM</v>
          </cell>
          <cell r="N1808" t="str">
            <v>26</v>
          </cell>
          <cell r="O1808">
            <v>10</v>
          </cell>
          <cell r="P1808">
            <v>4</v>
          </cell>
        </row>
        <row r="1809">
          <cell r="A1809" t="str">
            <v>6727173</v>
          </cell>
          <cell r="B1809" t="str">
            <v>1206613</v>
          </cell>
          <cell r="C1809" t="str">
            <v>6378RDS-2832-412</v>
          </cell>
          <cell r="D1809" t="str">
            <v>6378RDS</v>
          </cell>
          <cell r="E1809" t="str">
            <v>6378RDS GLOCK 19MOS X300U STX PLN BLK LH</v>
          </cell>
          <cell r="F1809" t="str">
            <v>DG-HOLSTER-RDS-DTC</v>
          </cell>
          <cell r="G1809" t="str">
            <v>1420-210-FG</v>
          </cell>
          <cell r="H1809" t="str">
            <v>R</v>
          </cell>
          <cell r="I1809" t="str">
            <v>06/10/2024</v>
          </cell>
          <cell r="J1809" t="str">
            <v>06/10/2024</v>
          </cell>
          <cell r="K1809" t="str">
            <v>06/24/2024</v>
          </cell>
          <cell r="L1809">
            <v>10</v>
          </cell>
          <cell r="M1809" t="str">
            <v>6/13/2024 10:40:25 AM</v>
          </cell>
          <cell r="N1809" t="str">
            <v>26</v>
          </cell>
          <cell r="O1809">
            <v>10</v>
          </cell>
          <cell r="P1809">
            <v>4</v>
          </cell>
        </row>
        <row r="1810">
          <cell r="A1810" t="str">
            <v>6727134</v>
          </cell>
          <cell r="B1810" t="str">
            <v>1206612</v>
          </cell>
          <cell r="C1810" t="str">
            <v>6378RDS-2832-411</v>
          </cell>
          <cell r="D1810" t="str">
            <v>6378RDS</v>
          </cell>
          <cell r="E1810" t="str">
            <v>6378RDS GLOCK 19MOS X300U STX PLN BLK RH</v>
          </cell>
          <cell r="F1810" t="str">
            <v>DG-HOLSTER-RDS-DTC</v>
          </cell>
          <cell r="G1810" t="str">
            <v>1420-210-FG</v>
          </cell>
          <cell r="H1810" t="str">
            <v>R</v>
          </cell>
          <cell r="I1810" t="str">
            <v>06/10/2024</v>
          </cell>
          <cell r="J1810" t="str">
            <v>06/10/2024</v>
          </cell>
          <cell r="K1810" t="str">
            <v>06/24/2024</v>
          </cell>
          <cell r="L1810">
            <v>50</v>
          </cell>
          <cell r="M1810" t="str">
            <v>6/13/2024 10:40:25 AM</v>
          </cell>
          <cell r="N1810" t="str">
            <v>26</v>
          </cell>
          <cell r="O1810">
            <v>50</v>
          </cell>
          <cell r="P1810">
            <v>20</v>
          </cell>
        </row>
        <row r="1811">
          <cell r="A1811" t="str">
            <v>6726964</v>
          </cell>
          <cell r="B1811" t="str">
            <v>1200379</v>
          </cell>
          <cell r="C1811" t="str">
            <v>6378RDS-6832-131</v>
          </cell>
          <cell r="D1811" t="str">
            <v>6378RDS</v>
          </cell>
          <cell r="E1811" t="str">
            <v>6378RDS GLOCK 34/35 X300U STX TAC BLK RH</v>
          </cell>
          <cell r="F1811" t="str">
            <v>DG-HOLSTER-RDS</v>
          </cell>
          <cell r="G1811" t="str">
            <v>1420-210-FG</v>
          </cell>
          <cell r="H1811" t="str">
            <v>R</v>
          </cell>
          <cell r="I1811" t="str">
            <v>06/10/2024</v>
          </cell>
          <cell r="J1811" t="str">
            <v>06/10/2024</v>
          </cell>
          <cell r="K1811" t="str">
            <v>06/24/2024</v>
          </cell>
          <cell r="L1811">
            <v>48</v>
          </cell>
          <cell r="M1811" t="str">
            <v>6/13/2024 11:33:39 AM</v>
          </cell>
          <cell r="N1811" t="str">
            <v>26</v>
          </cell>
          <cell r="O1811">
            <v>48</v>
          </cell>
          <cell r="P1811">
            <v>19.2</v>
          </cell>
        </row>
        <row r="1812">
          <cell r="A1812" t="str">
            <v>6727668</v>
          </cell>
          <cell r="B1812" t="str">
            <v>1200379</v>
          </cell>
          <cell r="C1812" t="str">
            <v>6378RDS-6832-131</v>
          </cell>
          <cell r="D1812" t="str">
            <v>6378RDS</v>
          </cell>
          <cell r="E1812" t="str">
            <v>6378RDS GLOCK 34/35 X300U STX TAC BLK RH</v>
          </cell>
          <cell r="F1812" t="str">
            <v>DG-HOLSTER-RDS</v>
          </cell>
          <cell r="G1812" t="str">
            <v>1420-210-FG</v>
          </cell>
          <cell r="H1812" t="str">
            <v>R</v>
          </cell>
          <cell r="I1812" t="str">
            <v>06/11/2024</v>
          </cell>
          <cell r="J1812" t="str">
            <v>06/11/2024</v>
          </cell>
          <cell r="K1812" t="str">
            <v>06/24/2024</v>
          </cell>
          <cell r="L1812">
            <v>25</v>
          </cell>
          <cell r="M1812" t="str">
            <v>6/13/2024 11:33:39 AM</v>
          </cell>
          <cell r="N1812" t="str">
            <v>26</v>
          </cell>
          <cell r="O1812">
            <v>25</v>
          </cell>
          <cell r="P1812">
            <v>10</v>
          </cell>
        </row>
        <row r="1813">
          <cell r="A1813" t="str">
            <v>6727016</v>
          </cell>
          <cell r="B1813" t="str">
            <v>1321737</v>
          </cell>
          <cell r="C1813" t="str">
            <v>6378RDS-2222-412</v>
          </cell>
          <cell r="D1813" t="str">
            <v>6378RDS</v>
          </cell>
          <cell r="E1813" t="str">
            <v>6378RDS MP2.0 9 CORE X300U STXPLN BLK LH</v>
          </cell>
          <cell r="F1813" t="str">
            <v>DG-HOLSTER-RDS</v>
          </cell>
          <cell r="G1813" t="str">
            <v>1420-210-FG</v>
          </cell>
          <cell r="H1813" t="str">
            <v>R</v>
          </cell>
          <cell r="I1813" t="str">
            <v>06/10/2024</v>
          </cell>
          <cell r="J1813" t="str">
            <v>06/10/2024</v>
          </cell>
          <cell r="K1813" t="str">
            <v>06/24/2024</v>
          </cell>
          <cell r="L1813">
            <v>5</v>
          </cell>
          <cell r="M1813" t="str">
            <v>6/13/2024 11:35:38 AM</v>
          </cell>
          <cell r="N1813" t="str">
            <v>26</v>
          </cell>
          <cell r="O1813">
            <v>5</v>
          </cell>
          <cell r="P1813">
            <v>2</v>
          </cell>
        </row>
        <row r="1814">
          <cell r="A1814" t="str">
            <v>6727013</v>
          </cell>
          <cell r="B1814" t="str">
            <v>1320396</v>
          </cell>
          <cell r="C1814" t="str">
            <v>6378RDS-2222-132</v>
          </cell>
          <cell r="D1814" t="str">
            <v>6378RDS</v>
          </cell>
          <cell r="E1814" t="str">
            <v>6378RDS MP2.0 9 CORE X300U STXTAC BLK LH</v>
          </cell>
          <cell r="F1814" t="str">
            <v>DG-HOLSTER-RDS</v>
          </cell>
          <cell r="G1814" t="str">
            <v>1420-210-FG</v>
          </cell>
          <cell r="H1814" t="str">
            <v>R</v>
          </cell>
          <cell r="I1814" t="str">
            <v>06/10/2024</v>
          </cell>
          <cell r="J1814" t="str">
            <v>06/10/2024</v>
          </cell>
          <cell r="K1814" t="str">
            <v>06/24/2024</v>
          </cell>
          <cell r="L1814">
            <v>5</v>
          </cell>
          <cell r="M1814" t="str">
            <v>6/13/2024 11:33:39 AM</v>
          </cell>
          <cell r="N1814" t="str">
            <v>26</v>
          </cell>
          <cell r="O1814">
            <v>5</v>
          </cell>
          <cell r="P1814">
            <v>2</v>
          </cell>
        </row>
        <row r="1815">
          <cell r="A1815" t="str">
            <v>6728151</v>
          </cell>
          <cell r="B1815" t="str">
            <v>1320395</v>
          </cell>
          <cell r="C1815" t="str">
            <v>6378RDS-2222-131</v>
          </cell>
          <cell r="D1815" t="str">
            <v>6378RDS</v>
          </cell>
          <cell r="E1815" t="str">
            <v>6378RDS MP2.0 9 CORE X300U STXTAC BLK RH</v>
          </cell>
          <cell r="F1815" t="str">
            <v>DG-HOLSTER-RDS</v>
          </cell>
          <cell r="G1815" t="str">
            <v>1420-210-FG</v>
          </cell>
          <cell r="H1815" t="str">
            <v>R</v>
          </cell>
          <cell r="I1815" t="str">
            <v>06/11/2024</v>
          </cell>
          <cell r="J1815" t="str">
            <v>06/17/2024</v>
          </cell>
          <cell r="K1815" t="str">
            <v>06/24/2024</v>
          </cell>
          <cell r="L1815">
            <v>10</v>
          </cell>
          <cell r="M1815" t="str">
            <v>6/13/2024 11:33:39 AM</v>
          </cell>
          <cell r="N1815" t="str">
            <v>26</v>
          </cell>
          <cell r="O1815">
            <v>10</v>
          </cell>
          <cell r="P1815">
            <v>4</v>
          </cell>
        </row>
        <row r="1816">
          <cell r="A1816" t="str">
            <v>6727070</v>
          </cell>
          <cell r="B1816" t="str">
            <v>1329026</v>
          </cell>
          <cell r="C1816" t="str">
            <v>6378RDS-582-701</v>
          </cell>
          <cell r="D1816" t="str">
            <v>6378RDS</v>
          </cell>
          <cell r="E1816" t="str">
            <v>6378RDS SA PRODIGY 4.25" X300U MLTCM RH</v>
          </cell>
          <cell r="F1816" t="str">
            <v>DG-HOLSTER-RDS</v>
          </cell>
          <cell r="G1816" t="str">
            <v>1420-210-FG</v>
          </cell>
          <cell r="H1816" t="str">
            <v>R</v>
          </cell>
          <cell r="I1816" t="str">
            <v>06/10/2024</v>
          </cell>
          <cell r="J1816" t="str">
            <v>06/10/2024</v>
          </cell>
          <cell r="K1816" t="str">
            <v>06/24/2024</v>
          </cell>
          <cell r="L1816">
            <v>5</v>
          </cell>
          <cell r="M1816" t="str">
            <v>6/13/2024 10:40:25 AM</v>
          </cell>
          <cell r="N1816" t="str">
            <v>26</v>
          </cell>
          <cell r="O1816">
            <v>5</v>
          </cell>
          <cell r="P1816">
            <v>2</v>
          </cell>
        </row>
        <row r="1817">
          <cell r="A1817" t="str">
            <v>6727255</v>
          </cell>
          <cell r="B1817" t="str">
            <v>1159997</v>
          </cell>
          <cell r="C1817" t="str">
            <v>6378USN-2832-701</v>
          </cell>
          <cell r="D1817" t="str">
            <v>6378USN</v>
          </cell>
          <cell r="E1817" t="str">
            <v>6378USN GLK 19/23 W/X300 CORD MUL CAM RH</v>
          </cell>
          <cell r="F1817" t="str">
            <v>DG-HOLSTER-USN-DTC</v>
          </cell>
          <cell r="G1817" t="str">
            <v>1420-210-FG</v>
          </cell>
          <cell r="H1817" t="str">
            <v>R</v>
          </cell>
          <cell r="I1817" t="str">
            <v>06/10/2024</v>
          </cell>
          <cell r="J1817" t="str">
            <v>06/10/2024</v>
          </cell>
          <cell r="K1817" t="str">
            <v>06/24/2024</v>
          </cell>
          <cell r="L1817">
            <v>5</v>
          </cell>
          <cell r="M1817" t="str">
            <v>6/13/2024 10:55:31 AM</v>
          </cell>
          <cell r="N1817" t="str">
            <v>26</v>
          </cell>
          <cell r="O1817">
            <v>5</v>
          </cell>
          <cell r="P1817">
            <v>1.86</v>
          </cell>
        </row>
        <row r="1818">
          <cell r="A1818" t="str">
            <v>6726951</v>
          </cell>
          <cell r="B1818" t="str">
            <v>1176668</v>
          </cell>
          <cell r="C1818" t="str">
            <v>6385-2952-131</v>
          </cell>
          <cell r="D1818" t="str">
            <v>6385</v>
          </cell>
          <cell r="E1818" t="str">
            <v>6385 H&amp;K P30 X300U STX TAC BLK RH</v>
          </cell>
          <cell r="F1818" t="str">
            <v>DG-HOLSTER-H</v>
          </cell>
          <cell r="G1818" t="str">
            <v>1420-210-FG</v>
          </cell>
          <cell r="H1818" t="str">
            <v>R</v>
          </cell>
          <cell r="I1818" t="str">
            <v>06/10/2024</v>
          </cell>
          <cell r="J1818" t="str">
            <v>06/10/2024</v>
          </cell>
          <cell r="K1818" t="str">
            <v>06/24/2024</v>
          </cell>
          <cell r="L1818">
            <v>5</v>
          </cell>
          <cell r="M1818" t="str">
            <v>6/13/2024 10:37:08 AM</v>
          </cell>
          <cell r="N1818" t="str">
            <v>26</v>
          </cell>
          <cell r="O1818">
            <v>5</v>
          </cell>
          <cell r="P1818">
            <v>2.06</v>
          </cell>
        </row>
        <row r="1819">
          <cell r="A1819" t="str">
            <v>6726884</v>
          </cell>
          <cell r="B1819" t="str">
            <v>1305614</v>
          </cell>
          <cell r="C1819" t="str">
            <v>6390-150-411</v>
          </cell>
          <cell r="D1819" t="str">
            <v>6390</v>
          </cell>
          <cell r="E1819" t="str">
            <v>6390 CANIK TP9SF STX PLN BLK RH</v>
          </cell>
          <cell r="F1819" t="str">
            <v>DG-HOLSTER</v>
          </cell>
          <cell r="G1819" t="str">
            <v>1420-210-FG</v>
          </cell>
          <cell r="H1819" t="str">
            <v>R</v>
          </cell>
          <cell r="I1819" t="str">
            <v>06/10/2024</v>
          </cell>
          <cell r="J1819" t="str">
            <v>06/10/2024</v>
          </cell>
          <cell r="K1819" t="str">
            <v>06/24/2024</v>
          </cell>
          <cell r="L1819">
            <v>5</v>
          </cell>
          <cell r="M1819" t="str">
            <v>6/13/2024 10:40:25 AM</v>
          </cell>
          <cell r="N1819" t="str">
            <v>26</v>
          </cell>
          <cell r="O1819">
            <v>5</v>
          </cell>
          <cell r="P1819">
            <v>0.69</v>
          </cell>
        </row>
        <row r="1820">
          <cell r="A1820" t="str">
            <v>6726941</v>
          </cell>
          <cell r="B1820" t="str">
            <v>1151434</v>
          </cell>
          <cell r="C1820" t="str">
            <v>6390-832-481</v>
          </cell>
          <cell r="D1820" t="str">
            <v>6390</v>
          </cell>
          <cell r="E1820" t="str">
            <v>6390 GLOCK 17/22 X300U STX BSK BLK RH</v>
          </cell>
          <cell r="F1820" t="str">
            <v>DG-HOLSTER-DTC</v>
          </cell>
          <cell r="G1820" t="str">
            <v>1420-210-FG</v>
          </cell>
          <cell r="H1820" t="str">
            <v>R</v>
          </cell>
          <cell r="I1820" t="str">
            <v>06/10/2024</v>
          </cell>
          <cell r="J1820" t="str">
            <v>06/10/2024</v>
          </cell>
          <cell r="K1820" t="str">
            <v>06/24/2024</v>
          </cell>
          <cell r="L1820">
            <v>5</v>
          </cell>
          <cell r="M1820" t="str">
            <v>6/13/2024 11:09:47 AM</v>
          </cell>
          <cell r="N1820" t="str">
            <v>26</v>
          </cell>
          <cell r="O1820">
            <v>5</v>
          </cell>
          <cell r="P1820">
            <v>2.04</v>
          </cell>
        </row>
        <row r="1821">
          <cell r="A1821" t="str">
            <v>6726890</v>
          </cell>
          <cell r="B1821" t="str">
            <v>1324950</v>
          </cell>
          <cell r="C1821" t="str">
            <v>6390-8972-132</v>
          </cell>
          <cell r="D1821" t="str">
            <v>6390</v>
          </cell>
          <cell r="E1821" t="str">
            <v>6390 GLOCK 47 X300U STX TAC BLK LH</v>
          </cell>
          <cell r="F1821" t="str">
            <v>DG-HOLSTER</v>
          </cell>
          <cell r="G1821" t="str">
            <v>1420-210-FG</v>
          </cell>
          <cell r="H1821" t="str">
            <v>R</v>
          </cell>
          <cell r="I1821" t="str">
            <v>06/10/2024</v>
          </cell>
          <cell r="J1821" t="str">
            <v>06/10/2024</v>
          </cell>
          <cell r="K1821" t="str">
            <v>06/24/2024</v>
          </cell>
          <cell r="L1821">
            <v>5</v>
          </cell>
          <cell r="M1821" t="str">
            <v>6/13/2024 10:37:08 AM</v>
          </cell>
          <cell r="N1821" t="str">
            <v>26</v>
          </cell>
          <cell r="O1821">
            <v>5</v>
          </cell>
          <cell r="P1821">
            <v>1.44</v>
          </cell>
        </row>
        <row r="1822">
          <cell r="A1822" t="str">
            <v>6726892</v>
          </cell>
          <cell r="B1822" t="str">
            <v>1326838</v>
          </cell>
          <cell r="C1822" t="str">
            <v>6390-3952-491</v>
          </cell>
          <cell r="D1822" t="str">
            <v>6390</v>
          </cell>
          <cell r="E1822" t="str">
            <v>6390 H&amp;K P30L X300U STX HGS BLK RH</v>
          </cell>
          <cell r="F1822" t="str">
            <v>DG-HOLSTER</v>
          </cell>
          <cell r="G1822" t="str">
            <v>1420-210-FG</v>
          </cell>
          <cell r="H1822" t="str">
            <v>R</v>
          </cell>
          <cell r="I1822" t="str">
            <v>06/10/2024</v>
          </cell>
          <cell r="J1822" t="str">
            <v>06/10/2024</v>
          </cell>
          <cell r="K1822" t="str">
            <v>06/24/2024</v>
          </cell>
          <cell r="L1822">
            <v>5</v>
          </cell>
          <cell r="M1822" t="str">
            <v>6/13/2024 10:48:57 AM</v>
          </cell>
          <cell r="N1822" t="str">
            <v>26</v>
          </cell>
          <cell r="O1822">
            <v>5</v>
          </cell>
          <cell r="P1822">
            <v>1.87</v>
          </cell>
        </row>
        <row r="1823">
          <cell r="A1823" t="str">
            <v>6726886</v>
          </cell>
          <cell r="B1823" t="str">
            <v>1314349</v>
          </cell>
          <cell r="C1823" t="str">
            <v>6390-5932-761</v>
          </cell>
          <cell r="D1823" t="str">
            <v>6390</v>
          </cell>
          <cell r="E1823" t="str">
            <v>6390 H&amp;K VP9 X300U STX TAC CYB RH</v>
          </cell>
          <cell r="F1823" t="str">
            <v>DG-HOLSTER</v>
          </cell>
          <cell r="G1823" t="str">
            <v>1420-210-FG</v>
          </cell>
          <cell r="H1823" t="str">
            <v>R</v>
          </cell>
          <cell r="I1823" t="str">
            <v>06/10/2024</v>
          </cell>
          <cell r="J1823" t="str">
            <v>06/10/2024</v>
          </cell>
          <cell r="K1823" t="str">
            <v>06/24/2024</v>
          </cell>
          <cell r="L1823">
            <v>5</v>
          </cell>
          <cell r="M1823" t="str">
            <v>6/13/2024 10:50:52 AM</v>
          </cell>
          <cell r="N1823" t="str">
            <v>26</v>
          </cell>
          <cell r="O1823">
            <v>5</v>
          </cell>
          <cell r="P1823">
            <v>1.44</v>
          </cell>
        </row>
        <row r="1824">
          <cell r="A1824" t="str">
            <v>6727956</v>
          </cell>
          <cell r="B1824" t="str">
            <v>1201927</v>
          </cell>
          <cell r="C1824" t="str">
            <v>6390-222-481</v>
          </cell>
          <cell r="D1824" t="str">
            <v>6390</v>
          </cell>
          <cell r="E1824" t="str">
            <v>6390 S&amp;W M&amp;P 2.0 9MM STX BSK BLK RH</v>
          </cell>
          <cell r="F1824" t="str">
            <v>DG-HOLSTER</v>
          </cell>
          <cell r="G1824" t="str">
            <v>1420-210-FG</v>
          </cell>
          <cell r="H1824" t="str">
            <v>R</v>
          </cell>
          <cell r="I1824" t="str">
            <v>06/11/2024</v>
          </cell>
          <cell r="J1824" t="str">
            <v>06/17/2024</v>
          </cell>
          <cell r="K1824" t="str">
            <v>06/24/2024</v>
          </cell>
          <cell r="L1824">
            <v>1</v>
          </cell>
          <cell r="M1824" t="str">
            <v>6/13/2024 10:48:05 AM</v>
          </cell>
          <cell r="N1824" t="str">
            <v>26</v>
          </cell>
          <cell r="O1824">
            <v>1</v>
          </cell>
          <cell r="P1824">
            <v>0.19</v>
          </cell>
        </row>
        <row r="1825">
          <cell r="A1825" t="str">
            <v>6727941</v>
          </cell>
          <cell r="B1825" t="str">
            <v>1151568</v>
          </cell>
          <cell r="C1825" t="str">
            <v>6390-219-492</v>
          </cell>
          <cell r="D1825" t="str">
            <v>6390</v>
          </cell>
          <cell r="E1825" t="str">
            <v>6390 S&amp;W M&amp;P9/40 1.0 STX HGS BLK LH</v>
          </cell>
          <cell r="F1825" t="str">
            <v>DG-HOLSTER</v>
          </cell>
          <cell r="G1825" t="str">
            <v>1420-210-FG</v>
          </cell>
          <cell r="H1825" t="str">
            <v>R</v>
          </cell>
          <cell r="I1825" t="str">
            <v>06/11/2024</v>
          </cell>
          <cell r="J1825" t="str">
            <v>06/17/2024</v>
          </cell>
          <cell r="K1825" t="str">
            <v>06/24/2024</v>
          </cell>
          <cell r="L1825">
            <v>1</v>
          </cell>
          <cell r="M1825" t="str">
            <v>6/13/2024 10:49:40 AM</v>
          </cell>
          <cell r="N1825" t="str">
            <v>26</v>
          </cell>
          <cell r="O1825">
            <v>1</v>
          </cell>
          <cell r="P1825">
            <v>0.26</v>
          </cell>
        </row>
        <row r="1826">
          <cell r="A1826" t="str">
            <v>6726859</v>
          </cell>
          <cell r="B1826" t="str">
            <v>1161424</v>
          </cell>
          <cell r="C1826" t="str">
            <v>6390-77-551</v>
          </cell>
          <cell r="D1826" t="str">
            <v>6390</v>
          </cell>
          <cell r="E1826" t="str">
            <v>6390 SIG P226 STX TAC FDE RH</v>
          </cell>
          <cell r="F1826" t="str">
            <v>DG-HOLSTER</v>
          </cell>
          <cell r="G1826" t="str">
            <v>1420-210-FG</v>
          </cell>
          <cell r="H1826" t="str">
            <v>R</v>
          </cell>
          <cell r="I1826" t="str">
            <v>06/10/2024</v>
          </cell>
          <cell r="J1826" t="str">
            <v>06/10/2024</v>
          </cell>
          <cell r="K1826" t="str">
            <v>06/24/2024</v>
          </cell>
          <cell r="L1826">
            <v>5</v>
          </cell>
          <cell r="M1826" t="str">
            <v>6/13/2024 10:42:46 AM</v>
          </cell>
          <cell r="N1826" t="str">
            <v>26</v>
          </cell>
          <cell r="O1826">
            <v>5</v>
          </cell>
          <cell r="P1826">
            <v>1.1599999999999999</v>
          </cell>
        </row>
        <row r="1827">
          <cell r="A1827" t="str">
            <v>6727946</v>
          </cell>
          <cell r="B1827" t="str">
            <v>1157140</v>
          </cell>
          <cell r="C1827" t="str">
            <v>6390-477-131</v>
          </cell>
          <cell r="D1827" t="str">
            <v>6390</v>
          </cell>
          <cell r="E1827" t="str">
            <v>6390 SIG P226R STX TAC BLK RH</v>
          </cell>
          <cell r="F1827" t="str">
            <v>DG-HOLSTER</v>
          </cell>
          <cell r="G1827" t="str">
            <v>1420-210-FG</v>
          </cell>
          <cell r="H1827" t="str">
            <v>R</v>
          </cell>
          <cell r="I1827" t="str">
            <v>06/11/2024</v>
          </cell>
          <cell r="J1827" t="str">
            <v>06/17/2024</v>
          </cell>
          <cell r="K1827" t="str">
            <v>06/24/2024</v>
          </cell>
          <cell r="L1827">
            <v>1</v>
          </cell>
          <cell r="M1827" t="str">
            <v>6/13/2024 10:37:08 AM</v>
          </cell>
          <cell r="N1827" t="str">
            <v>26</v>
          </cell>
          <cell r="O1827">
            <v>1</v>
          </cell>
          <cell r="P1827">
            <v>0.24</v>
          </cell>
        </row>
        <row r="1828">
          <cell r="A1828" t="str">
            <v>6727953</v>
          </cell>
          <cell r="B1828" t="str">
            <v>1165967</v>
          </cell>
          <cell r="C1828" t="str">
            <v>6390-477-551</v>
          </cell>
          <cell r="D1828" t="str">
            <v>6390</v>
          </cell>
          <cell r="E1828" t="str">
            <v>6390 SIG P226R STX TAC FDE RH</v>
          </cell>
          <cell r="F1828" t="str">
            <v>DG-HOLSTER</v>
          </cell>
          <cell r="G1828" t="str">
            <v>1420-210-FG</v>
          </cell>
          <cell r="H1828" t="str">
            <v>R</v>
          </cell>
          <cell r="I1828" t="str">
            <v>06/11/2024</v>
          </cell>
          <cell r="J1828" t="str">
            <v>06/17/2024</v>
          </cell>
          <cell r="K1828" t="str">
            <v>06/24/2024</v>
          </cell>
          <cell r="L1828">
            <v>1</v>
          </cell>
          <cell r="M1828" t="str">
            <v>6/13/2024 10:44:13 AM</v>
          </cell>
          <cell r="N1828" t="str">
            <v>26</v>
          </cell>
          <cell r="O1828">
            <v>1</v>
          </cell>
          <cell r="P1828">
            <v>0.19</v>
          </cell>
        </row>
        <row r="1829">
          <cell r="A1829" t="str">
            <v>6726851</v>
          </cell>
          <cell r="B1829" t="str">
            <v>1151543</v>
          </cell>
          <cell r="C1829" t="str">
            <v>6390-74-411</v>
          </cell>
          <cell r="D1829" t="str">
            <v>6390</v>
          </cell>
          <cell r="E1829" t="str">
            <v>6390 SIG P228/P229 STX PLN BLK RH</v>
          </cell>
          <cell r="F1829" t="str">
            <v>DG-HOLSTER</v>
          </cell>
          <cell r="G1829" t="str">
            <v>1420-210-FG</v>
          </cell>
          <cell r="H1829" t="str">
            <v>R</v>
          </cell>
          <cell r="I1829" t="str">
            <v>06/10/2024</v>
          </cell>
          <cell r="J1829" t="str">
            <v>06/10/2024</v>
          </cell>
          <cell r="K1829" t="str">
            <v>06/24/2024</v>
          </cell>
          <cell r="L1829">
            <v>5</v>
          </cell>
          <cell r="M1829" t="str">
            <v>6/13/2024 10:40:25 AM</v>
          </cell>
          <cell r="N1829" t="str">
            <v>26</v>
          </cell>
          <cell r="O1829">
            <v>5</v>
          </cell>
          <cell r="P1829">
            <v>0.89</v>
          </cell>
        </row>
        <row r="1830">
          <cell r="A1830" t="str">
            <v>6726868</v>
          </cell>
          <cell r="B1830" t="str">
            <v>1166387</v>
          </cell>
          <cell r="C1830" t="str">
            <v>6390-56-131</v>
          </cell>
          <cell r="D1830" t="str">
            <v>6390</v>
          </cell>
          <cell r="E1830" t="str">
            <v>6390 SPRNGFLD OPR STX TAC BLK RH</v>
          </cell>
          <cell r="F1830" t="str">
            <v>DG-HOLSTER</v>
          </cell>
          <cell r="G1830" t="str">
            <v>1420-210-FG</v>
          </cell>
          <cell r="H1830" t="str">
            <v>R</v>
          </cell>
          <cell r="I1830" t="str">
            <v>06/10/2024</v>
          </cell>
          <cell r="J1830" t="str">
            <v>06/10/2024</v>
          </cell>
          <cell r="K1830" t="str">
            <v>06/24/2024</v>
          </cell>
          <cell r="L1830">
            <v>5</v>
          </cell>
          <cell r="M1830" t="str">
            <v>6/13/2024 10:37:08 AM</v>
          </cell>
          <cell r="N1830" t="str">
            <v>26</v>
          </cell>
          <cell r="O1830">
            <v>5</v>
          </cell>
          <cell r="P1830">
            <v>1.1599999999999999</v>
          </cell>
        </row>
        <row r="1831">
          <cell r="A1831" t="str">
            <v>6726865</v>
          </cell>
          <cell r="B1831" t="str">
            <v>1166151</v>
          </cell>
          <cell r="C1831" t="str">
            <v>6390-560-561</v>
          </cell>
          <cell r="D1831" t="str">
            <v>6390</v>
          </cell>
          <cell r="E1831" t="str">
            <v>6390 SPRNGFLD OPR X300  STX TAC ODG RH</v>
          </cell>
          <cell r="F1831" t="str">
            <v>DG-HOLSTER</v>
          </cell>
          <cell r="G1831" t="str">
            <v>1420-210-FG</v>
          </cell>
          <cell r="H1831" t="str">
            <v>R</v>
          </cell>
          <cell r="I1831" t="str">
            <v>06/10/2024</v>
          </cell>
          <cell r="J1831" t="str">
            <v>06/10/2024</v>
          </cell>
          <cell r="K1831" t="str">
            <v>06/24/2024</v>
          </cell>
          <cell r="L1831">
            <v>5</v>
          </cell>
          <cell r="M1831" t="str">
            <v>6/13/2024 10:46:14 AM</v>
          </cell>
          <cell r="N1831" t="str">
            <v>26</v>
          </cell>
          <cell r="O1831">
            <v>5</v>
          </cell>
          <cell r="P1831">
            <v>1.87</v>
          </cell>
        </row>
        <row r="1832">
          <cell r="A1832" t="str">
            <v>6723793</v>
          </cell>
          <cell r="B1832" t="str">
            <v>1335137</v>
          </cell>
          <cell r="C1832" t="str">
            <v>6390RDS-2582-701</v>
          </cell>
          <cell r="D1832" t="str">
            <v>6390RDS</v>
          </cell>
          <cell r="E1832" t="str">
            <v>6390RDS 2011 STCC 5" X300U COR MCM RH</v>
          </cell>
          <cell r="F1832" t="str">
            <v>DG-HOLSTER-RDS-DTC</v>
          </cell>
          <cell r="G1832" t="str">
            <v>1420-210-FG</v>
          </cell>
          <cell r="H1832" t="str">
            <v>R</v>
          </cell>
          <cell r="I1832" t="str">
            <v>06/03/2024</v>
          </cell>
          <cell r="J1832" t="str">
            <v>06/03/2024</v>
          </cell>
          <cell r="K1832" t="str">
            <v>06/24/2024</v>
          </cell>
          <cell r="L1832">
            <v>10</v>
          </cell>
          <cell r="M1832" t="str">
            <v>6/13/2024 10:57:31 AM</v>
          </cell>
          <cell r="N1832" t="str">
            <v>26</v>
          </cell>
          <cell r="O1832">
            <v>10</v>
          </cell>
          <cell r="P1832">
            <v>4</v>
          </cell>
        </row>
        <row r="1833">
          <cell r="A1833" t="str">
            <v>6726124</v>
          </cell>
          <cell r="B1833" t="str">
            <v>1335361</v>
          </cell>
          <cell r="C1833" t="str">
            <v>6390RDS-2582-481</v>
          </cell>
          <cell r="D1833" t="str">
            <v>6390RDS</v>
          </cell>
          <cell r="E1833" t="str">
            <v>6390RDS 2011 STCC 5"X300U STX BSK BLK RH</v>
          </cell>
          <cell r="F1833" t="str">
            <v>DG-HOLSTER-RDS-DTC</v>
          </cell>
          <cell r="G1833" t="str">
            <v>1420-210-FG</v>
          </cell>
          <cell r="H1833" t="str">
            <v>R</v>
          </cell>
          <cell r="I1833" t="str">
            <v>06/07/2024</v>
          </cell>
          <cell r="J1833" t="str">
            <v>06/07/2024</v>
          </cell>
          <cell r="K1833" t="str">
            <v>06/24/2024</v>
          </cell>
          <cell r="L1833">
            <v>5</v>
          </cell>
          <cell r="M1833" t="str">
            <v>6/13/2024 10:53:13 AM</v>
          </cell>
          <cell r="N1833" t="str">
            <v>26</v>
          </cell>
          <cell r="O1833">
            <v>5</v>
          </cell>
          <cell r="P1833">
            <v>2</v>
          </cell>
        </row>
        <row r="1834">
          <cell r="A1834" t="str">
            <v>6723887</v>
          </cell>
          <cell r="B1834" t="str">
            <v>1335120</v>
          </cell>
          <cell r="C1834" t="str">
            <v>6390RDS-2582-132</v>
          </cell>
          <cell r="D1834" t="str">
            <v>6390RDS</v>
          </cell>
          <cell r="E1834" t="str">
            <v>6390RDS 2011 STCC 5"X300U STX TAC BLK LH</v>
          </cell>
          <cell r="F1834" t="str">
            <v>DG-HOLSTER-RDS-DTC</v>
          </cell>
          <cell r="G1834" t="str">
            <v>1420-210-FG</v>
          </cell>
          <cell r="H1834" t="str">
            <v>R</v>
          </cell>
          <cell r="I1834" t="str">
            <v>06/03/2024</v>
          </cell>
          <cell r="J1834" t="str">
            <v>06/03/2024</v>
          </cell>
          <cell r="K1834" t="str">
            <v>06/24/2024</v>
          </cell>
          <cell r="L1834">
            <v>1</v>
          </cell>
          <cell r="M1834" t="str">
            <v>6/13/2024 10:53:13 AM</v>
          </cell>
          <cell r="N1834" t="str">
            <v>26</v>
          </cell>
          <cell r="O1834">
            <v>1</v>
          </cell>
          <cell r="P1834">
            <v>0.4</v>
          </cell>
        </row>
        <row r="1835">
          <cell r="A1835" t="str">
            <v>6723785</v>
          </cell>
          <cell r="B1835" t="str">
            <v>1335119</v>
          </cell>
          <cell r="C1835" t="str">
            <v>6390RDS-2582-131</v>
          </cell>
          <cell r="D1835" t="str">
            <v>6390RDS</v>
          </cell>
          <cell r="E1835" t="str">
            <v>6390RDS 2011 STCC 5"X300U STX TAC BLK RH</v>
          </cell>
          <cell r="F1835" t="str">
            <v>DG-HOLSTER-RDS-DTC</v>
          </cell>
          <cell r="G1835" t="str">
            <v>1420-210-FG</v>
          </cell>
          <cell r="H1835" t="str">
            <v>R</v>
          </cell>
          <cell r="I1835" t="str">
            <v>06/03/2024</v>
          </cell>
          <cell r="J1835" t="str">
            <v>06/03/2024</v>
          </cell>
          <cell r="K1835" t="str">
            <v>06/24/2024</v>
          </cell>
          <cell r="L1835">
            <v>20</v>
          </cell>
          <cell r="M1835" t="str">
            <v>6/13/2024 10:53:13 AM</v>
          </cell>
          <cell r="N1835" t="str">
            <v>26</v>
          </cell>
          <cell r="O1835">
            <v>20</v>
          </cell>
          <cell r="P1835">
            <v>8</v>
          </cell>
        </row>
        <row r="1836">
          <cell r="A1836" t="str">
            <v>6727192</v>
          </cell>
          <cell r="B1836" t="str">
            <v>1332700</v>
          </cell>
          <cell r="C1836" t="str">
            <v>6390RDS-8327-131</v>
          </cell>
          <cell r="D1836" t="str">
            <v>6390RDS</v>
          </cell>
          <cell r="E1836" t="str">
            <v>6390RDS GLOCK 17MOS TLR-7 STX TAC BLK RH</v>
          </cell>
          <cell r="F1836" t="str">
            <v>DG-HOLSTER-RDS-DTC</v>
          </cell>
          <cell r="G1836" t="str">
            <v>1420-210-FG</v>
          </cell>
          <cell r="H1836" t="str">
            <v>R</v>
          </cell>
          <cell r="I1836" t="str">
            <v>06/10/2024</v>
          </cell>
          <cell r="J1836" t="str">
            <v>06/10/2024</v>
          </cell>
          <cell r="K1836" t="str">
            <v>06/24/2024</v>
          </cell>
          <cell r="L1836">
            <v>5</v>
          </cell>
          <cell r="M1836" t="str">
            <v>6/13/2024 11:43:03 AM</v>
          </cell>
          <cell r="N1836" t="str">
            <v>26</v>
          </cell>
          <cell r="O1836">
            <v>5</v>
          </cell>
          <cell r="P1836">
            <v>2.17</v>
          </cell>
        </row>
        <row r="1837">
          <cell r="A1837" t="str">
            <v>6728226</v>
          </cell>
          <cell r="B1837" t="str">
            <v>1332781</v>
          </cell>
          <cell r="C1837" t="str">
            <v>6390RDS-832-721</v>
          </cell>
          <cell r="D1837" t="str">
            <v>6390RDS</v>
          </cell>
          <cell r="E1837" t="str">
            <v>6390RDS GLOCK 17MOS X300 COR OD RGRN RH</v>
          </cell>
          <cell r="F1837" t="str">
            <v>DG-HOLSTER-RDS-DTC</v>
          </cell>
          <cell r="G1837" t="str">
            <v>1420-210-FG</v>
          </cell>
          <cell r="H1837" t="str">
            <v>R</v>
          </cell>
          <cell r="I1837" t="str">
            <v>06/11/2024</v>
          </cell>
          <cell r="J1837" t="str">
            <v>06/17/2024</v>
          </cell>
          <cell r="K1837" t="str">
            <v>06/24/2024</v>
          </cell>
          <cell r="L1837">
            <v>5</v>
          </cell>
          <cell r="M1837" t="str">
            <v>6/13/2024 11:49:01 AM</v>
          </cell>
          <cell r="N1837" t="str">
            <v>26</v>
          </cell>
          <cell r="O1837">
            <v>5</v>
          </cell>
          <cell r="P1837">
            <v>2.17</v>
          </cell>
        </row>
        <row r="1838">
          <cell r="A1838" t="str">
            <v>6727128</v>
          </cell>
          <cell r="B1838" t="str">
            <v>1200309</v>
          </cell>
          <cell r="C1838" t="str">
            <v>6390RDS-832-131</v>
          </cell>
          <cell r="D1838" t="str">
            <v>6390RDS</v>
          </cell>
          <cell r="E1838" t="str">
            <v>6390RDS GLOCK 17MOS X300U STX TAC BLK RH</v>
          </cell>
          <cell r="F1838" t="str">
            <v>DG-HOLSTER-RDS-DTC</v>
          </cell>
          <cell r="G1838" t="str">
            <v>1420-210-FG</v>
          </cell>
          <cell r="H1838" t="str">
            <v>R</v>
          </cell>
          <cell r="I1838" t="str">
            <v>06/10/2024</v>
          </cell>
          <cell r="J1838" t="str">
            <v>06/10/2024</v>
          </cell>
          <cell r="K1838" t="str">
            <v>06/24/2024</v>
          </cell>
          <cell r="L1838">
            <v>200</v>
          </cell>
          <cell r="M1838" t="str">
            <v>6/13/2024 11:33:39 AM</v>
          </cell>
          <cell r="N1838" t="str">
            <v>26</v>
          </cell>
          <cell r="O1838">
            <v>200</v>
          </cell>
          <cell r="P1838">
            <v>86.6</v>
          </cell>
        </row>
        <row r="1839">
          <cell r="A1839" t="str">
            <v>6728227</v>
          </cell>
          <cell r="B1839" t="str">
            <v>1332861</v>
          </cell>
          <cell r="C1839" t="str">
            <v>6390RDS-2832-721</v>
          </cell>
          <cell r="D1839" t="str">
            <v>6390RDS</v>
          </cell>
          <cell r="E1839" t="str">
            <v>6390RDS GLOCK 19MOS X300U COR OD RGRN RH</v>
          </cell>
          <cell r="F1839" t="str">
            <v>DG-HOLSTER-RDS-DTC</v>
          </cell>
          <cell r="G1839" t="str">
            <v>1420-210-FG</v>
          </cell>
          <cell r="H1839" t="str">
            <v>R</v>
          </cell>
          <cell r="I1839" t="str">
            <v>06/11/2024</v>
          </cell>
          <cell r="J1839" t="str">
            <v>06/17/2024</v>
          </cell>
          <cell r="K1839" t="str">
            <v>06/24/2024</v>
          </cell>
          <cell r="L1839">
            <v>12</v>
          </cell>
          <cell r="M1839" t="str">
            <v>6/13/2024 10:57:31 AM</v>
          </cell>
          <cell r="N1839" t="str">
            <v>26</v>
          </cell>
          <cell r="O1839">
            <v>12</v>
          </cell>
          <cell r="P1839">
            <v>4.8</v>
          </cell>
        </row>
        <row r="1840">
          <cell r="A1840" t="str">
            <v>6727135</v>
          </cell>
          <cell r="B1840" t="str">
            <v>1317289</v>
          </cell>
          <cell r="C1840" t="str">
            <v>6390RDS-2832-481</v>
          </cell>
          <cell r="D1840" t="str">
            <v>6390RDS</v>
          </cell>
          <cell r="E1840" t="str">
            <v>6390RDS GLOCK 19MOS X300U STX BSK BLK RH</v>
          </cell>
          <cell r="F1840" t="str">
            <v>DG-HOLSTER-RDS-DTC</v>
          </cell>
          <cell r="G1840" t="str">
            <v>1420-210-FG</v>
          </cell>
          <cell r="H1840" t="str">
            <v>R</v>
          </cell>
          <cell r="I1840" t="str">
            <v>06/10/2024</v>
          </cell>
          <cell r="J1840" t="str">
            <v>06/10/2024</v>
          </cell>
          <cell r="K1840" t="str">
            <v>06/24/2024</v>
          </cell>
          <cell r="L1840">
            <v>50</v>
          </cell>
          <cell r="M1840" t="str">
            <v>6/13/2024 10:48:05 AM</v>
          </cell>
          <cell r="N1840" t="str">
            <v>26</v>
          </cell>
          <cell r="O1840">
            <v>50</v>
          </cell>
          <cell r="P1840">
            <v>20</v>
          </cell>
        </row>
        <row r="1841">
          <cell r="A1841" t="str">
            <v>6727133</v>
          </cell>
          <cell r="B1841" t="str">
            <v>1204218</v>
          </cell>
          <cell r="C1841" t="str">
            <v>6390RDS-2832-131</v>
          </cell>
          <cell r="D1841" t="str">
            <v>6390RDS</v>
          </cell>
          <cell r="E1841" t="str">
            <v>6390RDS GLOCK 19MOS X300U STX TAC BLK RH</v>
          </cell>
          <cell r="F1841" t="str">
            <v>DG-HOLSTER-RDS-DTC</v>
          </cell>
          <cell r="G1841" t="str">
            <v>1420-210-FG</v>
          </cell>
          <cell r="H1841" t="str">
            <v>F</v>
          </cell>
          <cell r="I1841" t="str">
            <v>06/10/2024</v>
          </cell>
          <cell r="J1841" t="str">
            <v>06/10/2024</v>
          </cell>
          <cell r="K1841" t="str">
            <v>06/24/2024</v>
          </cell>
          <cell r="L1841">
            <v>50</v>
          </cell>
          <cell r="M1841" t="str">
            <v/>
          </cell>
          <cell r="N1841" t="str">
            <v>26</v>
          </cell>
          <cell r="O1841">
            <v>50</v>
          </cell>
          <cell r="P1841">
            <v>20</v>
          </cell>
        </row>
        <row r="1842">
          <cell r="A1842" t="str">
            <v>6726990</v>
          </cell>
          <cell r="B1842" t="str">
            <v>1201638</v>
          </cell>
          <cell r="C1842" t="str">
            <v>6390RDS-6832-481</v>
          </cell>
          <cell r="D1842" t="str">
            <v>6390RDS</v>
          </cell>
          <cell r="E1842" t="str">
            <v>6390RDS GLOCK 34/35 X300U STX BSK BLK RH</v>
          </cell>
          <cell r="F1842" t="str">
            <v>DG-HOLSTER-RDS</v>
          </cell>
          <cell r="G1842" t="str">
            <v>1420-210-FG</v>
          </cell>
          <cell r="H1842" t="str">
            <v>F</v>
          </cell>
          <cell r="I1842" t="str">
            <v>06/10/2024</v>
          </cell>
          <cell r="J1842" t="str">
            <v>06/10/2024</v>
          </cell>
          <cell r="K1842" t="str">
            <v>06/24/2024</v>
          </cell>
          <cell r="L1842">
            <v>5</v>
          </cell>
          <cell r="M1842" t="str">
            <v/>
          </cell>
          <cell r="N1842" t="str">
            <v>26</v>
          </cell>
          <cell r="O1842">
            <v>5</v>
          </cell>
          <cell r="P1842">
            <v>2</v>
          </cell>
        </row>
        <row r="1843">
          <cell r="A1843" t="str">
            <v>6727648</v>
          </cell>
          <cell r="B1843" t="str">
            <v>1200333</v>
          </cell>
          <cell r="C1843" t="str">
            <v>6390RDS-6832-131</v>
          </cell>
          <cell r="D1843" t="str">
            <v>6390RDS</v>
          </cell>
          <cell r="E1843" t="str">
            <v>6390RDS GLOCK 34/35 X300U STX TAC BLK RH</v>
          </cell>
          <cell r="F1843" t="str">
            <v>DG-HOLSTER-RDS</v>
          </cell>
          <cell r="G1843" t="str">
            <v>1420-210-FG</v>
          </cell>
          <cell r="H1843" t="str">
            <v>R</v>
          </cell>
          <cell r="I1843" t="str">
            <v>06/11/2024</v>
          </cell>
          <cell r="J1843" t="str">
            <v>06/11/2024</v>
          </cell>
          <cell r="K1843" t="str">
            <v>06/24/2024</v>
          </cell>
          <cell r="L1843">
            <v>20</v>
          </cell>
          <cell r="M1843" t="str">
            <v>6/13/2024 11:33:39 AM</v>
          </cell>
          <cell r="N1843" t="str">
            <v>26</v>
          </cell>
          <cell r="O1843">
            <v>20</v>
          </cell>
          <cell r="P1843">
            <v>8</v>
          </cell>
        </row>
        <row r="1844">
          <cell r="A1844" t="str">
            <v>6727243</v>
          </cell>
          <cell r="B1844" t="str">
            <v>1335682</v>
          </cell>
          <cell r="C1844" t="str">
            <v>6390RDS-8972-482</v>
          </cell>
          <cell r="D1844" t="str">
            <v>6390RDS</v>
          </cell>
          <cell r="E1844" t="str">
            <v>6390RDS GLOCK 47 X300U STX BSK BLK LH</v>
          </cell>
          <cell r="F1844" t="str">
            <v>DG-HOLSTER-RDS-DTC</v>
          </cell>
          <cell r="G1844" t="str">
            <v>1420-210-FG</v>
          </cell>
          <cell r="H1844" t="str">
            <v>R</v>
          </cell>
          <cell r="I1844" t="str">
            <v>06/10/2024</v>
          </cell>
          <cell r="J1844" t="str">
            <v>06/10/2024</v>
          </cell>
          <cell r="K1844" t="str">
            <v>06/24/2024</v>
          </cell>
          <cell r="L1844">
            <v>5</v>
          </cell>
          <cell r="M1844" t="str">
            <v>6/13/2024 10:53:13 AM</v>
          </cell>
          <cell r="N1844" t="str">
            <v>26</v>
          </cell>
          <cell r="O1844">
            <v>5</v>
          </cell>
          <cell r="P1844">
            <v>2</v>
          </cell>
        </row>
        <row r="1845">
          <cell r="A1845" t="str">
            <v>6727242</v>
          </cell>
          <cell r="B1845" t="str">
            <v>1335681</v>
          </cell>
          <cell r="C1845" t="str">
            <v>6390RDS-8972-481</v>
          </cell>
          <cell r="D1845" t="str">
            <v>6390RDS</v>
          </cell>
          <cell r="E1845" t="str">
            <v>6390RDS GLOCK 47 X300U STX BSK BLK RH</v>
          </cell>
          <cell r="F1845" t="str">
            <v>DG-HOLSTER-RDS-DTC</v>
          </cell>
          <cell r="G1845" t="str">
            <v>1420-210-FG</v>
          </cell>
          <cell r="H1845" t="str">
            <v>R</v>
          </cell>
          <cell r="I1845" t="str">
            <v>06/10/2024</v>
          </cell>
          <cell r="J1845" t="str">
            <v>06/10/2024</v>
          </cell>
          <cell r="K1845" t="str">
            <v>06/24/2024</v>
          </cell>
          <cell r="L1845">
            <v>5</v>
          </cell>
          <cell r="M1845" t="str">
            <v>6/13/2024 10:53:13 AM</v>
          </cell>
          <cell r="N1845" t="str">
            <v>26</v>
          </cell>
          <cell r="O1845">
            <v>5</v>
          </cell>
          <cell r="P1845">
            <v>2</v>
          </cell>
        </row>
        <row r="1846">
          <cell r="A1846" t="str">
            <v>6726974</v>
          </cell>
          <cell r="B1846" t="str">
            <v>1325758</v>
          </cell>
          <cell r="C1846" t="str">
            <v>6390RDS-8972-131</v>
          </cell>
          <cell r="D1846" t="str">
            <v>6390RDS</v>
          </cell>
          <cell r="E1846" t="str">
            <v>6390RDS GLOCK 47 X300U STX TAC BLK RH</v>
          </cell>
          <cell r="F1846" t="str">
            <v>DG-HOLSTER-RDS</v>
          </cell>
          <cell r="G1846" t="str">
            <v>1420-210-FG</v>
          </cell>
          <cell r="H1846" t="str">
            <v>R</v>
          </cell>
          <cell r="I1846" t="str">
            <v>06/10/2024</v>
          </cell>
          <cell r="J1846" t="str">
            <v>06/10/2024</v>
          </cell>
          <cell r="K1846" t="str">
            <v>06/24/2024</v>
          </cell>
          <cell r="L1846">
            <v>30</v>
          </cell>
          <cell r="M1846" t="str">
            <v>6/13/2024 10:37:08 AM</v>
          </cell>
          <cell r="N1846" t="str">
            <v>26</v>
          </cell>
          <cell r="O1846">
            <v>30</v>
          </cell>
          <cell r="P1846">
            <v>12</v>
          </cell>
        </row>
        <row r="1847">
          <cell r="A1847" t="str">
            <v>6726975</v>
          </cell>
          <cell r="B1847" t="str">
            <v>1325758</v>
          </cell>
          <cell r="C1847" t="str">
            <v>6390RDS-8972-131</v>
          </cell>
          <cell r="D1847" t="str">
            <v>6390RDS</v>
          </cell>
          <cell r="E1847" t="str">
            <v>6390RDS GLOCK 47 X300U STX TAC BLK RH</v>
          </cell>
          <cell r="F1847" t="str">
            <v>DG-HOLSTER-RDS</v>
          </cell>
          <cell r="G1847" t="str">
            <v>1420-210-FG</v>
          </cell>
          <cell r="H1847" t="str">
            <v>R</v>
          </cell>
          <cell r="I1847" t="str">
            <v>06/10/2024</v>
          </cell>
          <cell r="J1847" t="str">
            <v>06/10/2024</v>
          </cell>
          <cell r="K1847" t="str">
            <v>06/24/2024</v>
          </cell>
          <cell r="L1847">
            <v>30</v>
          </cell>
          <cell r="M1847" t="str">
            <v>6/13/2024 10:37:08 AM</v>
          </cell>
          <cell r="N1847" t="str">
            <v>26</v>
          </cell>
          <cell r="O1847">
            <v>30</v>
          </cell>
          <cell r="P1847">
            <v>12</v>
          </cell>
        </row>
        <row r="1848">
          <cell r="A1848" t="str">
            <v>6727108</v>
          </cell>
          <cell r="B1848" t="str">
            <v>1334657</v>
          </cell>
          <cell r="C1848" t="str">
            <v>6390RDS-5932-701</v>
          </cell>
          <cell r="D1848" t="str">
            <v>6390RDS</v>
          </cell>
          <cell r="E1848" t="str">
            <v>6390RDS H&amp;K VP9 X300U CORD MLTCM RH</v>
          </cell>
          <cell r="F1848" t="str">
            <v>DG-HOLSTER-RDS</v>
          </cell>
          <cell r="G1848" t="str">
            <v>1420-210-FG</v>
          </cell>
          <cell r="H1848" t="str">
            <v>R</v>
          </cell>
          <cell r="I1848" t="str">
            <v>06/10/2024</v>
          </cell>
          <cell r="J1848" t="str">
            <v>06/10/2024</v>
          </cell>
          <cell r="K1848" t="str">
            <v>06/24/2024</v>
          </cell>
          <cell r="L1848">
            <v>15</v>
          </cell>
          <cell r="M1848" t="str">
            <v>6/13/2024 11:49:01 AM</v>
          </cell>
          <cell r="N1848" t="str">
            <v>26</v>
          </cell>
          <cell r="O1848">
            <v>15</v>
          </cell>
          <cell r="P1848">
            <v>6</v>
          </cell>
        </row>
        <row r="1849">
          <cell r="A1849" t="str">
            <v>6727650</v>
          </cell>
          <cell r="B1849" t="str">
            <v>1321428</v>
          </cell>
          <cell r="C1849" t="str">
            <v>6390RDS-2222-481</v>
          </cell>
          <cell r="D1849" t="str">
            <v>6390RDS</v>
          </cell>
          <cell r="E1849" t="str">
            <v>6390RDS MP2.0 9 CORE X300U STXBSK BLK RH</v>
          </cell>
          <cell r="F1849" t="str">
            <v>DG-HOLSTER-RDS</v>
          </cell>
          <cell r="G1849" t="str">
            <v>1420-210-FG</v>
          </cell>
          <cell r="H1849" t="str">
            <v>R</v>
          </cell>
          <cell r="I1849" t="str">
            <v>06/11/2024</v>
          </cell>
          <cell r="J1849" t="str">
            <v>06/11/2024</v>
          </cell>
          <cell r="K1849" t="str">
            <v>06/24/2024</v>
          </cell>
          <cell r="L1849">
            <v>13</v>
          </cell>
          <cell r="M1849" t="str">
            <v>6/13/2024 11:39:34 AM</v>
          </cell>
          <cell r="N1849" t="str">
            <v>26</v>
          </cell>
          <cell r="O1849">
            <v>13</v>
          </cell>
          <cell r="P1849">
            <v>5.2</v>
          </cell>
        </row>
        <row r="1850">
          <cell r="A1850" t="str">
            <v>6728131</v>
          </cell>
          <cell r="B1850" t="str">
            <v>1319546</v>
          </cell>
          <cell r="C1850" t="str">
            <v>6390RDS-2222-131</v>
          </cell>
          <cell r="D1850" t="str">
            <v>6390RDS</v>
          </cell>
          <cell r="E1850" t="str">
            <v>6390RDS MP2.0 9 CORE X300U STXTAC BLK RH</v>
          </cell>
          <cell r="F1850" t="str">
            <v>DG-HOLSTER-RDS</v>
          </cell>
          <cell r="G1850" t="str">
            <v>1420-210-FG</v>
          </cell>
          <cell r="H1850" t="str">
            <v>R</v>
          </cell>
          <cell r="I1850" t="str">
            <v>06/11/2024</v>
          </cell>
          <cell r="J1850" t="str">
            <v>06/14/2024</v>
          </cell>
          <cell r="K1850" t="str">
            <v>06/24/2024</v>
          </cell>
          <cell r="L1850">
            <v>20</v>
          </cell>
          <cell r="M1850" t="str">
            <v>6/13/2024 11:33:39 AM</v>
          </cell>
          <cell r="N1850" t="str">
            <v>26</v>
          </cell>
          <cell r="O1850">
            <v>20</v>
          </cell>
          <cell r="P1850">
            <v>8</v>
          </cell>
        </row>
        <row r="1851">
          <cell r="A1851" t="str">
            <v>6727027</v>
          </cell>
          <cell r="B1851" t="str">
            <v>1324436</v>
          </cell>
          <cell r="C1851" t="str">
            <v>6390RDS-582-781</v>
          </cell>
          <cell r="D1851" t="str">
            <v>6390RDS</v>
          </cell>
          <cell r="E1851" t="str">
            <v>6390RDS PRODIGY 4.25" X300U COR BLK RH</v>
          </cell>
          <cell r="F1851" t="str">
            <v>DG-HOLSTER-RDS</v>
          </cell>
          <cell r="G1851" t="str">
            <v>1420-210-FG</v>
          </cell>
          <cell r="H1851" t="str">
            <v>R</v>
          </cell>
          <cell r="I1851" t="str">
            <v>06/10/2024</v>
          </cell>
          <cell r="J1851" t="str">
            <v>06/10/2024</v>
          </cell>
          <cell r="K1851" t="str">
            <v>06/24/2024</v>
          </cell>
          <cell r="L1851">
            <v>5</v>
          </cell>
          <cell r="M1851" t="str">
            <v>6/13/2024 10:55:31 AM</v>
          </cell>
          <cell r="N1851" t="str">
            <v>26</v>
          </cell>
          <cell r="O1851">
            <v>5</v>
          </cell>
          <cell r="P1851">
            <v>2</v>
          </cell>
        </row>
        <row r="1852">
          <cell r="A1852" t="str">
            <v>6723540</v>
          </cell>
          <cell r="B1852" t="str">
            <v>1324404</v>
          </cell>
          <cell r="C1852" t="str">
            <v>6390RDS-582-131</v>
          </cell>
          <cell r="D1852" t="str">
            <v>6390RDS</v>
          </cell>
          <cell r="E1852" t="str">
            <v>6390RDS PRODIGY 4.25" X300U STX BLK RH</v>
          </cell>
          <cell r="F1852" t="str">
            <v>DG-HOLSTER-RDS</v>
          </cell>
          <cell r="G1852" t="str">
            <v>1420-210-FG</v>
          </cell>
          <cell r="H1852" t="str">
            <v>R</v>
          </cell>
          <cell r="I1852" t="str">
            <v>06/03/2024</v>
          </cell>
          <cell r="J1852" t="str">
            <v>06/03/2024</v>
          </cell>
          <cell r="K1852" t="str">
            <v>06/24/2024</v>
          </cell>
          <cell r="L1852">
            <v>30</v>
          </cell>
          <cell r="M1852" t="str">
            <v>6/13/2024 10:37:08 AM</v>
          </cell>
          <cell r="N1852" t="str">
            <v>26</v>
          </cell>
          <cell r="O1852">
            <v>30</v>
          </cell>
          <cell r="P1852">
            <v>12</v>
          </cell>
        </row>
        <row r="1853">
          <cell r="A1853" t="str">
            <v>6727656</v>
          </cell>
          <cell r="B1853" t="str">
            <v>1324406</v>
          </cell>
          <cell r="C1853" t="str">
            <v>6390RDS-582-551</v>
          </cell>
          <cell r="D1853" t="str">
            <v>6390RDS</v>
          </cell>
          <cell r="E1853" t="str">
            <v>6390RDS PRODIGY 4.25" X300U STX FDE RH</v>
          </cell>
          <cell r="F1853" t="str">
            <v>DG-HOLSTER-RDS</v>
          </cell>
          <cell r="G1853" t="str">
            <v>1420-210-FG</v>
          </cell>
          <cell r="H1853" t="str">
            <v>F</v>
          </cell>
          <cell r="I1853" t="str">
            <v>06/11/2024</v>
          </cell>
          <cell r="J1853" t="str">
            <v>06/11/2024</v>
          </cell>
          <cell r="K1853" t="str">
            <v>06/24/2024</v>
          </cell>
          <cell r="L1853">
            <v>5</v>
          </cell>
          <cell r="M1853" t="str">
            <v/>
          </cell>
          <cell r="N1853" t="str">
            <v>26</v>
          </cell>
          <cell r="O1853">
            <v>5</v>
          </cell>
          <cell r="P1853">
            <v>2</v>
          </cell>
        </row>
        <row r="1854">
          <cell r="A1854" t="str">
            <v>6727029</v>
          </cell>
          <cell r="B1854" t="str">
            <v>1324439</v>
          </cell>
          <cell r="C1854" t="str">
            <v>6390RDS-582-702</v>
          </cell>
          <cell r="D1854" t="str">
            <v>6390RDS</v>
          </cell>
          <cell r="E1854" t="str">
            <v>6390RDS SA PRODIGY 4.25" X300U MLTCM LH</v>
          </cell>
          <cell r="F1854" t="str">
            <v>DG-HOLSTER-RDS</v>
          </cell>
          <cell r="G1854" t="str">
            <v>1420-210-FG</v>
          </cell>
          <cell r="H1854" t="str">
            <v>R</v>
          </cell>
          <cell r="I1854" t="str">
            <v>06/10/2024</v>
          </cell>
          <cell r="J1854" t="str">
            <v>06/10/2024</v>
          </cell>
          <cell r="K1854" t="str">
            <v>06/24/2024</v>
          </cell>
          <cell r="L1854">
            <v>5</v>
          </cell>
          <cell r="M1854" t="str">
            <v>6/13/2024 10:40:25 AM</v>
          </cell>
          <cell r="N1854" t="str">
            <v>26</v>
          </cell>
          <cell r="O1854">
            <v>5</v>
          </cell>
          <cell r="P1854">
            <v>2</v>
          </cell>
        </row>
        <row r="1855">
          <cell r="A1855" t="str">
            <v>6727028</v>
          </cell>
          <cell r="B1855" t="str">
            <v>1324438</v>
          </cell>
          <cell r="C1855" t="str">
            <v>6390RDS-582-701</v>
          </cell>
          <cell r="D1855" t="str">
            <v>6390RDS</v>
          </cell>
          <cell r="E1855" t="str">
            <v>6390RDS SA PRODIGY 4.25" X300U MLTCM RH</v>
          </cell>
          <cell r="F1855" t="str">
            <v>DG-HOLSTER-RDS</v>
          </cell>
          <cell r="G1855" t="str">
            <v>1420-210-FG</v>
          </cell>
          <cell r="H1855" t="str">
            <v>R</v>
          </cell>
          <cell r="I1855" t="str">
            <v>06/10/2024</v>
          </cell>
          <cell r="J1855" t="str">
            <v>06/10/2024</v>
          </cell>
          <cell r="K1855" t="str">
            <v>06/24/2024</v>
          </cell>
          <cell r="L1855">
            <v>5</v>
          </cell>
          <cell r="M1855" t="str">
            <v>6/13/2024 10:40:25 AM</v>
          </cell>
          <cell r="N1855" t="str">
            <v>26</v>
          </cell>
          <cell r="O1855">
            <v>5</v>
          </cell>
          <cell r="P1855">
            <v>2</v>
          </cell>
        </row>
        <row r="1856">
          <cell r="A1856" t="str">
            <v>6727008</v>
          </cell>
          <cell r="B1856" t="str">
            <v>1305862</v>
          </cell>
          <cell r="C1856" t="str">
            <v>6390RDS-7502-741</v>
          </cell>
          <cell r="D1856" t="str">
            <v>6390RDS</v>
          </cell>
          <cell r="E1856" t="str">
            <v>6390RDS SIG 320CRX X300U COR CYTB RH</v>
          </cell>
          <cell r="F1856" t="str">
            <v>DG-HOLSTER-RDS</v>
          </cell>
          <cell r="G1856" t="str">
            <v>1420-210-FG</v>
          </cell>
          <cell r="H1856" t="str">
            <v>F</v>
          </cell>
          <cell r="I1856" t="str">
            <v>06/10/2024</v>
          </cell>
          <cell r="J1856" t="str">
            <v>06/10/2024</v>
          </cell>
          <cell r="K1856" t="str">
            <v>06/24/2024</v>
          </cell>
          <cell r="L1856">
            <v>5</v>
          </cell>
          <cell r="M1856" t="str">
            <v/>
          </cell>
          <cell r="N1856" t="str">
            <v>26</v>
          </cell>
          <cell r="O1856">
            <v>5</v>
          </cell>
          <cell r="P1856">
            <v>2</v>
          </cell>
        </row>
        <row r="1857">
          <cell r="A1857" t="str">
            <v>6726999</v>
          </cell>
          <cell r="B1857" t="str">
            <v>1208001</v>
          </cell>
          <cell r="C1857" t="str">
            <v>6390RDS-7502-411</v>
          </cell>
          <cell r="D1857" t="str">
            <v>6390RDS</v>
          </cell>
          <cell r="E1857" t="str">
            <v>6390RDS SIG 320CRX X300U STX PLN BLK RH</v>
          </cell>
          <cell r="F1857" t="str">
            <v>DG-HOLSTER-RDS</v>
          </cell>
          <cell r="G1857" t="str">
            <v>1420-210-FG</v>
          </cell>
          <cell r="H1857" t="str">
            <v>R</v>
          </cell>
          <cell r="I1857" t="str">
            <v>06/10/2024</v>
          </cell>
          <cell r="J1857" t="str">
            <v>06/10/2024</v>
          </cell>
          <cell r="K1857" t="str">
            <v>06/24/2024</v>
          </cell>
          <cell r="L1857">
            <v>5</v>
          </cell>
          <cell r="M1857" t="str">
            <v>6/13/2024 11:35:38 AM</v>
          </cell>
          <cell r="N1857" t="str">
            <v>26</v>
          </cell>
          <cell r="O1857">
            <v>5</v>
          </cell>
          <cell r="P1857">
            <v>2</v>
          </cell>
        </row>
        <row r="1858">
          <cell r="A1858" t="str">
            <v>6723621</v>
          </cell>
          <cell r="B1858" t="str">
            <v>1319447</v>
          </cell>
          <cell r="C1858" t="str">
            <v>6390RDS-7502-551</v>
          </cell>
          <cell r="D1858" t="str">
            <v>6390RDS</v>
          </cell>
          <cell r="E1858" t="str">
            <v>6390RDS SIG 320CRX X300U STX TAC FDE RH</v>
          </cell>
          <cell r="F1858" t="str">
            <v>DG-HOLSTER-RDS</v>
          </cell>
          <cell r="G1858" t="str">
            <v>1420-210-FG</v>
          </cell>
          <cell r="H1858" t="str">
            <v>R</v>
          </cell>
          <cell r="I1858" t="str">
            <v>06/03/2024</v>
          </cell>
          <cell r="J1858" t="str">
            <v>06/03/2024</v>
          </cell>
          <cell r="K1858" t="str">
            <v>06/24/2024</v>
          </cell>
          <cell r="L1858">
            <v>5</v>
          </cell>
          <cell r="M1858" t="str">
            <v>6/13/2024 11:36:04 AM</v>
          </cell>
          <cell r="N1858" t="str">
            <v>26</v>
          </cell>
          <cell r="O1858">
            <v>5</v>
          </cell>
          <cell r="P1858">
            <v>2</v>
          </cell>
        </row>
        <row r="1859">
          <cell r="A1859" t="str">
            <v>6723604</v>
          </cell>
          <cell r="B1859" t="str">
            <v>1208020</v>
          </cell>
          <cell r="C1859" t="str">
            <v>6390RDS-4502-411</v>
          </cell>
          <cell r="D1859" t="str">
            <v>6390RDS</v>
          </cell>
          <cell r="E1859" t="str">
            <v>6390RDS SIG 320RX X300U STX PLN BLK RH</v>
          </cell>
          <cell r="F1859" t="str">
            <v>DG-HOLSTER-RDS</v>
          </cell>
          <cell r="G1859" t="str">
            <v>1420-210-FG</v>
          </cell>
          <cell r="H1859" t="str">
            <v>R</v>
          </cell>
          <cell r="I1859" t="str">
            <v>06/03/2024</v>
          </cell>
          <cell r="J1859" t="str">
            <v>06/03/2024</v>
          </cell>
          <cell r="K1859" t="str">
            <v>06/24/2024</v>
          </cell>
          <cell r="L1859">
            <v>5</v>
          </cell>
          <cell r="M1859" t="str">
            <v>6/13/2024 11:35:38 AM</v>
          </cell>
          <cell r="N1859" t="str">
            <v>26</v>
          </cell>
          <cell r="O1859">
            <v>5</v>
          </cell>
          <cell r="P1859">
            <v>2.17</v>
          </cell>
        </row>
        <row r="1860">
          <cell r="A1860" t="str">
            <v>6727007</v>
          </cell>
          <cell r="B1860" t="str">
            <v>1305589</v>
          </cell>
          <cell r="C1860" t="str">
            <v>6390RDS-4502-702</v>
          </cell>
          <cell r="D1860" t="str">
            <v>6390RDS</v>
          </cell>
          <cell r="E1860" t="str">
            <v>6390RDS SIG P320RX X300U CORD MLTCM LH</v>
          </cell>
          <cell r="F1860" t="str">
            <v>DG-HOLSTER-RDS</v>
          </cell>
          <cell r="G1860" t="str">
            <v>1420-210-FG</v>
          </cell>
          <cell r="H1860" t="str">
            <v>R</v>
          </cell>
          <cell r="I1860" t="str">
            <v>06/10/2024</v>
          </cell>
          <cell r="J1860" t="str">
            <v>06/10/2024</v>
          </cell>
          <cell r="K1860" t="str">
            <v>06/24/2024</v>
          </cell>
          <cell r="L1860">
            <v>5</v>
          </cell>
          <cell r="M1860" t="str">
            <v>6/13/2024 11:46:14 AM</v>
          </cell>
          <cell r="N1860" t="str">
            <v>26</v>
          </cell>
          <cell r="O1860">
            <v>5</v>
          </cell>
          <cell r="P1860">
            <v>2.17</v>
          </cell>
        </row>
        <row r="1861">
          <cell r="A1861" t="str">
            <v>6723614</v>
          </cell>
          <cell r="B1861" t="str">
            <v>1305588</v>
          </cell>
          <cell r="C1861" t="str">
            <v>6390RDS-4502-701</v>
          </cell>
          <cell r="D1861" t="str">
            <v>6390RDS</v>
          </cell>
          <cell r="E1861" t="str">
            <v>6390RDS SIG P320RX X300U CORD MLTCM RH</v>
          </cell>
          <cell r="F1861" t="str">
            <v>DG-HOLSTER-RDS</v>
          </cell>
          <cell r="G1861" t="str">
            <v>1420-210-FG</v>
          </cell>
          <cell r="H1861" t="str">
            <v>R</v>
          </cell>
          <cell r="I1861" t="str">
            <v>06/03/2024</v>
          </cell>
          <cell r="J1861" t="str">
            <v>06/03/2024</v>
          </cell>
          <cell r="K1861" t="str">
            <v>06/24/2024</v>
          </cell>
          <cell r="L1861">
            <v>44</v>
          </cell>
          <cell r="M1861" t="str">
            <v>6/13/2024 11:46:14 AM</v>
          </cell>
          <cell r="N1861" t="str">
            <v>26</v>
          </cell>
          <cell r="O1861">
            <v>44</v>
          </cell>
          <cell r="P1861">
            <v>19.05</v>
          </cell>
        </row>
        <row r="1862">
          <cell r="A1862" t="str">
            <v>6725069</v>
          </cell>
          <cell r="B1862" t="str">
            <v>1305588</v>
          </cell>
          <cell r="C1862" t="str">
            <v>6390RDS-4502-701</v>
          </cell>
          <cell r="D1862" t="str">
            <v>6390RDS</v>
          </cell>
          <cell r="E1862" t="str">
            <v>6390RDS SIG P320RX X300U CORD MLTCM RH</v>
          </cell>
          <cell r="F1862" t="str">
            <v>DG-HOLSTER-RDS</v>
          </cell>
          <cell r="G1862" t="str">
            <v>1420-210-FG</v>
          </cell>
          <cell r="H1862" t="str">
            <v>R</v>
          </cell>
          <cell r="I1862" t="str">
            <v>06/05/2024</v>
          </cell>
          <cell r="J1862" t="str">
            <v>06/05/2024</v>
          </cell>
          <cell r="K1862" t="str">
            <v>06/24/2024</v>
          </cell>
          <cell r="L1862">
            <v>30</v>
          </cell>
          <cell r="M1862" t="str">
            <v>6/13/2024 11:46:14 AM</v>
          </cell>
          <cell r="N1862" t="str">
            <v>26</v>
          </cell>
          <cell r="O1862">
            <v>30</v>
          </cell>
          <cell r="P1862">
            <v>12.99</v>
          </cell>
        </row>
        <row r="1863">
          <cell r="A1863" t="str">
            <v>6723552</v>
          </cell>
          <cell r="B1863" t="str">
            <v>1325330</v>
          </cell>
          <cell r="C1863" t="str">
            <v>6390RDS-1582-481</v>
          </cell>
          <cell r="D1863" t="str">
            <v>6390RDS</v>
          </cell>
          <cell r="E1863" t="str">
            <v>6390RDS STI STACC P 4.4" X300U BSKBLK RH</v>
          </cell>
          <cell r="F1863" t="str">
            <v>DG-HOLSTER-RDS</v>
          </cell>
          <cell r="G1863" t="str">
            <v>1420-210-FG</v>
          </cell>
          <cell r="H1863" t="str">
            <v>R</v>
          </cell>
          <cell r="I1863" t="str">
            <v>06/03/2024</v>
          </cell>
          <cell r="J1863" t="str">
            <v>06/03/2024</v>
          </cell>
          <cell r="K1863" t="str">
            <v>06/24/2024</v>
          </cell>
          <cell r="L1863">
            <v>15</v>
          </cell>
          <cell r="M1863" t="str">
            <v>6/13/2024 10:48:05 AM</v>
          </cell>
          <cell r="N1863" t="str">
            <v>26</v>
          </cell>
          <cell r="O1863">
            <v>15</v>
          </cell>
          <cell r="P1863">
            <v>6</v>
          </cell>
        </row>
        <row r="1864">
          <cell r="A1864" t="str">
            <v>6723553</v>
          </cell>
          <cell r="B1864" t="str">
            <v>1325332</v>
          </cell>
          <cell r="C1864" t="str">
            <v>6390RDS-1582-411</v>
          </cell>
          <cell r="D1864" t="str">
            <v>6390RDS</v>
          </cell>
          <cell r="E1864" t="str">
            <v>6390RDS STI STACC P 4.4" X300U PLNBLK RH</v>
          </cell>
          <cell r="F1864" t="str">
            <v>DG-HOLSTER-RDS</v>
          </cell>
          <cell r="G1864" t="str">
            <v>1420-210-FG</v>
          </cell>
          <cell r="H1864" t="str">
            <v>R</v>
          </cell>
          <cell r="I1864" t="str">
            <v>06/03/2024</v>
          </cell>
          <cell r="J1864" t="str">
            <v>06/03/2024</v>
          </cell>
          <cell r="K1864" t="str">
            <v>06/24/2024</v>
          </cell>
          <cell r="L1864">
            <v>10</v>
          </cell>
          <cell r="M1864" t="str">
            <v>6/13/2024 10:40:25 AM</v>
          </cell>
          <cell r="N1864" t="str">
            <v>26</v>
          </cell>
          <cell r="O1864">
            <v>10</v>
          </cell>
          <cell r="P1864">
            <v>4</v>
          </cell>
        </row>
        <row r="1865">
          <cell r="A1865" t="str">
            <v>6728160</v>
          </cell>
          <cell r="B1865" t="str">
            <v>1332865</v>
          </cell>
          <cell r="C1865" t="str">
            <v>6390RDS-1582-721</v>
          </cell>
          <cell r="D1865" t="str">
            <v>6390RDS</v>
          </cell>
          <cell r="E1865" t="str">
            <v>6390RDS STI STACCP4.4" X300U OD RGNGRNRH</v>
          </cell>
          <cell r="F1865" t="str">
            <v>DG-HOLSTER-RDS</v>
          </cell>
          <cell r="G1865" t="str">
            <v>1420-210-FG</v>
          </cell>
          <cell r="H1865" t="str">
            <v>R</v>
          </cell>
          <cell r="I1865" t="str">
            <v>06/11/2024</v>
          </cell>
          <cell r="J1865" t="str">
            <v>06/17/2024</v>
          </cell>
          <cell r="K1865" t="str">
            <v>06/24/2024</v>
          </cell>
          <cell r="L1865">
            <v>10</v>
          </cell>
          <cell r="M1865" t="str">
            <v>6/13/2024 10:53:13 AM</v>
          </cell>
          <cell r="N1865" t="str">
            <v>26</v>
          </cell>
          <cell r="O1865">
            <v>10</v>
          </cell>
          <cell r="P1865">
            <v>4</v>
          </cell>
        </row>
        <row r="1866">
          <cell r="A1866" t="str">
            <v>6723692</v>
          </cell>
          <cell r="B1866" t="str">
            <v>1333910</v>
          </cell>
          <cell r="C1866" t="str">
            <v>6390RDSO-832-131</v>
          </cell>
          <cell r="D1866" t="str">
            <v>6390RDSO</v>
          </cell>
          <cell r="E1866" t="str">
            <v>6390RDSO GLOCK 17MOS X300U STXTAC BLK RH</v>
          </cell>
          <cell r="F1866" t="str">
            <v>DG-HOLSTER-RDS</v>
          </cell>
          <cell r="G1866" t="str">
            <v>1420-210-FG</v>
          </cell>
          <cell r="H1866" t="str">
            <v>R</v>
          </cell>
          <cell r="I1866" t="str">
            <v>06/03/2024</v>
          </cell>
          <cell r="J1866" t="str">
            <v>06/03/2024</v>
          </cell>
          <cell r="K1866" t="str">
            <v>06/24/2024</v>
          </cell>
          <cell r="L1866">
            <v>10</v>
          </cell>
          <cell r="M1866" t="str">
            <v>6/13/2024 11:43:03 AM</v>
          </cell>
          <cell r="N1866" t="str">
            <v>26</v>
          </cell>
          <cell r="O1866">
            <v>10</v>
          </cell>
          <cell r="P1866">
            <v>4.33</v>
          </cell>
        </row>
        <row r="1867">
          <cell r="A1867" t="str">
            <v>6727093</v>
          </cell>
          <cell r="B1867" t="str">
            <v>1333910</v>
          </cell>
          <cell r="C1867" t="str">
            <v>6390RDSO-832-131</v>
          </cell>
          <cell r="D1867" t="str">
            <v>6390RDSO</v>
          </cell>
          <cell r="E1867" t="str">
            <v>6390RDSO GLOCK 17MOS X300U STXTAC BLK RH</v>
          </cell>
          <cell r="F1867" t="str">
            <v>DG-HOLSTER-RDS</v>
          </cell>
          <cell r="G1867" t="str">
            <v>1420-210-FG</v>
          </cell>
          <cell r="H1867" t="str">
            <v>R</v>
          </cell>
          <cell r="I1867" t="str">
            <v>06/10/2024</v>
          </cell>
          <cell r="J1867" t="str">
            <v>06/10/2024</v>
          </cell>
          <cell r="K1867" t="str">
            <v>06/24/2024</v>
          </cell>
          <cell r="L1867">
            <v>3</v>
          </cell>
          <cell r="M1867" t="str">
            <v>6/13/2024 11:43:03 AM</v>
          </cell>
          <cell r="N1867" t="str">
            <v>26</v>
          </cell>
          <cell r="O1867">
            <v>3</v>
          </cell>
          <cell r="P1867">
            <v>1.3</v>
          </cell>
        </row>
        <row r="1868">
          <cell r="A1868" t="str">
            <v>6727666</v>
          </cell>
          <cell r="B1868" t="str">
            <v>1333910</v>
          </cell>
          <cell r="C1868" t="str">
            <v>6390RDSO-832-131</v>
          </cell>
          <cell r="D1868" t="str">
            <v>6390RDSO</v>
          </cell>
          <cell r="E1868" t="str">
            <v>6390RDSO GLOCK 17MOS X300U STXTAC BLK RH</v>
          </cell>
          <cell r="F1868" t="str">
            <v>DG-HOLSTER-RDS</v>
          </cell>
          <cell r="G1868" t="str">
            <v>1420-210-FG</v>
          </cell>
          <cell r="H1868" t="str">
            <v>R</v>
          </cell>
          <cell r="I1868" t="str">
            <v>06/11/2024</v>
          </cell>
          <cell r="J1868" t="str">
            <v>06/11/2024</v>
          </cell>
          <cell r="K1868" t="str">
            <v>06/24/2024</v>
          </cell>
          <cell r="L1868">
            <v>3</v>
          </cell>
          <cell r="M1868" t="str">
            <v>6/13/2024 11:43:03 AM</v>
          </cell>
          <cell r="N1868" t="str">
            <v>26</v>
          </cell>
          <cell r="O1868">
            <v>3</v>
          </cell>
          <cell r="P1868">
            <v>1.3</v>
          </cell>
        </row>
        <row r="1869">
          <cell r="A1869" t="str">
            <v>6728165</v>
          </cell>
          <cell r="B1869" t="str">
            <v>1333910</v>
          </cell>
          <cell r="C1869" t="str">
            <v>6390RDSO-832-131</v>
          </cell>
          <cell r="D1869" t="str">
            <v>6390RDSO</v>
          </cell>
          <cell r="E1869" t="str">
            <v>6390RDSO GLOCK 17MOS X300U STXTAC BLK RH</v>
          </cell>
          <cell r="F1869" t="str">
            <v>DG-HOLSTER-RDS</v>
          </cell>
          <cell r="G1869" t="str">
            <v>1420-210-FG</v>
          </cell>
          <cell r="H1869" t="str">
            <v>R</v>
          </cell>
          <cell r="I1869" t="str">
            <v>06/11/2024</v>
          </cell>
          <cell r="J1869" t="str">
            <v>06/17/2024</v>
          </cell>
          <cell r="K1869" t="str">
            <v>06/24/2024</v>
          </cell>
          <cell r="L1869">
            <v>1</v>
          </cell>
          <cell r="M1869" t="str">
            <v>6/13/2024 11:43:03 AM</v>
          </cell>
          <cell r="N1869" t="str">
            <v>26</v>
          </cell>
          <cell r="O1869">
            <v>1</v>
          </cell>
          <cell r="P1869">
            <v>0.43</v>
          </cell>
        </row>
        <row r="1870">
          <cell r="A1870" t="str">
            <v>6727244</v>
          </cell>
          <cell r="B1870" t="str">
            <v>1335683</v>
          </cell>
          <cell r="C1870" t="str">
            <v>6390RDSO-2832-701</v>
          </cell>
          <cell r="D1870" t="str">
            <v>6390RDSO</v>
          </cell>
          <cell r="E1870" t="str">
            <v>6390RDSO GLOCK 19MOS X300U CORD MLTCM RH</v>
          </cell>
          <cell r="F1870" t="str">
            <v>DG-HOLSTER-RDS-DTC</v>
          </cell>
          <cell r="G1870" t="str">
            <v>1420-210-FG</v>
          </cell>
          <cell r="H1870" t="str">
            <v>R</v>
          </cell>
          <cell r="I1870" t="str">
            <v>06/10/2024</v>
          </cell>
          <cell r="J1870" t="str">
            <v>06/10/2024</v>
          </cell>
          <cell r="K1870" t="str">
            <v>06/24/2024</v>
          </cell>
          <cell r="L1870">
            <v>5</v>
          </cell>
          <cell r="M1870" t="str">
            <v>6/13/2024 10:57:31 AM</v>
          </cell>
          <cell r="N1870" t="str">
            <v>26</v>
          </cell>
          <cell r="O1870">
            <v>5</v>
          </cell>
          <cell r="P1870">
            <v>2.17</v>
          </cell>
        </row>
        <row r="1871">
          <cell r="A1871" t="str">
            <v>6727239</v>
          </cell>
          <cell r="B1871" t="str">
            <v>1335585</v>
          </cell>
          <cell r="C1871" t="str">
            <v>6390RDSO-8972-132</v>
          </cell>
          <cell r="D1871" t="str">
            <v>6390RDSO</v>
          </cell>
          <cell r="E1871" t="str">
            <v>6390RDSO GLOCK 47 X300U STX TAC BLK LH</v>
          </cell>
          <cell r="F1871" t="str">
            <v>DG-HOLSTER-RDS-DTC</v>
          </cell>
          <cell r="G1871" t="str">
            <v>1420-210-FG</v>
          </cell>
          <cell r="H1871" t="str">
            <v>R</v>
          </cell>
          <cell r="I1871" t="str">
            <v>06/10/2024</v>
          </cell>
          <cell r="J1871" t="str">
            <v>06/10/2024</v>
          </cell>
          <cell r="K1871" t="str">
            <v>06/24/2024</v>
          </cell>
          <cell r="L1871">
            <v>5</v>
          </cell>
          <cell r="M1871" t="str">
            <v>6/13/2024 10:53:13 AM</v>
          </cell>
          <cell r="N1871" t="str">
            <v>26</v>
          </cell>
          <cell r="O1871">
            <v>5</v>
          </cell>
          <cell r="P1871">
            <v>2</v>
          </cell>
        </row>
        <row r="1872">
          <cell r="A1872" t="str">
            <v>6727221</v>
          </cell>
          <cell r="B1872" t="str">
            <v>1335219</v>
          </cell>
          <cell r="C1872" t="str">
            <v>6390RDSO-2832-131</v>
          </cell>
          <cell r="D1872" t="str">
            <v>6390RDSO</v>
          </cell>
          <cell r="E1872" t="str">
            <v>6390RDSO GLOCK19MOS X300U STX TAC BLK RH</v>
          </cell>
          <cell r="F1872" t="str">
            <v>DG-HOLSTER-RDS-DTC</v>
          </cell>
          <cell r="G1872" t="str">
            <v>1420-210-FG</v>
          </cell>
          <cell r="H1872" t="str">
            <v>R</v>
          </cell>
          <cell r="I1872" t="str">
            <v>06/10/2024</v>
          </cell>
          <cell r="J1872" t="str">
            <v>06/10/2024</v>
          </cell>
          <cell r="K1872" t="str">
            <v>06/24/2024</v>
          </cell>
          <cell r="L1872">
            <v>5</v>
          </cell>
          <cell r="M1872" t="str">
            <v>6/13/2024 10:53:13 AM</v>
          </cell>
          <cell r="N1872" t="str">
            <v>26</v>
          </cell>
          <cell r="O1872">
            <v>5</v>
          </cell>
          <cell r="P1872">
            <v>2.17</v>
          </cell>
        </row>
        <row r="1873">
          <cell r="A1873" t="str">
            <v>6724386</v>
          </cell>
          <cell r="B1873" t="str">
            <v>1335071</v>
          </cell>
          <cell r="C1873" t="str">
            <v>6390RDSO-572-131</v>
          </cell>
          <cell r="D1873" t="str">
            <v>6390RDSO</v>
          </cell>
          <cell r="E1873" t="str">
            <v>6390RDSO SA ECHELON X300U STX TAC BLK RH</v>
          </cell>
          <cell r="F1873" t="str">
            <v>DG-HOLSTER-RDS-DTC</v>
          </cell>
          <cell r="G1873" t="str">
            <v>1420-210-FG</v>
          </cell>
          <cell r="H1873" t="str">
            <v>R</v>
          </cell>
          <cell r="I1873" t="str">
            <v>06/04/2024</v>
          </cell>
          <cell r="J1873" t="str">
            <v>06/04/2024</v>
          </cell>
          <cell r="K1873" t="str">
            <v>06/24/2024</v>
          </cell>
          <cell r="L1873">
            <v>10</v>
          </cell>
          <cell r="M1873" t="str">
            <v>6/13/2024 11:43:03 AM</v>
          </cell>
          <cell r="N1873" t="str">
            <v>26</v>
          </cell>
          <cell r="O1873">
            <v>10</v>
          </cell>
          <cell r="P1873">
            <v>4</v>
          </cell>
        </row>
        <row r="1874">
          <cell r="A1874" t="str">
            <v>6727210</v>
          </cell>
          <cell r="B1874" t="str">
            <v>1335071</v>
          </cell>
          <cell r="C1874" t="str">
            <v>6390RDSO-572-131</v>
          </cell>
          <cell r="D1874" t="str">
            <v>6390RDSO</v>
          </cell>
          <cell r="E1874" t="str">
            <v>6390RDSO SA ECHELON X300U STX TAC BLK RH</v>
          </cell>
          <cell r="F1874" t="str">
            <v>DG-HOLSTER-RDS-DTC</v>
          </cell>
          <cell r="G1874" t="str">
            <v>1420-210-FG</v>
          </cell>
          <cell r="H1874" t="str">
            <v>R</v>
          </cell>
          <cell r="I1874" t="str">
            <v>06/10/2024</v>
          </cell>
          <cell r="J1874" t="str">
            <v>06/10/2024</v>
          </cell>
          <cell r="K1874" t="str">
            <v>06/24/2024</v>
          </cell>
          <cell r="L1874">
            <v>10</v>
          </cell>
          <cell r="M1874" t="str">
            <v>6/13/2024 11:43:03 AM</v>
          </cell>
          <cell r="N1874" t="str">
            <v>26</v>
          </cell>
          <cell r="O1874">
            <v>10</v>
          </cell>
          <cell r="P1874">
            <v>4</v>
          </cell>
        </row>
        <row r="1875">
          <cell r="A1875" t="str">
            <v>6727121</v>
          </cell>
          <cell r="B1875" t="str">
            <v>1334922</v>
          </cell>
          <cell r="C1875" t="str">
            <v>6390RDSO-7502-131</v>
          </cell>
          <cell r="D1875" t="str">
            <v>6390RDSO</v>
          </cell>
          <cell r="E1875" t="str">
            <v>6390RDSO SIG 320CRX X300U STX TAC BLK RH</v>
          </cell>
          <cell r="F1875" t="str">
            <v>DG-HOLSTER-RDS</v>
          </cell>
          <cell r="G1875" t="str">
            <v>1420-210-FG</v>
          </cell>
          <cell r="H1875" t="str">
            <v>R</v>
          </cell>
          <cell r="I1875" t="str">
            <v>06/10/2024</v>
          </cell>
          <cell r="J1875" t="str">
            <v>06/10/2024</v>
          </cell>
          <cell r="K1875" t="str">
            <v>06/24/2024</v>
          </cell>
          <cell r="L1875">
            <v>5</v>
          </cell>
          <cell r="M1875" t="str">
            <v>6/13/2024 11:43:03 AM</v>
          </cell>
          <cell r="N1875" t="str">
            <v>26</v>
          </cell>
          <cell r="O1875">
            <v>5</v>
          </cell>
          <cell r="P1875">
            <v>2</v>
          </cell>
        </row>
        <row r="1876">
          <cell r="A1876" t="str">
            <v>6726855</v>
          </cell>
          <cell r="B1876" t="str">
            <v>1152381</v>
          </cell>
          <cell r="C1876" t="str">
            <v>6395-73-131</v>
          </cell>
          <cell r="D1876" t="str">
            <v>6395</v>
          </cell>
          <cell r="E1876" t="str">
            <v>6395 BERETTA 92FS STX TAC BLK RH</v>
          </cell>
          <cell r="F1876" t="str">
            <v>DG-HOLSTER</v>
          </cell>
          <cell r="G1876" t="str">
            <v>1420-210-FG</v>
          </cell>
          <cell r="H1876" t="str">
            <v>R</v>
          </cell>
          <cell r="I1876" t="str">
            <v>06/10/2024</v>
          </cell>
          <cell r="J1876" t="str">
            <v>06/10/2024</v>
          </cell>
          <cell r="K1876" t="str">
            <v>06/24/2024</v>
          </cell>
          <cell r="L1876">
            <v>5</v>
          </cell>
          <cell r="M1876" t="str">
            <v>6/13/2024 10:37:08 AM</v>
          </cell>
          <cell r="N1876" t="str">
            <v>26</v>
          </cell>
          <cell r="O1876">
            <v>5</v>
          </cell>
          <cell r="P1876">
            <v>1.1599999999999999</v>
          </cell>
        </row>
        <row r="1877">
          <cell r="A1877" t="str">
            <v>6726885</v>
          </cell>
          <cell r="B1877" t="str">
            <v>1305620</v>
          </cell>
          <cell r="C1877" t="str">
            <v>6395-150-411</v>
          </cell>
          <cell r="D1877" t="str">
            <v>6395</v>
          </cell>
          <cell r="E1877" t="str">
            <v>6395 CANIK TP9SF STX PLN BLK RH</v>
          </cell>
          <cell r="F1877" t="str">
            <v>DG-HOLSTER</v>
          </cell>
          <cell r="G1877" t="str">
            <v>1420-210-FG</v>
          </cell>
          <cell r="H1877" t="str">
            <v>R</v>
          </cell>
          <cell r="I1877" t="str">
            <v>06/10/2024</v>
          </cell>
          <cell r="J1877" t="str">
            <v>06/10/2024</v>
          </cell>
          <cell r="K1877" t="str">
            <v>06/24/2024</v>
          </cell>
          <cell r="L1877">
            <v>5</v>
          </cell>
          <cell r="M1877" t="str">
            <v>6/13/2024 10:40:25 AM</v>
          </cell>
          <cell r="N1877" t="str">
            <v>26</v>
          </cell>
          <cell r="O1877">
            <v>5</v>
          </cell>
          <cell r="P1877">
            <v>0.69</v>
          </cell>
        </row>
        <row r="1878">
          <cell r="A1878" t="str">
            <v>6726866</v>
          </cell>
          <cell r="B1878" t="str">
            <v>1166155</v>
          </cell>
          <cell r="C1878" t="str">
            <v>6395-53-551</v>
          </cell>
          <cell r="D1878" t="str">
            <v>6395</v>
          </cell>
          <cell r="E1878" t="str">
            <v>6395 COLT 1911 STX TAC FDE RH</v>
          </cell>
          <cell r="F1878" t="str">
            <v>DG-HOLSTER</v>
          </cell>
          <cell r="G1878" t="str">
            <v>1420-210-FG</v>
          </cell>
          <cell r="H1878" t="str">
            <v>R</v>
          </cell>
          <cell r="I1878" t="str">
            <v>06/10/2024</v>
          </cell>
          <cell r="J1878" t="str">
            <v>06/10/2024</v>
          </cell>
          <cell r="K1878" t="str">
            <v>06/24/2024</v>
          </cell>
          <cell r="L1878">
            <v>5</v>
          </cell>
          <cell r="M1878" t="str">
            <v>6/13/2024 10:43:22 AM</v>
          </cell>
          <cell r="N1878" t="str">
            <v>26</v>
          </cell>
          <cell r="O1878">
            <v>5</v>
          </cell>
          <cell r="P1878">
            <v>0.89</v>
          </cell>
        </row>
        <row r="1879">
          <cell r="A1879" t="str">
            <v>6726861</v>
          </cell>
          <cell r="B1879" t="str">
            <v>1162493</v>
          </cell>
          <cell r="C1879" t="str">
            <v>6395-3832-561</v>
          </cell>
          <cell r="D1879" t="str">
            <v>6395</v>
          </cell>
          <cell r="E1879" t="str">
            <v>6395 GLOCK 20/21 X300 STX TAC ODG RH</v>
          </cell>
          <cell r="F1879" t="str">
            <v>DG-HOLSTER</v>
          </cell>
          <cell r="G1879" t="str">
            <v>1420-210-FG</v>
          </cell>
          <cell r="H1879" t="str">
            <v>R</v>
          </cell>
          <cell r="I1879" t="str">
            <v>06/10/2024</v>
          </cell>
          <cell r="J1879" t="str">
            <v>06/10/2024</v>
          </cell>
          <cell r="K1879" t="str">
            <v>06/24/2024</v>
          </cell>
          <cell r="L1879">
            <v>5</v>
          </cell>
          <cell r="M1879" t="str">
            <v>6/13/2024 10:46:14 AM</v>
          </cell>
          <cell r="N1879" t="str">
            <v>26</v>
          </cell>
          <cell r="O1879">
            <v>5</v>
          </cell>
          <cell r="P1879">
            <v>1.87</v>
          </cell>
        </row>
        <row r="1880">
          <cell r="A1880" t="str">
            <v>6726891</v>
          </cell>
          <cell r="B1880" t="str">
            <v>1325895</v>
          </cell>
          <cell r="C1880" t="str">
            <v>6395-3952-761</v>
          </cell>
          <cell r="D1880" t="str">
            <v>6395</v>
          </cell>
          <cell r="E1880" t="str">
            <v>6395 H&amp;K P30L X300U STX TAC CYB RH</v>
          </cell>
          <cell r="F1880" t="str">
            <v>DG-HOLSTER</v>
          </cell>
          <cell r="G1880" t="str">
            <v>1420-210-FG</v>
          </cell>
          <cell r="H1880" t="str">
            <v>R</v>
          </cell>
          <cell r="I1880" t="str">
            <v>06/10/2024</v>
          </cell>
          <cell r="J1880" t="str">
            <v>06/10/2024</v>
          </cell>
          <cell r="K1880" t="str">
            <v>06/24/2024</v>
          </cell>
          <cell r="L1880">
            <v>5</v>
          </cell>
          <cell r="M1880" t="str">
            <v>6/13/2024 10:51:09 AM</v>
          </cell>
          <cell r="N1880" t="str">
            <v>26</v>
          </cell>
          <cell r="O1880">
            <v>5</v>
          </cell>
          <cell r="P1880">
            <v>1.87</v>
          </cell>
        </row>
        <row r="1881">
          <cell r="A1881" t="str">
            <v>6726853</v>
          </cell>
          <cell r="B1881" t="str">
            <v>1151549</v>
          </cell>
          <cell r="C1881" t="str">
            <v>6395-74-131</v>
          </cell>
          <cell r="D1881" t="str">
            <v>6395</v>
          </cell>
          <cell r="E1881" t="str">
            <v>6395 SIG P228/P229 STX TAC BLK RH</v>
          </cell>
          <cell r="F1881" t="str">
            <v>DG-HOLSTER</v>
          </cell>
          <cell r="G1881" t="str">
            <v>1420-210-FG</v>
          </cell>
          <cell r="H1881" t="str">
            <v>R</v>
          </cell>
          <cell r="I1881" t="str">
            <v>06/10/2024</v>
          </cell>
          <cell r="J1881" t="str">
            <v>06/10/2024</v>
          </cell>
          <cell r="K1881" t="str">
            <v>06/24/2024</v>
          </cell>
          <cell r="L1881">
            <v>5</v>
          </cell>
          <cell r="M1881" t="str">
            <v>6/13/2024 10:37:08 AM</v>
          </cell>
          <cell r="N1881" t="str">
            <v>26</v>
          </cell>
          <cell r="O1881">
            <v>5</v>
          </cell>
          <cell r="P1881">
            <v>1.1599999999999999</v>
          </cell>
        </row>
        <row r="1882">
          <cell r="A1882" t="str">
            <v>6728209</v>
          </cell>
          <cell r="B1882" t="str">
            <v>1319817</v>
          </cell>
          <cell r="C1882" t="str">
            <v>6395RDS-832-411</v>
          </cell>
          <cell r="D1882" t="str">
            <v>6395RDS</v>
          </cell>
          <cell r="E1882" t="str">
            <v>6395RDS GLOCK 17MOS X300U STX PLN BLK RH</v>
          </cell>
          <cell r="F1882" t="str">
            <v>DG-HOLSTER-RDS-DTC</v>
          </cell>
          <cell r="G1882" t="str">
            <v>1420-210-FG</v>
          </cell>
          <cell r="H1882" t="str">
            <v>R</v>
          </cell>
          <cell r="I1882" t="str">
            <v>06/11/2024</v>
          </cell>
          <cell r="J1882" t="str">
            <v>06/14/2024</v>
          </cell>
          <cell r="K1882" t="str">
            <v>06/24/2024</v>
          </cell>
          <cell r="L1882">
            <v>5</v>
          </cell>
          <cell r="M1882" t="str">
            <v>6/13/2024 11:35:38 AM</v>
          </cell>
          <cell r="N1882" t="str">
            <v>26</v>
          </cell>
          <cell r="O1882">
            <v>5</v>
          </cell>
          <cell r="P1882">
            <v>2.17</v>
          </cell>
        </row>
        <row r="1883">
          <cell r="A1883" t="str">
            <v>6727147</v>
          </cell>
          <cell r="B1883" t="str">
            <v>1200314</v>
          </cell>
          <cell r="C1883" t="str">
            <v>6395RDS-832-132</v>
          </cell>
          <cell r="D1883" t="str">
            <v>6395RDS</v>
          </cell>
          <cell r="E1883" t="str">
            <v>6395RDS GLOCK 17MOS X300U STX TAC BLK LH</v>
          </cell>
          <cell r="F1883" t="str">
            <v>DG-HOLSTER-RDS-DTC</v>
          </cell>
          <cell r="G1883" t="str">
            <v>1420-210-FG</v>
          </cell>
          <cell r="H1883" t="str">
            <v>R</v>
          </cell>
          <cell r="I1883" t="str">
            <v>06/10/2024</v>
          </cell>
          <cell r="J1883" t="str">
            <v>06/10/2024</v>
          </cell>
          <cell r="K1883" t="str">
            <v>06/24/2024</v>
          </cell>
          <cell r="L1883">
            <v>5</v>
          </cell>
          <cell r="M1883" t="str">
            <v>6/13/2024 11:33:39 AM</v>
          </cell>
          <cell r="N1883" t="str">
            <v>26</v>
          </cell>
          <cell r="O1883">
            <v>5</v>
          </cell>
          <cell r="P1883">
            <v>2.17</v>
          </cell>
        </row>
        <row r="1884">
          <cell r="A1884" t="str">
            <v>6724371</v>
          </cell>
          <cell r="B1884" t="str">
            <v>1319904</v>
          </cell>
          <cell r="C1884" t="str">
            <v>6395RDS-2832-701-2</v>
          </cell>
          <cell r="D1884" t="str">
            <v>6395RDS</v>
          </cell>
          <cell r="E1884" t="str">
            <v>6395RDS GLOCK 19MOS X300U CORD MLTCM RH</v>
          </cell>
          <cell r="F1884" t="str">
            <v>DG-HOLSTER-RDS-DTC</v>
          </cell>
          <cell r="G1884" t="str">
            <v>1420-210-FG</v>
          </cell>
          <cell r="H1884" t="str">
            <v>R</v>
          </cell>
          <cell r="I1884" t="str">
            <v>06/04/2024</v>
          </cell>
          <cell r="J1884" t="str">
            <v>06/04/2024</v>
          </cell>
          <cell r="K1884" t="str">
            <v>06/24/2024</v>
          </cell>
          <cell r="L1884">
            <v>25</v>
          </cell>
          <cell r="M1884" t="str">
            <v>6/13/2024 10:55:31 AM</v>
          </cell>
          <cell r="N1884" t="str">
            <v>26</v>
          </cell>
          <cell r="O1884">
            <v>25</v>
          </cell>
          <cell r="P1884">
            <v>10</v>
          </cell>
        </row>
        <row r="1885">
          <cell r="A1885" t="str">
            <v>6727674</v>
          </cell>
          <cell r="B1885" t="str">
            <v>1204226</v>
          </cell>
          <cell r="C1885" t="str">
            <v>6395RDS-2832-131</v>
          </cell>
          <cell r="D1885" t="str">
            <v>6395RDS</v>
          </cell>
          <cell r="E1885" t="str">
            <v>6395RDS GLOCK 19MOS X300U STX TAC BLK RH</v>
          </cell>
          <cell r="F1885" t="str">
            <v>DG-HOLSTER-RDS-DTC</v>
          </cell>
          <cell r="G1885" t="str">
            <v>1420-210-FG</v>
          </cell>
          <cell r="H1885" t="str">
            <v>R</v>
          </cell>
          <cell r="I1885" t="str">
            <v>06/11/2024</v>
          </cell>
          <cell r="J1885" t="str">
            <v>06/11/2024</v>
          </cell>
          <cell r="K1885" t="str">
            <v>06/24/2024</v>
          </cell>
          <cell r="L1885">
            <v>5</v>
          </cell>
          <cell r="M1885" t="str">
            <v>6/13/2024 10:37:08 AM</v>
          </cell>
          <cell r="N1885" t="str">
            <v>26</v>
          </cell>
          <cell r="O1885">
            <v>5</v>
          </cell>
          <cell r="P1885">
            <v>2</v>
          </cell>
        </row>
        <row r="1886">
          <cell r="A1886" t="str">
            <v>6727660</v>
          </cell>
          <cell r="B1886" t="str">
            <v>1325762</v>
          </cell>
          <cell r="C1886" t="str">
            <v>6395RDS-8972-131</v>
          </cell>
          <cell r="D1886" t="str">
            <v>6395RDS</v>
          </cell>
          <cell r="E1886" t="str">
            <v>6395RDS GLOCK 47 X300U STX TAC BLK RH</v>
          </cell>
          <cell r="F1886" t="str">
            <v>DG-HOLSTER-RDS</v>
          </cell>
          <cell r="G1886" t="str">
            <v>1420-210-FG</v>
          </cell>
          <cell r="H1886" t="str">
            <v>F</v>
          </cell>
          <cell r="I1886" t="str">
            <v>06/11/2024</v>
          </cell>
          <cell r="J1886" t="str">
            <v>06/11/2024</v>
          </cell>
          <cell r="K1886" t="str">
            <v>06/24/2024</v>
          </cell>
          <cell r="L1886">
            <v>5</v>
          </cell>
          <cell r="M1886" t="str">
            <v/>
          </cell>
          <cell r="N1886" t="str">
            <v>26</v>
          </cell>
          <cell r="O1886">
            <v>5</v>
          </cell>
          <cell r="P1886">
            <v>2</v>
          </cell>
        </row>
        <row r="1887">
          <cell r="A1887" t="str">
            <v>6727106</v>
          </cell>
          <cell r="B1887" t="str">
            <v>1334583</v>
          </cell>
          <cell r="C1887" t="str">
            <v>6395RDS-5932-131</v>
          </cell>
          <cell r="D1887" t="str">
            <v>6395RDS</v>
          </cell>
          <cell r="E1887" t="str">
            <v>6395RDS H&amp;K VP9 X300U STX TAC BLK RH</v>
          </cell>
          <cell r="F1887" t="str">
            <v>DG-HOLSTER-RDS</v>
          </cell>
          <cell r="G1887" t="str">
            <v>1420-210-FG</v>
          </cell>
          <cell r="H1887" t="str">
            <v>R</v>
          </cell>
          <cell r="I1887" t="str">
            <v>06/10/2024</v>
          </cell>
          <cell r="J1887" t="str">
            <v>06/10/2024</v>
          </cell>
          <cell r="K1887" t="str">
            <v>06/24/2024</v>
          </cell>
          <cell r="L1887">
            <v>5</v>
          </cell>
          <cell r="M1887" t="str">
            <v>6/13/2024 11:43:03 AM</v>
          </cell>
          <cell r="N1887" t="str">
            <v>26</v>
          </cell>
          <cell r="O1887">
            <v>5</v>
          </cell>
          <cell r="P1887">
            <v>2</v>
          </cell>
        </row>
        <row r="1888">
          <cell r="A1888" t="str">
            <v>6727661</v>
          </cell>
          <cell r="B1888" t="str">
            <v>1327706</v>
          </cell>
          <cell r="C1888" t="str">
            <v>6395RDS-1582-411</v>
          </cell>
          <cell r="D1888" t="str">
            <v>6395RDS</v>
          </cell>
          <cell r="E1888" t="str">
            <v>6395RDS STI STACC P 4.4" X300U PLNBLK RH</v>
          </cell>
          <cell r="F1888" t="str">
            <v>DG-HOLSTER-RDS</v>
          </cell>
          <cell r="G1888" t="str">
            <v>1420-210-FG</v>
          </cell>
          <cell r="H1888" t="str">
            <v>F</v>
          </cell>
          <cell r="I1888" t="str">
            <v>06/11/2024</v>
          </cell>
          <cell r="J1888" t="str">
            <v>06/11/2024</v>
          </cell>
          <cell r="K1888" t="str">
            <v>06/24/2024</v>
          </cell>
          <cell r="L1888">
            <v>9</v>
          </cell>
          <cell r="M1888" t="str">
            <v/>
          </cell>
          <cell r="N1888" t="str">
            <v>26</v>
          </cell>
          <cell r="O1888">
            <v>9</v>
          </cell>
          <cell r="P1888">
            <v>3.6</v>
          </cell>
        </row>
        <row r="1889">
          <cell r="A1889" t="str">
            <v>6727299</v>
          </cell>
          <cell r="B1889" t="str">
            <v>1153052</v>
          </cell>
          <cell r="C1889" t="str">
            <v>6520-264-412</v>
          </cell>
          <cell r="D1889" t="str">
            <v>6520</v>
          </cell>
          <cell r="E1889" t="str">
            <v>6520 X2 STX PLN BLK LH</v>
          </cell>
          <cell r="F1889" t="str">
            <v>DG-HOLSTER</v>
          </cell>
          <cell r="G1889" t="str">
            <v>1420-210-FG</v>
          </cell>
          <cell r="H1889" t="str">
            <v>R</v>
          </cell>
          <cell r="I1889" t="str">
            <v>06/10/2024</v>
          </cell>
          <cell r="J1889" t="str">
            <v>06/10/2024</v>
          </cell>
          <cell r="K1889" t="str">
            <v>06/24/2024</v>
          </cell>
          <cell r="L1889">
            <v>2</v>
          </cell>
          <cell r="M1889" t="str">
            <v>6/13/2024 11:06:12 AM</v>
          </cell>
          <cell r="N1889" t="str">
            <v>26</v>
          </cell>
          <cell r="O1889">
            <v>2</v>
          </cell>
          <cell r="P1889">
            <v>0.75</v>
          </cell>
        </row>
        <row r="1890">
          <cell r="A1890" t="str">
            <v>6726873</v>
          </cell>
          <cell r="B1890" t="str">
            <v>1170330</v>
          </cell>
          <cell r="C1890" t="str">
            <v>6520-364-412</v>
          </cell>
          <cell r="D1890" t="str">
            <v>6520</v>
          </cell>
          <cell r="E1890" t="str">
            <v>6520 X26P STX PLN BLK LH</v>
          </cell>
          <cell r="F1890" t="str">
            <v>DG-HOLSTER</v>
          </cell>
          <cell r="G1890" t="str">
            <v>1420-210-FG</v>
          </cell>
          <cell r="H1890" t="str">
            <v>R</v>
          </cell>
          <cell r="I1890" t="str">
            <v>06/10/2024</v>
          </cell>
          <cell r="J1890" t="str">
            <v>06/10/2024</v>
          </cell>
          <cell r="K1890" t="str">
            <v>06/24/2024</v>
          </cell>
          <cell r="L1890">
            <v>5</v>
          </cell>
          <cell r="M1890" t="str">
            <v>6/13/2024 11:06:12 AM</v>
          </cell>
          <cell r="N1890" t="str">
            <v>26</v>
          </cell>
          <cell r="O1890">
            <v>5</v>
          </cell>
          <cell r="P1890">
            <v>1</v>
          </cell>
        </row>
        <row r="1891">
          <cell r="A1891" t="str">
            <v>6726872</v>
          </cell>
          <cell r="B1891" t="str">
            <v>1170328</v>
          </cell>
          <cell r="C1891" t="str">
            <v>6520-364-132</v>
          </cell>
          <cell r="D1891" t="str">
            <v>6520</v>
          </cell>
          <cell r="E1891" t="str">
            <v>6520 X26P STX TAC BLK LH</v>
          </cell>
          <cell r="F1891" t="str">
            <v>DG-HOLSTER</v>
          </cell>
          <cell r="G1891" t="str">
            <v>1420-210-FG</v>
          </cell>
          <cell r="H1891" t="str">
            <v>R</v>
          </cell>
          <cell r="I1891" t="str">
            <v>06/10/2024</v>
          </cell>
          <cell r="J1891" t="str">
            <v>06/10/2024</v>
          </cell>
          <cell r="K1891" t="str">
            <v>06/24/2024</v>
          </cell>
          <cell r="L1891">
            <v>5</v>
          </cell>
          <cell r="M1891" t="str">
            <v>6/13/2024 11:02:36 AM</v>
          </cell>
          <cell r="N1891" t="str">
            <v>26</v>
          </cell>
          <cell r="O1891">
            <v>5</v>
          </cell>
          <cell r="P1891">
            <v>1</v>
          </cell>
        </row>
        <row r="1892">
          <cell r="A1892" t="str">
            <v>6726660</v>
          </cell>
          <cell r="B1892" t="str">
            <v>1017377</v>
          </cell>
          <cell r="C1892" t="str">
            <v>22406</v>
          </cell>
          <cell r="D1892" t="str">
            <v>7225</v>
          </cell>
          <cell r="E1892" t="str">
            <v>7225 ERGOTEK DUTY BLT NYL BLK SZ 30-32</v>
          </cell>
          <cell r="F1892" t="str">
            <v>BN-BELT</v>
          </cell>
          <cell r="G1892" t="str">
            <v>1420-210-FG</v>
          </cell>
          <cell r="H1892" t="str">
            <v>R</v>
          </cell>
          <cell r="I1892" t="str">
            <v>06/10/2024</v>
          </cell>
          <cell r="J1892" t="str">
            <v>06/10/2024</v>
          </cell>
          <cell r="K1892" t="str">
            <v>06/24/2024</v>
          </cell>
          <cell r="L1892">
            <v>5</v>
          </cell>
          <cell r="M1892" t="str">
            <v>6/11/2024 2:36:12 PM</v>
          </cell>
          <cell r="N1892" t="str">
            <v>26</v>
          </cell>
          <cell r="O1892">
            <v>5</v>
          </cell>
          <cell r="P1892">
            <v>0.7</v>
          </cell>
        </row>
        <row r="1893">
          <cell r="A1893" t="str">
            <v>6726661</v>
          </cell>
          <cell r="B1893" t="str">
            <v>1017380</v>
          </cell>
          <cell r="C1893" t="str">
            <v>22409</v>
          </cell>
          <cell r="D1893" t="str">
            <v>7225</v>
          </cell>
          <cell r="E1893" t="str">
            <v>7225 ERGOTEK DUTY BLT NYL BLK SZ 36-38</v>
          </cell>
          <cell r="F1893" t="str">
            <v>BN-BELT</v>
          </cell>
          <cell r="G1893" t="str">
            <v>1420-210-FG</v>
          </cell>
          <cell r="H1893" t="str">
            <v>R</v>
          </cell>
          <cell r="I1893" t="str">
            <v>06/10/2024</v>
          </cell>
          <cell r="J1893" t="str">
            <v>06/10/2024</v>
          </cell>
          <cell r="K1893" t="str">
            <v>06/24/2024</v>
          </cell>
          <cell r="L1893">
            <v>10</v>
          </cell>
          <cell r="M1893" t="str">
            <v>6/11/2024 3:24:45 PM</v>
          </cell>
          <cell r="N1893" t="str">
            <v>26</v>
          </cell>
          <cell r="O1893">
            <v>10</v>
          </cell>
          <cell r="P1893">
            <v>1.39</v>
          </cell>
        </row>
        <row r="1894">
          <cell r="A1894" t="str">
            <v>6727526</v>
          </cell>
          <cell r="B1894" t="str">
            <v>1017380</v>
          </cell>
          <cell r="C1894" t="str">
            <v>22409</v>
          </cell>
          <cell r="D1894" t="str">
            <v>7225</v>
          </cell>
          <cell r="E1894" t="str">
            <v>7225 ERGOTEK DUTY BLT NYL BLK SZ 36-38</v>
          </cell>
          <cell r="F1894" t="str">
            <v>BN-BELT</v>
          </cell>
          <cell r="G1894" t="str">
            <v>1420-210-FG</v>
          </cell>
          <cell r="H1894" t="str">
            <v>R</v>
          </cell>
          <cell r="I1894" t="str">
            <v>06/11/2024</v>
          </cell>
          <cell r="J1894" t="str">
            <v>06/11/2024</v>
          </cell>
          <cell r="K1894" t="str">
            <v>06/24/2024</v>
          </cell>
          <cell r="L1894">
            <v>10</v>
          </cell>
          <cell r="M1894" t="str">
            <v>6/11/2024 3:24:45 PM</v>
          </cell>
          <cell r="N1894" t="str">
            <v>26</v>
          </cell>
          <cell r="O1894">
            <v>10</v>
          </cell>
          <cell r="P1894">
            <v>1.39</v>
          </cell>
        </row>
        <row r="1895">
          <cell r="A1895" t="str">
            <v>6726663</v>
          </cell>
          <cell r="B1895" t="str">
            <v>1017384</v>
          </cell>
          <cell r="C1895" t="str">
            <v>22413</v>
          </cell>
          <cell r="D1895" t="str">
            <v>7225</v>
          </cell>
          <cell r="E1895" t="str">
            <v>7225 ERGOTEK DUTY BLT NYL BLK SZ 44-46</v>
          </cell>
          <cell r="F1895" t="str">
            <v>BN-BELT</v>
          </cell>
          <cell r="G1895" t="str">
            <v>1420-210-FG</v>
          </cell>
          <cell r="H1895" t="str">
            <v>R</v>
          </cell>
          <cell r="I1895" t="str">
            <v>06/10/2024</v>
          </cell>
          <cell r="J1895" t="str">
            <v>06/10/2024</v>
          </cell>
          <cell r="K1895" t="str">
            <v>06/24/2024</v>
          </cell>
          <cell r="L1895">
            <v>5</v>
          </cell>
          <cell r="M1895" t="str">
            <v>6/11/2024 2:36:12 PM</v>
          </cell>
          <cell r="N1895" t="str">
            <v>26</v>
          </cell>
          <cell r="O1895">
            <v>5</v>
          </cell>
          <cell r="P1895">
            <v>0.7</v>
          </cell>
        </row>
        <row r="1896">
          <cell r="A1896" t="str">
            <v>6726677</v>
          </cell>
          <cell r="B1896" t="str">
            <v>1015918</v>
          </cell>
          <cell r="C1896" t="str">
            <v>15635</v>
          </cell>
          <cell r="D1896" t="str">
            <v>7406</v>
          </cell>
          <cell r="E1896" t="str">
            <v>7406 BELT KEEPER ACU 4PK BLK SNAP 2.25IN</v>
          </cell>
          <cell r="F1896" t="str">
            <v>BN-KEEPER</v>
          </cell>
          <cell r="G1896" t="str">
            <v>1420-210-FG</v>
          </cell>
          <cell r="H1896" t="str">
            <v>R</v>
          </cell>
          <cell r="I1896" t="str">
            <v>06/10/2024</v>
          </cell>
          <cell r="J1896" t="str">
            <v>06/10/2024</v>
          </cell>
          <cell r="K1896" t="str">
            <v>06/24/2024</v>
          </cell>
          <cell r="L1896">
            <v>100</v>
          </cell>
          <cell r="M1896" t="str">
            <v>6/11/2024 2:48:28 PM</v>
          </cell>
          <cell r="N1896" t="str">
            <v>26</v>
          </cell>
          <cell r="O1896">
            <v>100</v>
          </cell>
          <cell r="P1896">
            <v>5.29</v>
          </cell>
        </row>
        <row r="1897">
          <cell r="A1897" t="str">
            <v>6726206</v>
          </cell>
          <cell r="B1897" t="str">
            <v>1137885</v>
          </cell>
          <cell r="C1897" t="str">
            <v>775-383-4</v>
          </cell>
          <cell r="D1897" t="str">
            <v>775</v>
          </cell>
          <cell r="E1897" t="str">
            <v>775 GLOCK 20/21 BSK BLK</v>
          </cell>
          <cell r="F1897" t="str">
            <v>DG-POUCH-F1</v>
          </cell>
          <cell r="G1897" t="str">
            <v>1420-210-FG</v>
          </cell>
          <cell r="H1897" t="str">
            <v>R</v>
          </cell>
          <cell r="I1897" t="str">
            <v>06/07/2024</v>
          </cell>
          <cell r="J1897" t="str">
            <v>06/10/2024</v>
          </cell>
          <cell r="K1897" t="str">
            <v>06/24/2024</v>
          </cell>
          <cell r="L1897">
            <v>10</v>
          </cell>
          <cell r="M1897" t="str">
            <v>6/7/2024 11:44:04 AM</v>
          </cell>
          <cell r="N1897" t="str">
            <v>26</v>
          </cell>
          <cell r="O1897">
            <v>10</v>
          </cell>
          <cell r="P1897">
            <v>3.66</v>
          </cell>
        </row>
        <row r="1898">
          <cell r="A1898" t="str">
            <v>6726173</v>
          </cell>
          <cell r="B1898" t="str">
            <v>1137884</v>
          </cell>
          <cell r="C1898" t="str">
            <v>775-383-2</v>
          </cell>
          <cell r="D1898" t="str">
            <v>775</v>
          </cell>
          <cell r="E1898" t="str">
            <v>775 GLOCK 20/21 PLN BLK</v>
          </cell>
          <cell r="F1898" t="str">
            <v>DG-POUCH-F1</v>
          </cell>
          <cell r="G1898" t="str">
            <v>1420-210-FG</v>
          </cell>
          <cell r="H1898" t="str">
            <v>R</v>
          </cell>
          <cell r="I1898" t="str">
            <v>06/07/2024</v>
          </cell>
          <cell r="J1898" t="str">
            <v>06/10/2024</v>
          </cell>
          <cell r="K1898" t="str">
            <v>06/24/2024</v>
          </cell>
          <cell r="L1898">
            <v>5</v>
          </cell>
          <cell r="M1898" t="str">
            <v>6/7/2024 11:44:04 AM</v>
          </cell>
          <cell r="N1898" t="str">
            <v>26</v>
          </cell>
          <cell r="O1898">
            <v>5</v>
          </cell>
          <cell r="P1898">
            <v>1.84</v>
          </cell>
        </row>
        <row r="1899">
          <cell r="A1899" t="str">
            <v>6727700</v>
          </cell>
          <cell r="B1899" t="str">
            <v>1138501</v>
          </cell>
          <cell r="C1899" t="str">
            <v>777-83-4B</v>
          </cell>
          <cell r="D1899" t="str">
            <v>777</v>
          </cell>
          <cell r="E1899" t="str">
            <v>777 GLOCK 17/22 BSK BLK</v>
          </cell>
          <cell r="F1899" t="str">
            <v>DG-POUCH-F1</v>
          </cell>
          <cell r="G1899" t="str">
            <v>1420-210-FG</v>
          </cell>
          <cell r="H1899" t="str">
            <v>R</v>
          </cell>
          <cell r="I1899" t="str">
            <v>06/11/2024</v>
          </cell>
          <cell r="J1899" t="str">
            <v>06/11/2024</v>
          </cell>
          <cell r="K1899" t="str">
            <v>06/24/2024</v>
          </cell>
          <cell r="L1899">
            <v>10</v>
          </cell>
          <cell r="M1899" t="str">
            <v>6/11/2024 3:18:21 PM</v>
          </cell>
          <cell r="N1899" t="str">
            <v>26</v>
          </cell>
          <cell r="O1899">
            <v>10</v>
          </cell>
          <cell r="P1899">
            <v>5.36</v>
          </cell>
        </row>
        <row r="1900">
          <cell r="A1900" t="str">
            <v>6726687</v>
          </cell>
          <cell r="B1900" t="str">
            <v>1029940</v>
          </cell>
          <cell r="C1900" t="str">
            <v>22091</v>
          </cell>
          <cell r="D1900" t="str">
            <v>7906</v>
          </cell>
          <cell r="E1900" t="str">
            <v>7906 BLT KPR ACE 4PK BLK BSK HS 2.25IN</v>
          </cell>
          <cell r="F1900" t="str">
            <v>BN-KEEPER</v>
          </cell>
          <cell r="G1900" t="str">
            <v>1420-210-FG</v>
          </cell>
          <cell r="H1900" t="str">
            <v>R</v>
          </cell>
          <cell r="I1900" t="str">
            <v>06/10/2024</v>
          </cell>
          <cell r="J1900" t="str">
            <v>06/10/2024</v>
          </cell>
          <cell r="K1900" t="str">
            <v>06/24/2024</v>
          </cell>
          <cell r="L1900">
            <v>100</v>
          </cell>
          <cell r="M1900" t="str">
            <v>6/11/2024 2:48:28 PM</v>
          </cell>
          <cell r="N1900" t="str">
            <v>26</v>
          </cell>
          <cell r="O1900">
            <v>100</v>
          </cell>
          <cell r="P1900">
            <v>10.96</v>
          </cell>
        </row>
        <row r="1901">
          <cell r="A1901" t="str">
            <v>6726688</v>
          </cell>
          <cell r="B1901" t="str">
            <v>1029940</v>
          </cell>
          <cell r="C1901" t="str">
            <v>22091</v>
          </cell>
          <cell r="D1901" t="str">
            <v>7906</v>
          </cell>
          <cell r="E1901" t="str">
            <v>7906 BLT KPR ACE 4PK BLK BSK HS 2.25IN</v>
          </cell>
          <cell r="F1901" t="str">
            <v>BN-KEEPER</v>
          </cell>
          <cell r="G1901" t="str">
            <v>1420-210-FG</v>
          </cell>
          <cell r="H1901" t="str">
            <v>R</v>
          </cell>
          <cell r="I1901" t="str">
            <v>06/10/2024</v>
          </cell>
          <cell r="J1901" t="str">
            <v>06/10/2024</v>
          </cell>
          <cell r="K1901" t="str">
            <v>06/24/2024</v>
          </cell>
          <cell r="L1901">
            <v>100</v>
          </cell>
          <cell r="M1901" t="str">
            <v>6/11/2024 2:48:28 PM</v>
          </cell>
          <cell r="N1901" t="str">
            <v>26</v>
          </cell>
          <cell r="O1901">
            <v>100</v>
          </cell>
          <cell r="P1901">
            <v>10.96</v>
          </cell>
        </row>
        <row r="1902">
          <cell r="A1902" t="str">
            <v>6726689</v>
          </cell>
          <cell r="B1902" t="str">
            <v>1029940</v>
          </cell>
          <cell r="C1902" t="str">
            <v>22091</v>
          </cell>
          <cell r="D1902" t="str">
            <v>7906</v>
          </cell>
          <cell r="E1902" t="str">
            <v>7906 BLT KPR ACE 4PK BLK BSK HS 2.25IN</v>
          </cell>
          <cell r="F1902" t="str">
            <v>BN-KEEPER</v>
          </cell>
          <cell r="G1902" t="str">
            <v>1420-210-FG</v>
          </cell>
          <cell r="H1902" t="str">
            <v>R</v>
          </cell>
          <cell r="I1902" t="str">
            <v>06/10/2024</v>
          </cell>
          <cell r="J1902" t="str">
            <v>06/10/2024</v>
          </cell>
          <cell r="K1902" t="str">
            <v>06/24/2024</v>
          </cell>
          <cell r="L1902">
            <v>100</v>
          </cell>
          <cell r="M1902" t="str">
            <v>6/11/2024 2:48:28 PM</v>
          </cell>
          <cell r="N1902" t="str">
            <v>26</v>
          </cell>
          <cell r="O1902">
            <v>100</v>
          </cell>
          <cell r="P1902">
            <v>10.96</v>
          </cell>
        </row>
        <row r="1903">
          <cell r="A1903" t="str">
            <v>6726690</v>
          </cell>
          <cell r="B1903" t="str">
            <v>1029940</v>
          </cell>
          <cell r="C1903" t="str">
            <v>22091</v>
          </cell>
          <cell r="D1903" t="str">
            <v>7906</v>
          </cell>
          <cell r="E1903" t="str">
            <v>7906 BLT KPR ACE 4PK BLK BSK HS 2.25IN</v>
          </cell>
          <cell r="F1903" t="str">
            <v>BN-KEEPER</v>
          </cell>
          <cell r="G1903" t="str">
            <v>1420-210-FG</v>
          </cell>
          <cell r="H1903" t="str">
            <v>R</v>
          </cell>
          <cell r="I1903" t="str">
            <v>06/10/2024</v>
          </cell>
          <cell r="J1903" t="str">
            <v>06/10/2024</v>
          </cell>
          <cell r="K1903" t="str">
            <v>06/24/2024</v>
          </cell>
          <cell r="L1903">
            <v>100</v>
          </cell>
          <cell r="M1903" t="str">
            <v>6/11/2024 2:48:28 PM</v>
          </cell>
          <cell r="N1903" t="str">
            <v>26</v>
          </cell>
          <cell r="O1903">
            <v>100</v>
          </cell>
          <cell r="P1903">
            <v>10.96</v>
          </cell>
        </row>
        <row r="1904">
          <cell r="A1904" t="str">
            <v>6726683</v>
          </cell>
          <cell r="B1904" t="str">
            <v>1017262</v>
          </cell>
          <cell r="C1904" t="str">
            <v>22092</v>
          </cell>
          <cell r="D1904" t="str">
            <v>7906</v>
          </cell>
          <cell r="E1904" t="str">
            <v>7906 BLT KPR ACE 4PK BLK PLN CH 2.25IN</v>
          </cell>
          <cell r="F1904" t="str">
            <v>BN-KEEPER</v>
          </cell>
          <cell r="G1904" t="str">
            <v>1420-210-FG</v>
          </cell>
          <cell r="H1904" t="str">
            <v>R</v>
          </cell>
          <cell r="I1904" t="str">
            <v>06/10/2024</v>
          </cell>
          <cell r="J1904" t="str">
            <v>06/10/2024</v>
          </cell>
          <cell r="K1904" t="str">
            <v>06/24/2024</v>
          </cell>
          <cell r="L1904">
            <v>50</v>
          </cell>
          <cell r="M1904" t="str">
            <v>6/11/2024 2:48:28 PM</v>
          </cell>
          <cell r="N1904" t="str">
            <v>26</v>
          </cell>
          <cell r="O1904">
            <v>50</v>
          </cell>
          <cell r="P1904">
            <v>5.52</v>
          </cell>
        </row>
        <row r="1905">
          <cell r="A1905" t="str">
            <v>6724569</v>
          </cell>
          <cell r="B1905" t="str">
            <v>1102428</v>
          </cell>
          <cell r="C1905" t="str">
            <v>87-28-9</v>
          </cell>
          <cell r="D1905" t="str">
            <v>87</v>
          </cell>
          <cell r="E1905" t="str">
            <v>87 SZ28 HGS BLK</v>
          </cell>
          <cell r="F1905" t="str">
            <v>DG-BELT</v>
          </cell>
          <cell r="G1905" t="str">
            <v>1420-210-FG</v>
          </cell>
          <cell r="H1905" t="str">
            <v>R</v>
          </cell>
          <cell r="I1905" t="str">
            <v>06/04/2024</v>
          </cell>
          <cell r="J1905" t="str">
            <v>06/10/2024</v>
          </cell>
          <cell r="K1905" t="str">
            <v>06/24/2024</v>
          </cell>
          <cell r="L1905">
            <v>5</v>
          </cell>
          <cell r="M1905" t="str">
            <v>6/5/2024 2:55:33 PM</v>
          </cell>
          <cell r="N1905" t="str">
            <v>26</v>
          </cell>
          <cell r="O1905">
            <v>5</v>
          </cell>
          <cell r="P1905">
            <v>1.95</v>
          </cell>
        </row>
        <row r="1906">
          <cell r="A1906" t="str">
            <v>6724570</v>
          </cell>
          <cell r="B1906" t="str">
            <v>1102429</v>
          </cell>
          <cell r="C1906" t="str">
            <v>87-28-9B</v>
          </cell>
          <cell r="D1906" t="str">
            <v>87</v>
          </cell>
          <cell r="E1906" t="str">
            <v>87 SZ28 HGS BLK</v>
          </cell>
          <cell r="F1906" t="str">
            <v>DG-BELT</v>
          </cell>
          <cell r="G1906" t="str">
            <v>1420-210-FG</v>
          </cell>
          <cell r="H1906" t="str">
            <v>R</v>
          </cell>
          <cell r="I1906" t="str">
            <v>06/04/2024</v>
          </cell>
          <cell r="J1906" t="str">
            <v>06/10/2024</v>
          </cell>
          <cell r="K1906" t="str">
            <v>06/24/2024</v>
          </cell>
          <cell r="L1906">
            <v>1</v>
          </cell>
          <cell r="M1906" t="str">
            <v>6/5/2024 2:55:33 PM</v>
          </cell>
          <cell r="N1906" t="str">
            <v>26</v>
          </cell>
          <cell r="O1906">
            <v>1</v>
          </cell>
          <cell r="P1906">
            <v>0.39</v>
          </cell>
        </row>
        <row r="1907">
          <cell r="A1907" t="str">
            <v>6724572</v>
          </cell>
          <cell r="B1907" t="str">
            <v>1102442</v>
          </cell>
          <cell r="C1907" t="str">
            <v>87-30-9B</v>
          </cell>
          <cell r="D1907" t="str">
            <v>87</v>
          </cell>
          <cell r="E1907" t="str">
            <v>87 SZ30 HGS BLK</v>
          </cell>
          <cell r="F1907" t="str">
            <v>DG-BELT</v>
          </cell>
          <cell r="G1907" t="str">
            <v>1420-210-FG</v>
          </cell>
          <cell r="H1907" t="str">
            <v>R</v>
          </cell>
          <cell r="I1907" t="str">
            <v>06/04/2024</v>
          </cell>
          <cell r="J1907" t="str">
            <v>06/10/2024</v>
          </cell>
          <cell r="K1907" t="str">
            <v>06/24/2024</v>
          </cell>
          <cell r="L1907">
            <v>5</v>
          </cell>
          <cell r="M1907" t="str">
            <v>6/5/2024 2:55:33 PM</v>
          </cell>
          <cell r="N1907" t="str">
            <v>26</v>
          </cell>
          <cell r="O1907">
            <v>5</v>
          </cell>
          <cell r="P1907">
            <v>1.95</v>
          </cell>
        </row>
        <row r="1908">
          <cell r="A1908" t="str">
            <v>6724575</v>
          </cell>
          <cell r="B1908" t="str">
            <v>1102512</v>
          </cell>
          <cell r="C1908" t="str">
            <v>87-32-9</v>
          </cell>
          <cell r="D1908" t="str">
            <v>87</v>
          </cell>
          <cell r="E1908" t="str">
            <v>87 SZ32 HGS BLK</v>
          </cell>
          <cell r="F1908" t="str">
            <v>DG-BELT</v>
          </cell>
          <cell r="G1908" t="str">
            <v>1420-210-FG</v>
          </cell>
          <cell r="H1908" t="str">
            <v>R</v>
          </cell>
          <cell r="I1908" t="str">
            <v>06/04/2024</v>
          </cell>
          <cell r="J1908" t="str">
            <v>06/10/2024</v>
          </cell>
          <cell r="K1908" t="str">
            <v>06/24/2024</v>
          </cell>
          <cell r="L1908">
            <v>10</v>
          </cell>
          <cell r="M1908" t="str">
            <v>6/5/2024 2:55:33 PM</v>
          </cell>
          <cell r="N1908" t="str">
            <v>26</v>
          </cell>
          <cell r="O1908">
            <v>10</v>
          </cell>
          <cell r="P1908">
            <v>3.89</v>
          </cell>
        </row>
        <row r="1909">
          <cell r="A1909" t="str">
            <v>6724578</v>
          </cell>
          <cell r="B1909" t="str">
            <v>1102599</v>
          </cell>
          <cell r="C1909" t="str">
            <v>87-36-8B</v>
          </cell>
          <cell r="D1909" t="str">
            <v>87</v>
          </cell>
          <cell r="E1909" t="str">
            <v>87 SZ36 BSK BLK</v>
          </cell>
          <cell r="F1909" t="str">
            <v>DG-BELT</v>
          </cell>
          <cell r="G1909" t="str">
            <v>1420-210-FG</v>
          </cell>
          <cell r="H1909" t="str">
            <v>R</v>
          </cell>
          <cell r="I1909" t="str">
            <v>06/04/2024</v>
          </cell>
          <cell r="J1909" t="str">
            <v>06/10/2024</v>
          </cell>
          <cell r="K1909" t="str">
            <v>06/24/2024</v>
          </cell>
          <cell r="L1909">
            <v>10</v>
          </cell>
          <cell r="M1909" t="str">
            <v>6/5/2024 2:55:33 PM</v>
          </cell>
          <cell r="N1909" t="str">
            <v>26</v>
          </cell>
          <cell r="O1909">
            <v>10</v>
          </cell>
          <cell r="P1909">
            <v>3.98</v>
          </cell>
        </row>
        <row r="1910">
          <cell r="A1910" t="str">
            <v>6726754</v>
          </cell>
          <cell r="B1910" t="str">
            <v>1102599</v>
          </cell>
          <cell r="C1910" t="str">
            <v>87-36-8B</v>
          </cell>
          <cell r="D1910" t="str">
            <v>87</v>
          </cell>
          <cell r="E1910" t="str">
            <v>87 SZ36 BSK BLK</v>
          </cell>
          <cell r="F1910" t="str">
            <v>DG-BELT</v>
          </cell>
          <cell r="G1910" t="str">
            <v>1420-210-FG</v>
          </cell>
          <cell r="H1910" t="str">
            <v>R</v>
          </cell>
          <cell r="I1910" t="str">
            <v>06/10/2024</v>
          </cell>
          <cell r="J1910" t="str">
            <v>06/10/2024</v>
          </cell>
          <cell r="K1910" t="str">
            <v>06/24/2024</v>
          </cell>
          <cell r="L1910">
            <v>10</v>
          </cell>
          <cell r="M1910" t="str">
            <v>6/11/2024 3:09:40 PM</v>
          </cell>
          <cell r="N1910" t="str">
            <v>26</v>
          </cell>
          <cell r="O1910">
            <v>10</v>
          </cell>
          <cell r="P1910">
            <v>3.98</v>
          </cell>
        </row>
        <row r="1911">
          <cell r="A1911" t="str">
            <v>6724581</v>
          </cell>
          <cell r="B1911" t="str">
            <v>1102684</v>
          </cell>
          <cell r="C1911" t="str">
            <v>87-40-9</v>
          </cell>
          <cell r="D1911" t="str">
            <v>87</v>
          </cell>
          <cell r="E1911" t="str">
            <v>87 SZ40 HGS BLK</v>
          </cell>
          <cell r="F1911" t="str">
            <v>DG-BELT</v>
          </cell>
          <cell r="G1911" t="str">
            <v>1420-210-FG</v>
          </cell>
          <cell r="H1911" t="str">
            <v>R</v>
          </cell>
          <cell r="I1911" t="str">
            <v>06/04/2024</v>
          </cell>
          <cell r="J1911" t="str">
            <v>06/10/2024</v>
          </cell>
          <cell r="K1911" t="str">
            <v>06/24/2024</v>
          </cell>
          <cell r="L1911">
            <v>10</v>
          </cell>
          <cell r="M1911" t="str">
            <v>6/5/2024 2:55:33 PM</v>
          </cell>
          <cell r="N1911" t="str">
            <v>26</v>
          </cell>
          <cell r="O1911">
            <v>10</v>
          </cell>
          <cell r="P1911">
            <v>3.89</v>
          </cell>
        </row>
        <row r="1912">
          <cell r="A1912" t="str">
            <v>6726757</v>
          </cell>
          <cell r="B1912" t="str">
            <v>1102684</v>
          </cell>
          <cell r="C1912" t="str">
            <v>87-40-9</v>
          </cell>
          <cell r="D1912" t="str">
            <v>87</v>
          </cell>
          <cell r="E1912" t="str">
            <v>87 SZ40 HGS BLK</v>
          </cell>
          <cell r="F1912" t="str">
            <v>DG-BELT</v>
          </cell>
          <cell r="G1912" t="str">
            <v>1420-210-FG</v>
          </cell>
          <cell r="H1912" t="str">
            <v>R</v>
          </cell>
          <cell r="I1912" t="str">
            <v>06/10/2024</v>
          </cell>
          <cell r="J1912" t="str">
            <v>06/10/2024</v>
          </cell>
          <cell r="K1912" t="str">
            <v>06/24/2024</v>
          </cell>
          <cell r="L1912">
            <v>10</v>
          </cell>
          <cell r="M1912" t="str">
            <v>6/11/2024 3:09:40 PM</v>
          </cell>
          <cell r="N1912" t="str">
            <v>26</v>
          </cell>
          <cell r="O1912">
            <v>10</v>
          </cell>
          <cell r="P1912">
            <v>3.89</v>
          </cell>
        </row>
        <row r="1913">
          <cell r="A1913" t="str">
            <v>6726758</v>
          </cell>
          <cell r="B1913" t="str">
            <v>1102739</v>
          </cell>
          <cell r="C1913" t="str">
            <v>87-40-9B</v>
          </cell>
          <cell r="D1913" t="str">
            <v>87</v>
          </cell>
          <cell r="E1913" t="str">
            <v>87 SZ40 HGS BLK</v>
          </cell>
          <cell r="F1913" t="str">
            <v>DG-BELT</v>
          </cell>
          <cell r="G1913" t="str">
            <v>1420-210-FG</v>
          </cell>
          <cell r="H1913" t="str">
            <v>R</v>
          </cell>
          <cell r="I1913" t="str">
            <v>06/10/2024</v>
          </cell>
          <cell r="J1913" t="str">
            <v>06/10/2024</v>
          </cell>
          <cell r="K1913" t="str">
            <v>06/24/2024</v>
          </cell>
          <cell r="L1913">
            <v>10</v>
          </cell>
          <cell r="M1913" t="str">
            <v>6/11/2024 3:02:21 PM</v>
          </cell>
          <cell r="N1913" t="str">
            <v>26</v>
          </cell>
          <cell r="O1913">
            <v>10</v>
          </cell>
          <cell r="P1913">
            <v>3.89</v>
          </cell>
        </row>
        <row r="1914">
          <cell r="A1914" t="str">
            <v>6724585</v>
          </cell>
          <cell r="B1914" t="str">
            <v>1102751</v>
          </cell>
          <cell r="C1914" t="str">
            <v>87-42-9B</v>
          </cell>
          <cell r="D1914" t="str">
            <v>87</v>
          </cell>
          <cell r="E1914" t="str">
            <v>87 SZ42 HGS BLK</v>
          </cell>
          <cell r="F1914" t="str">
            <v>DG-BELT</v>
          </cell>
          <cell r="G1914" t="str">
            <v>1420-210-FG</v>
          </cell>
          <cell r="H1914" t="str">
            <v>R</v>
          </cell>
          <cell r="I1914" t="str">
            <v>06/04/2024</v>
          </cell>
          <cell r="J1914" t="str">
            <v>06/10/2024</v>
          </cell>
          <cell r="K1914" t="str">
            <v>06/24/2024</v>
          </cell>
          <cell r="L1914">
            <v>5</v>
          </cell>
          <cell r="M1914" t="str">
            <v>6/5/2024 2:55:33 PM</v>
          </cell>
          <cell r="N1914" t="str">
            <v>26</v>
          </cell>
          <cell r="O1914">
            <v>5</v>
          </cell>
          <cell r="P1914">
            <v>1.95</v>
          </cell>
        </row>
        <row r="1915">
          <cell r="A1915" t="str">
            <v>6724587</v>
          </cell>
          <cell r="B1915" t="str">
            <v>1102818</v>
          </cell>
          <cell r="C1915" t="str">
            <v>87-44-9B</v>
          </cell>
          <cell r="D1915" t="str">
            <v>87</v>
          </cell>
          <cell r="E1915" t="str">
            <v>87 SZ44 HGS BLK</v>
          </cell>
          <cell r="F1915" t="str">
            <v>DG-BELT</v>
          </cell>
          <cell r="G1915" t="str">
            <v>1420-210-FG</v>
          </cell>
          <cell r="H1915" t="str">
            <v>R</v>
          </cell>
          <cell r="I1915" t="str">
            <v>06/04/2024</v>
          </cell>
          <cell r="J1915" t="str">
            <v>06/10/2024</v>
          </cell>
          <cell r="K1915" t="str">
            <v>06/24/2024</v>
          </cell>
          <cell r="L1915">
            <v>5</v>
          </cell>
          <cell r="M1915" t="str">
            <v>6/5/2024 2:55:33 PM</v>
          </cell>
          <cell r="N1915" t="str">
            <v>26</v>
          </cell>
          <cell r="O1915">
            <v>5</v>
          </cell>
          <cell r="P1915">
            <v>1.95</v>
          </cell>
        </row>
        <row r="1916">
          <cell r="A1916" t="str">
            <v>6724588</v>
          </cell>
          <cell r="B1916" t="str">
            <v>1102827</v>
          </cell>
          <cell r="C1916" t="str">
            <v>87-46-9</v>
          </cell>
          <cell r="D1916" t="str">
            <v>87</v>
          </cell>
          <cell r="E1916" t="str">
            <v>87 SZ46 HGS BLK</v>
          </cell>
          <cell r="F1916" t="str">
            <v>DG-BELT</v>
          </cell>
          <cell r="G1916" t="str">
            <v>1420-210-FG</v>
          </cell>
          <cell r="H1916" t="str">
            <v>R</v>
          </cell>
          <cell r="I1916" t="str">
            <v>06/04/2024</v>
          </cell>
          <cell r="J1916" t="str">
            <v>06/10/2024</v>
          </cell>
          <cell r="K1916" t="str">
            <v>06/24/2024</v>
          </cell>
          <cell r="L1916">
            <v>5</v>
          </cell>
          <cell r="M1916" t="str">
            <v>6/4/2024 2:05:06 PM</v>
          </cell>
          <cell r="N1916" t="str">
            <v>26</v>
          </cell>
          <cell r="O1916">
            <v>5</v>
          </cell>
          <cell r="P1916">
            <v>1.95</v>
          </cell>
        </row>
        <row r="1917">
          <cell r="A1917" t="str">
            <v>6724565</v>
          </cell>
          <cell r="B1917" t="str">
            <v>1101862</v>
          </cell>
          <cell r="C1917" t="str">
            <v>87-56-9B</v>
          </cell>
          <cell r="D1917" t="str">
            <v>87</v>
          </cell>
          <cell r="E1917" t="str">
            <v>87 SZ56 HGS BLK</v>
          </cell>
          <cell r="F1917" t="str">
            <v>DG-BELT</v>
          </cell>
          <cell r="G1917" t="str">
            <v>1420-210-FG</v>
          </cell>
          <cell r="H1917" t="str">
            <v>R</v>
          </cell>
          <cell r="I1917" t="str">
            <v>06/04/2024</v>
          </cell>
          <cell r="J1917" t="str">
            <v>06/10/2024</v>
          </cell>
          <cell r="K1917" t="str">
            <v>06/24/2024</v>
          </cell>
          <cell r="L1917">
            <v>1</v>
          </cell>
          <cell r="M1917" t="str">
            <v>6/5/2024 2:55:33 PM</v>
          </cell>
          <cell r="N1917" t="str">
            <v>26</v>
          </cell>
          <cell r="O1917">
            <v>1</v>
          </cell>
          <cell r="P1917">
            <v>0.39</v>
          </cell>
        </row>
        <row r="1918">
          <cell r="A1918" t="str">
            <v>6724567</v>
          </cell>
          <cell r="B1918" t="str">
            <v>1102167</v>
          </cell>
          <cell r="C1918" t="str">
            <v>872-44-6</v>
          </cell>
          <cell r="D1918" t="str">
            <v>872</v>
          </cell>
          <cell r="E1918" t="str">
            <v>872 SZ44 PLN BLK</v>
          </cell>
          <cell r="F1918" t="str">
            <v>DG-BELT</v>
          </cell>
          <cell r="G1918" t="str">
            <v>1420-210-FG</v>
          </cell>
          <cell r="H1918" t="str">
            <v>R</v>
          </cell>
          <cell r="I1918" t="str">
            <v>06/04/2024</v>
          </cell>
          <cell r="J1918" t="str">
            <v>06/10/2024</v>
          </cell>
          <cell r="K1918" t="str">
            <v>06/24/2024</v>
          </cell>
          <cell r="L1918">
            <v>1</v>
          </cell>
          <cell r="M1918" t="str">
            <v>6/5/2024 2:55:33 PM</v>
          </cell>
          <cell r="N1918" t="str">
            <v>26</v>
          </cell>
          <cell r="O1918">
            <v>1</v>
          </cell>
          <cell r="P1918">
            <v>0.21</v>
          </cell>
        </row>
        <row r="1919">
          <cell r="A1919" t="str">
            <v>6726779</v>
          </cell>
          <cell r="B1919" t="str">
            <v>1124913</v>
          </cell>
          <cell r="C1919" t="str">
            <v>872V-36-8</v>
          </cell>
          <cell r="D1919" t="str">
            <v>872V</v>
          </cell>
          <cell r="E1919" t="str">
            <v>872V SZ36 BSK BLK</v>
          </cell>
          <cell r="F1919" t="str">
            <v>DG-BELT</v>
          </cell>
          <cell r="G1919" t="str">
            <v>1420-210-FG</v>
          </cell>
          <cell r="H1919" t="str">
            <v>R</v>
          </cell>
          <cell r="I1919" t="str">
            <v>06/10/2024</v>
          </cell>
          <cell r="J1919" t="str">
            <v>06/10/2024</v>
          </cell>
          <cell r="K1919" t="str">
            <v>06/24/2024</v>
          </cell>
          <cell r="L1919">
            <v>9</v>
          </cell>
          <cell r="M1919" t="str">
            <v>6/11/2024 3:02:21 PM</v>
          </cell>
          <cell r="N1919" t="str">
            <v>26</v>
          </cell>
          <cell r="O1919">
            <v>9</v>
          </cell>
          <cell r="P1919">
            <v>3.6</v>
          </cell>
        </row>
        <row r="1920">
          <cell r="A1920" t="str">
            <v>6726790</v>
          </cell>
          <cell r="B1920" t="str">
            <v>1195466</v>
          </cell>
          <cell r="C1920" t="str">
            <v>872V-44-8</v>
          </cell>
          <cell r="D1920" t="str">
            <v>872V</v>
          </cell>
          <cell r="E1920" t="str">
            <v>872V SZ44 BSK BLK</v>
          </cell>
          <cell r="F1920" t="str">
            <v>DG-BELT</v>
          </cell>
          <cell r="G1920" t="str">
            <v>1420-210-FG</v>
          </cell>
          <cell r="H1920" t="str">
            <v>R</v>
          </cell>
          <cell r="I1920" t="str">
            <v>06/10/2024</v>
          </cell>
          <cell r="J1920" t="str">
            <v>06/10/2024</v>
          </cell>
          <cell r="K1920" t="str">
            <v>06/24/2024</v>
          </cell>
          <cell r="L1920">
            <v>7</v>
          </cell>
          <cell r="M1920" t="str">
            <v>6/11/2024 3:02:21 PM</v>
          </cell>
          <cell r="N1920" t="str">
            <v>26</v>
          </cell>
          <cell r="O1920">
            <v>7</v>
          </cell>
          <cell r="P1920">
            <v>1.53</v>
          </cell>
        </row>
        <row r="1921">
          <cell r="A1921" t="str">
            <v>6724573</v>
          </cell>
          <cell r="B1921" t="str">
            <v>1102463</v>
          </cell>
          <cell r="C1921" t="str">
            <v>875-46-6</v>
          </cell>
          <cell r="D1921" t="str">
            <v>875</v>
          </cell>
          <cell r="E1921" t="str">
            <v>875 SZ46 PLN BLK</v>
          </cell>
          <cell r="F1921" t="str">
            <v>DG-BELT</v>
          </cell>
          <cell r="G1921" t="str">
            <v>1420-210-FG</v>
          </cell>
          <cell r="H1921" t="str">
            <v>R</v>
          </cell>
          <cell r="I1921" t="str">
            <v>06/04/2024</v>
          </cell>
          <cell r="J1921" t="str">
            <v>06/10/2024</v>
          </cell>
          <cell r="K1921" t="str">
            <v>06/24/2024</v>
          </cell>
          <cell r="L1921">
            <v>3</v>
          </cell>
          <cell r="M1921" t="str">
            <v>6/5/2024 2:55:33 PM</v>
          </cell>
          <cell r="N1921" t="str">
            <v>26</v>
          </cell>
          <cell r="O1921">
            <v>3</v>
          </cell>
          <cell r="P1921">
            <v>1.28</v>
          </cell>
        </row>
        <row r="1922">
          <cell r="A1922" t="str">
            <v>6724577</v>
          </cell>
          <cell r="B1922" t="str">
            <v>1102528</v>
          </cell>
          <cell r="C1922" t="str">
            <v>875-48-6</v>
          </cell>
          <cell r="D1922" t="str">
            <v>875</v>
          </cell>
          <cell r="E1922" t="str">
            <v>875 SZ48 PLN BLK</v>
          </cell>
          <cell r="F1922" t="str">
            <v>DG-BELT</v>
          </cell>
          <cell r="G1922" t="str">
            <v>1420-210-FG</v>
          </cell>
          <cell r="H1922" t="str">
            <v>R</v>
          </cell>
          <cell r="I1922" t="str">
            <v>06/04/2024</v>
          </cell>
          <cell r="J1922" t="str">
            <v>06/10/2024</v>
          </cell>
          <cell r="K1922" t="str">
            <v>06/24/2024</v>
          </cell>
          <cell r="L1922">
            <v>6</v>
          </cell>
          <cell r="M1922" t="str">
            <v>6/5/2024 2:55:33 PM</v>
          </cell>
          <cell r="N1922" t="str">
            <v>26</v>
          </cell>
          <cell r="O1922">
            <v>6</v>
          </cell>
          <cell r="P1922">
            <v>2.56</v>
          </cell>
        </row>
        <row r="1923">
          <cell r="A1923" t="str">
            <v>6724586</v>
          </cell>
          <cell r="B1923" t="str">
            <v>1102774</v>
          </cell>
          <cell r="C1923" t="str">
            <v>87V-26-9</v>
          </cell>
          <cell r="D1923" t="str">
            <v>87V</v>
          </cell>
          <cell r="E1923" t="str">
            <v>87V SZ26 HGS BLK</v>
          </cell>
          <cell r="F1923" t="str">
            <v>DG-BELT</v>
          </cell>
          <cell r="G1923" t="str">
            <v>1420-210-FG</v>
          </cell>
          <cell r="H1923" t="str">
            <v>R</v>
          </cell>
          <cell r="I1923" t="str">
            <v>06/04/2024</v>
          </cell>
          <cell r="J1923" t="str">
            <v>06/10/2024</v>
          </cell>
          <cell r="K1923" t="str">
            <v>06/24/2024</v>
          </cell>
          <cell r="L1923">
            <v>5</v>
          </cell>
          <cell r="M1923" t="str">
            <v>6/5/2024 2:55:33 PM</v>
          </cell>
          <cell r="N1923" t="str">
            <v>26</v>
          </cell>
          <cell r="O1923">
            <v>5</v>
          </cell>
          <cell r="P1923">
            <v>1.89</v>
          </cell>
        </row>
        <row r="1924">
          <cell r="A1924" t="str">
            <v>6724589</v>
          </cell>
          <cell r="B1924" t="str">
            <v>1102839</v>
          </cell>
          <cell r="C1924" t="str">
            <v>87V-28-9</v>
          </cell>
          <cell r="D1924" t="str">
            <v>87V</v>
          </cell>
          <cell r="E1924" t="str">
            <v>87V SZ28 HGS BLK</v>
          </cell>
          <cell r="F1924" t="str">
            <v>DG-BELT</v>
          </cell>
          <cell r="G1924" t="str">
            <v>1420-210-FG</v>
          </cell>
          <cell r="H1924" t="str">
            <v>R</v>
          </cell>
          <cell r="I1924" t="str">
            <v>06/04/2024</v>
          </cell>
          <cell r="J1924" t="str">
            <v>06/10/2024</v>
          </cell>
          <cell r="K1924" t="str">
            <v>06/24/2024</v>
          </cell>
          <cell r="L1924">
            <v>5</v>
          </cell>
          <cell r="M1924" t="str">
            <v>6/5/2024 2:55:33 PM</v>
          </cell>
          <cell r="N1924" t="str">
            <v>26</v>
          </cell>
          <cell r="O1924">
            <v>5</v>
          </cell>
          <cell r="P1924">
            <v>1.89</v>
          </cell>
        </row>
        <row r="1925">
          <cell r="A1925" t="str">
            <v>6724590</v>
          </cell>
          <cell r="B1925" t="str">
            <v>1102850</v>
          </cell>
          <cell r="C1925" t="str">
            <v>87V-30-9</v>
          </cell>
          <cell r="D1925" t="str">
            <v>87V</v>
          </cell>
          <cell r="E1925" t="str">
            <v>87V SZ30 HGS BLK</v>
          </cell>
          <cell r="F1925" t="str">
            <v>DG-BELT</v>
          </cell>
          <cell r="G1925" t="str">
            <v>1420-210-FG</v>
          </cell>
          <cell r="H1925" t="str">
            <v>R</v>
          </cell>
          <cell r="I1925" t="str">
            <v>06/04/2024</v>
          </cell>
          <cell r="J1925" t="str">
            <v>06/10/2024</v>
          </cell>
          <cell r="K1925" t="str">
            <v>06/24/2024</v>
          </cell>
          <cell r="L1925">
            <v>5</v>
          </cell>
          <cell r="M1925" t="str">
            <v>6/5/2024 2:55:33 PM</v>
          </cell>
          <cell r="N1925" t="str">
            <v>26</v>
          </cell>
          <cell r="O1925">
            <v>5</v>
          </cell>
          <cell r="P1925">
            <v>1.89</v>
          </cell>
        </row>
        <row r="1926">
          <cell r="A1926" t="str">
            <v>6724592</v>
          </cell>
          <cell r="B1926" t="str">
            <v>1102858</v>
          </cell>
          <cell r="C1926" t="str">
            <v>87V-32-9</v>
          </cell>
          <cell r="D1926" t="str">
            <v>87V</v>
          </cell>
          <cell r="E1926" t="str">
            <v>87V SZ32 HGS BLK</v>
          </cell>
          <cell r="F1926" t="str">
            <v>DG-BELT</v>
          </cell>
          <cell r="G1926" t="str">
            <v>1420-210-FG</v>
          </cell>
          <cell r="H1926" t="str">
            <v>R</v>
          </cell>
          <cell r="I1926" t="str">
            <v>06/04/2024</v>
          </cell>
          <cell r="J1926" t="str">
            <v>06/10/2024</v>
          </cell>
          <cell r="K1926" t="str">
            <v>06/24/2024</v>
          </cell>
          <cell r="L1926">
            <v>5</v>
          </cell>
          <cell r="M1926" t="str">
            <v>6/5/2024 2:55:33 PM</v>
          </cell>
          <cell r="N1926" t="str">
            <v>26</v>
          </cell>
          <cell r="O1926">
            <v>5</v>
          </cell>
          <cell r="P1926">
            <v>1.89</v>
          </cell>
        </row>
        <row r="1927">
          <cell r="A1927" t="str">
            <v>6724597</v>
          </cell>
          <cell r="B1927" t="str">
            <v>1102926</v>
          </cell>
          <cell r="C1927" t="str">
            <v>87V-34-9</v>
          </cell>
          <cell r="D1927" t="str">
            <v>87V</v>
          </cell>
          <cell r="E1927" t="str">
            <v>87V SZ34 HGS BLK</v>
          </cell>
          <cell r="F1927" t="str">
            <v>DG-BELT</v>
          </cell>
          <cell r="G1927" t="str">
            <v>1420-210-FG</v>
          </cell>
          <cell r="H1927" t="str">
            <v>R</v>
          </cell>
          <cell r="I1927" t="str">
            <v>06/04/2024</v>
          </cell>
          <cell r="J1927" t="str">
            <v>06/10/2024</v>
          </cell>
          <cell r="K1927" t="str">
            <v>06/24/2024</v>
          </cell>
          <cell r="L1927">
            <v>10</v>
          </cell>
          <cell r="M1927" t="str">
            <v>6/5/2024 2:55:33 PM</v>
          </cell>
          <cell r="N1927" t="str">
            <v>26</v>
          </cell>
          <cell r="O1927">
            <v>10</v>
          </cell>
          <cell r="P1927">
            <v>3.78</v>
          </cell>
        </row>
        <row r="1928">
          <cell r="A1928" t="str">
            <v>6724598</v>
          </cell>
          <cell r="B1928" t="str">
            <v>1102935</v>
          </cell>
          <cell r="C1928" t="str">
            <v>87V-36-8</v>
          </cell>
          <cell r="D1928" t="str">
            <v>87V</v>
          </cell>
          <cell r="E1928" t="str">
            <v>87V SZ36 BSK BLK</v>
          </cell>
          <cell r="F1928" t="str">
            <v>DG-BELT</v>
          </cell>
          <cell r="G1928" t="str">
            <v>1420-210-FG</v>
          </cell>
          <cell r="H1928" t="str">
            <v>R</v>
          </cell>
          <cell r="I1928" t="str">
            <v>06/04/2024</v>
          </cell>
          <cell r="J1928" t="str">
            <v>06/10/2024</v>
          </cell>
          <cell r="K1928" t="str">
            <v>06/24/2024</v>
          </cell>
          <cell r="L1928">
            <v>10</v>
          </cell>
          <cell r="M1928" t="str">
            <v>6/5/2024 2:55:33 PM</v>
          </cell>
          <cell r="N1928" t="str">
            <v>26</v>
          </cell>
          <cell r="O1928">
            <v>10</v>
          </cell>
          <cell r="P1928">
            <v>4.1500000000000004</v>
          </cell>
        </row>
        <row r="1929">
          <cell r="A1929" t="str">
            <v>6726768</v>
          </cell>
          <cell r="B1929" t="str">
            <v>1102935</v>
          </cell>
          <cell r="C1929" t="str">
            <v>87V-36-8</v>
          </cell>
          <cell r="D1929" t="str">
            <v>87V</v>
          </cell>
          <cell r="E1929" t="str">
            <v>87V SZ36 BSK BLK</v>
          </cell>
          <cell r="F1929" t="str">
            <v>DG-BELT</v>
          </cell>
          <cell r="G1929" t="str">
            <v>1420-210-FG</v>
          </cell>
          <cell r="H1929" t="str">
            <v>R</v>
          </cell>
          <cell r="I1929" t="str">
            <v>06/10/2024</v>
          </cell>
          <cell r="J1929" t="str">
            <v>06/10/2024</v>
          </cell>
          <cell r="K1929" t="str">
            <v>06/24/2024</v>
          </cell>
          <cell r="L1929">
            <v>10</v>
          </cell>
          <cell r="M1929" t="str">
            <v>6/11/2024 3:02:21 PM</v>
          </cell>
          <cell r="N1929" t="str">
            <v>26</v>
          </cell>
          <cell r="O1929">
            <v>10</v>
          </cell>
          <cell r="P1929">
            <v>4.1500000000000004</v>
          </cell>
        </row>
        <row r="1930">
          <cell r="A1930" t="str">
            <v>6726742</v>
          </cell>
          <cell r="B1930" t="str">
            <v>1101806</v>
          </cell>
          <cell r="C1930" t="str">
            <v>87V-38-8</v>
          </cell>
          <cell r="D1930" t="str">
            <v>87V</v>
          </cell>
          <cell r="E1930" t="str">
            <v>87V SZ38 BSK BLK</v>
          </cell>
          <cell r="F1930" t="str">
            <v>DG-BELT</v>
          </cell>
          <cell r="G1930" t="str">
            <v>1420-210-FG</v>
          </cell>
          <cell r="H1930" t="str">
            <v>R</v>
          </cell>
          <cell r="I1930" t="str">
            <v>06/10/2024</v>
          </cell>
          <cell r="J1930" t="str">
            <v>06/10/2024</v>
          </cell>
          <cell r="K1930" t="str">
            <v>06/24/2024</v>
          </cell>
          <cell r="L1930">
            <v>6</v>
          </cell>
          <cell r="M1930" t="str">
            <v>6/11/2024 3:02:21 PM</v>
          </cell>
          <cell r="N1930" t="str">
            <v>26</v>
          </cell>
          <cell r="O1930">
            <v>6</v>
          </cell>
          <cell r="P1930">
            <v>2.27</v>
          </cell>
        </row>
        <row r="1931">
          <cell r="A1931" t="str">
            <v>6724612</v>
          </cell>
          <cell r="B1931" t="str">
            <v>1101815</v>
          </cell>
          <cell r="C1931" t="str">
            <v>87V-40-8</v>
          </cell>
          <cell r="D1931" t="str">
            <v>87V</v>
          </cell>
          <cell r="E1931" t="str">
            <v>87V SZ40 BSK BLK</v>
          </cell>
          <cell r="F1931" t="str">
            <v>DG-BELT</v>
          </cell>
          <cell r="G1931" t="str">
            <v>1420-210-FG</v>
          </cell>
          <cell r="H1931" t="str">
            <v>R</v>
          </cell>
          <cell r="I1931" t="str">
            <v>06/04/2024</v>
          </cell>
          <cell r="J1931" t="str">
            <v>06/10/2024</v>
          </cell>
          <cell r="K1931" t="str">
            <v>06/24/2024</v>
          </cell>
          <cell r="L1931">
            <v>21</v>
          </cell>
          <cell r="M1931" t="str">
            <v>6/5/2024 2:55:33 PM</v>
          </cell>
          <cell r="N1931" t="str">
            <v>26</v>
          </cell>
          <cell r="O1931">
            <v>21</v>
          </cell>
          <cell r="P1931">
            <v>7.95</v>
          </cell>
        </row>
        <row r="1932">
          <cell r="A1932" t="str">
            <v>6726743</v>
          </cell>
          <cell r="B1932" t="str">
            <v>1101815</v>
          </cell>
          <cell r="C1932" t="str">
            <v>87V-40-8</v>
          </cell>
          <cell r="D1932" t="str">
            <v>87V</v>
          </cell>
          <cell r="E1932" t="str">
            <v>87V SZ40 BSK BLK</v>
          </cell>
          <cell r="F1932" t="str">
            <v>DG-BELT</v>
          </cell>
          <cell r="G1932" t="str">
            <v>1420-210-FG</v>
          </cell>
          <cell r="H1932" t="str">
            <v>R</v>
          </cell>
          <cell r="I1932" t="str">
            <v>06/10/2024</v>
          </cell>
          <cell r="J1932" t="str">
            <v>06/10/2024</v>
          </cell>
          <cell r="K1932" t="str">
            <v>06/24/2024</v>
          </cell>
          <cell r="L1932">
            <v>10</v>
          </cell>
          <cell r="M1932" t="str">
            <v>6/11/2024 3:02:21 PM</v>
          </cell>
          <cell r="N1932" t="str">
            <v>26</v>
          </cell>
          <cell r="O1932">
            <v>10</v>
          </cell>
          <cell r="P1932">
            <v>3.78</v>
          </cell>
        </row>
        <row r="1933">
          <cell r="A1933" t="str">
            <v>6726744</v>
          </cell>
          <cell r="B1933" t="str">
            <v>1101823</v>
          </cell>
          <cell r="C1933" t="str">
            <v>87V-42-8</v>
          </cell>
          <cell r="D1933" t="str">
            <v>87V</v>
          </cell>
          <cell r="E1933" t="str">
            <v>87V SZ42 BSK BLK</v>
          </cell>
          <cell r="F1933" t="str">
            <v>DG-BELT</v>
          </cell>
          <cell r="G1933" t="str">
            <v>1420-210-FG</v>
          </cell>
          <cell r="H1933" t="str">
            <v>R</v>
          </cell>
          <cell r="I1933" t="str">
            <v>06/10/2024</v>
          </cell>
          <cell r="J1933" t="str">
            <v>06/10/2024</v>
          </cell>
          <cell r="K1933" t="str">
            <v>06/24/2024</v>
          </cell>
          <cell r="L1933">
            <v>5</v>
          </cell>
          <cell r="M1933" t="str">
            <v>6/11/2024 3:02:21 PM</v>
          </cell>
          <cell r="N1933" t="str">
            <v>26</v>
          </cell>
          <cell r="O1933">
            <v>5</v>
          </cell>
          <cell r="P1933">
            <v>1.89</v>
          </cell>
        </row>
        <row r="1934">
          <cell r="A1934" t="str">
            <v>6726696</v>
          </cell>
          <cell r="B1934" t="str">
            <v>1016951</v>
          </cell>
          <cell r="C1934" t="str">
            <v>22803</v>
          </cell>
          <cell r="D1934" t="str">
            <v>7323</v>
          </cell>
          <cell r="E1934" t="str">
            <v>ADJUSTABLE RADIO POUCH BLK SZ 2</v>
          </cell>
          <cell r="F1934" t="str">
            <v>BN-POUCH</v>
          </cell>
          <cell r="G1934" t="str">
            <v>1420-210-FG</v>
          </cell>
          <cell r="H1934" t="str">
            <v>R</v>
          </cell>
          <cell r="I1934" t="str">
            <v>06/10/2024</v>
          </cell>
          <cell r="J1934" t="str">
            <v>06/10/2024</v>
          </cell>
          <cell r="K1934" t="str">
            <v>06/24/2024</v>
          </cell>
          <cell r="L1934">
            <v>30</v>
          </cell>
          <cell r="M1934" t="str">
            <v>6/11/2024 2:58:28 PM</v>
          </cell>
          <cell r="N1934" t="str">
            <v>26</v>
          </cell>
          <cell r="O1934">
            <v>30</v>
          </cell>
          <cell r="P1934">
            <v>10.199999999999999</v>
          </cell>
        </row>
        <row r="1935">
          <cell r="A1935" t="str">
            <v>6726692</v>
          </cell>
          <cell r="B1935" t="str">
            <v>1029093</v>
          </cell>
          <cell r="C1935" t="str">
            <v>17252</v>
          </cell>
          <cell r="D1935" t="str">
            <v>X16</v>
          </cell>
          <cell r="E1935" t="str">
            <v>AGENT X RIG UNLINED RH 45AUTO</v>
          </cell>
          <cell r="F1935" t="str">
            <v>BN-LEATHER</v>
          </cell>
          <cell r="G1935" t="str">
            <v>1420-210-FG</v>
          </cell>
          <cell r="H1935" t="str">
            <v>R</v>
          </cell>
          <cell r="I1935" t="str">
            <v>06/10/2024</v>
          </cell>
          <cell r="J1935" t="str">
            <v>06/10/2024</v>
          </cell>
          <cell r="K1935" t="str">
            <v>06/24/2024</v>
          </cell>
          <cell r="L1935">
            <v>10</v>
          </cell>
          <cell r="M1935" t="str">
            <v>6/12/2024 11:11:54 AM</v>
          </cell>
          <cell r="N1935" t="str">
            <v>26</v>
          </cell>
          <cell r="O1935">
            <v>10</v>
          </cell>
          <cell r="P1935">
            <v>7.92</v>
          </cell>
        </row>
        <row r="1936">
          <cell r="A1936" t="str">
            <v>6727567</v>
          </cell>
          <cell r="B1936" t="str">
            <v>1327392</v>
          </cell>
          <cell r="C1936" t="str">
            <v>58351</v>
          </cell>
          <cell r="D1936" t="str">
            <v>126GLS</v>
          </cell>
          <cell r="E1936" t="str">
            <v>ASSENT PRO FIT BLK RH SZ 83</v>
          </cell>
          <cell r="F1936" t="str">
            <v>BN-LEATHER</v>
          </cell>
          <cell r="G1936" t="str">
            <v>1420-210-FG</v>
          </cell>
          <cell r="H1936" t="str">
            <v>R</v>
          </cell>
          <cell r="I1936" t="str">
            <v>06/11/2024</v>
          </cell>
          <cell r="J1936" t="str">
            <v>06/11/2024</v>
          </cell>
          <cell r="K1936" t="str">
            <v>06/24/2024</v>
          </cell>
          <cell r="L1936">
            <v>10</v>
          </cell>
          <cell r="M1936" t="str">
            <v>6/11/2024 2:54:07 PM</v>
          </cell>
          <cell r="N1936" t="str">
            <v>26</v>
          </cell>
          <cell r="O1936">
            <v>10</v>
          </cell>
          <cell r="P1936">
            <v>5.2</v>
          </cell>
        </row>
        <row r="1937">
          <cell r="A1937" t="str">
            <v>6724061</v>
          </cell>
          <cell r="B1937" t="str">
            <v>1099127</v>
          </cell>
          <cell r="C1937" t="str">
            <v>35-F16-4</v>
          </cell>
          <cell r="D1937" t="str">
            <v>35</v>
          </cell>
          <cell r="E1937" t="str">
            <v>BATON HOLDER</v>
          </cell>
          <cell r="F1937" t="str">
            <v>DG-POUCH-F1</v>
          </cell>
          <cell r="G1937" t="str">
            <v>1420-210-FG</v>
          </cell>
          <cell r="H1937" t="str">
            <v>R</v>
          </cell>
          <cell r="I1937" t="str">
            <v>06/03/2024</v>
          </cell>
          <cell r="J1937" t="str">
            <v>06/10/2024</v>
          </cell>
          <cell r="K1937" t="str">
            <v>06/24/2024</v>
          </cell>
          <cell r="L1937">
            <v>5</v>
          </cell>
          <cell r="M1937" t="str">
            <v>6/3/2024 4:31:15 PM</v>
          </cell>
          <cell r="N1937" t="str">
            <v>26</v>
          </cell>
          <cell r="O1937">
            <v>5</v>
          </cell>
          <cell r="P1937">
            <v>2.35</v>
          </cell>
        </row>
        <row r="1938">
          <cell r="A1938" t="str">
            <v>6724062</v>
          </cell>
          <cell r="B1938" t="str">
            <v>1099131</v>
          </cell>
          <cell r="C1938" t="str">
            <v>35-F21-13</v>
          </cell>
          <cell r="D1938" t="str">
            <v>35</v>
          </cell>
          <cell r="E1938" t="str">
            <v>BATON HOLDER</v>
          </cell>
          <cell r="F1938" t="str">
            <v>DG-POUCH-F1</v>
          </cell>
          <cell r="G1938" t="str">
            <v>1420-210-FG</v>
          </cell>
          <cell r="H1938" t="str">
            <v>R</v>
          </cell>
          <cell r="I1938" t="str">
            <v>06/03/2024</v>
          </cell>
          <cell r="J1938" t="str">
            <v>06/10/2024</v>
          </cell>
          <cell r="K1938" t="str">
            <v>06/24/2024</v>
          </cell>
          <cell r="L1938">
            <v>65</v>
          </cell>
          <cell r="M1938" t="str">
            <v>6/3/2024 4:31:15 PM</v>
          </cell>
          <cell r="N1938" t="str">
            <v>26</v>
          </cell>
          <cell r="O1938">
            <v>65</v>
          </cell>
          <cell r="P1938">
            <v>29.14</v>
          </cell>
        </row>
        <row r="1939">
          <cell r="A1939" t="str">
            <v>6724063</v>
          </cell>
          <cell r="B1939" t="str">
            <v>1099131</v>
          </cell>
          <cell r="C1939" t="str">
            <v>35-F21-13</v>
          </cell>
          <cell r="D1939" t="str">
            <v>35</v>
          </cell>
          <cell r="E1939" t="str">
            <v>BATON HOLDER</v>
          </cell>
          <cell r="F1939" t="str">
            <v>DG-POUCH-F1</v>
          </cell>
          <cell r="G1939" t="str">
            <v>1420-210-FG</v>
          </cell>
          <cell r="H1939" t="str">
            <v>R</v>
          </cell>
          <cell r="I1939" t="str">
            <v>06/03/2024</v>
          </cell>
          <cell r="J1939" t="str">
            <v>06/10/2024</v>
          </cell>
          <cell r="K1939" t="str">
            <v>06/24/2024</v>
          </cell>
          <cell r="L1939">
            <v>100</v>
          </cell>
          <cell r="M1939" t="str">
            <v>6/3/2024 4:31:15 PM</v>
          </cell>
          <cell r="N1939" t="str">
            <v>26</v>
          </cell>
          <cell r="O1939">
            <v>100</v>
          </cell>
          <cell r="P1939">
            <v>44.81</v>
          </cell>
        </row>
        <row r="1940">
          <cell r="A1940" t="str">
            <v>6726237</v>
          </cell>
          <cell r="B1940" t="str">
            <v>1099135</v>
          </cell>
          <cell r="C1940" t="str">
            <v>35-F21-4</v>
          </cell>
          <cell r="D1940" t="str">
            <v>35</v>
          </cell>
          <cell r="E1940" t="str">
            <v>BATON HOLDER</v>
          </cell>
          <cell r="F1940" t="str">
            <v>DG-POUCH-F1</v>
          </cell>
          <cell r="G1940" t="str">
            <v>1420-210-FG</v>
          </cell>
          <cell r="H1940" t="str">
            <v>R</v>
          </cell>
          <cell r="I1940" t="str">
            <v>06/07/2024</v>
          </cell>
          <cell r="J1940" t="str">
            <v>06/10/2024</v>
          </cell>
          <cell r="K1940" t="str">
            <v>06/24/2024</v>
          </cell>
          <cell r="L1940">
            <v>20</v>
          </cell>
          <cell r="M1940" t="str">
            <v>6/7/2024 11:44:04 AM</v>
          </cell>
          <cell r="N1940" t="str">
            <v>26</v>
          </cell>
          <cell r="O1940">
            <v>20</v>
          </cell>
          <cell r="P1940">
            <v>9.32</v>
          </cell>
        </row>
        <row r="1941">
          <cell r="A1941" t="str">
            <v>6724911</v>
          </cell>
          <cell r="B1941" t="str">
            <v>1020932</v>
          </cell>
          <cell r="C1941" t="str">
            <v>90087</v>
          </cell>
          <cell r="D1941" t="str">
            <v>BUCKLE</v>
          </cell>
          <cell r="E1941" t="str">
            <v>BUCKLE SAM BROWNE CHROME179702A</v>
          </cell>
          <cell r="F1941" t="str">
            <v>DG-MISC</v>
          </cell>
          <cell r="G1941" t="str">
            <v>1420-210-FG</v>
          </cell>
          <cell r="H1941" t="str">
            <v>R</v>
          </cell>
          <cell r="I1941" t="str">
            <v>06/04/2024</v>
          </cell>
          <cell r="J1941" t="str">
            <v>06/10/2024</v>
          </cell>
          <cell r="K1941" t="str">
            <v>06/24/2024</v>
          </cell>
          <cell r="L1941">
            <v>5</v>
          </cell>
          <cell r="M1941" t="str">
            <v>6/5/2024 2:57:25 PM</v>
          </cell>
          <cell r="N1941" t="str">
            <v>26</v>
          </cell>
          <cell r="O1941">
            <v>5</v>
          </cell>
          <cell r="P1941">
            <v>0.04</v>
          </cell>
        </row>
        <row r="1942">
          <cell r="A1942" t="str">
            <v>6724909</v>
          </cell>
          <cell r="B1942" t="str">
            <v>1020928</v>
          </cell>
          <cell r="C1942" t="str">
            <v>90081</v>
          </cell>
          <cell r="D1942" t="str">
            <v>BUCKLE</v>
          </cell>
          <cell r="E1942" t="str">
            <v>BUCKLE SAM BROWNE ELITE BRASS (179721)</v>
          </cell>
          <cell r="F1942" t="str">
            <v>DG-MISC</v>
          </cell>
          <cell r="G1942" t="str">
            <v>1420-210-FG</v>
          </cell>
          <cell r="H1942" t="str">
            <v>R</v>
          </cell>
          <cell r="I1942" t="str">
            <v>06/04/2024</v>
          </cell>
          <cell r="J1942" t="str">
            <v>06/10/2024</v>
          </cell>
          <cell r="K1942" t="str">
            <v>06/24/2024</v>
          </cell>
          <cell r="L1942">
            <v>10</v>
          </cell>
          <cell r="M1942" t="str">
            <v>6/5/2024 2:57:25 PM</v>
          </cell>
          <cell r="N1942" t="str">
            <v>26</v>
          </cell>
          <cell r="O1942">
            <v>10</v>
          </cell>
          <cell r="P1942">
            <v>0.08</v>
          </cell>
        </row>
        <row r="1943">
          <cell r="A1943" t="str">
            <v>6724910</v>
          </cell>
          <cell r="B1943" t="str">
            <v>1020929</v>
          </cell>
          <cell r="C1943" t="str">
            <v>90082</v>
          </cell>
          <cell r="D1943" t="str">
            <v>BUCKLE</v>
          </cell>
          <cell r="E1943" t="str">
            <v>BUCKLE SAM BROWNE ELITE CHROME (179720)</v>
          </cell>
          <cell r="F1943" t="str">
            <v>DG-MISC</v>
          </cell>
          <cell r="G1943" t="str">
            <v>1420-210-FG</v>
          </cell>
          <cell r="H1943" t="str">
            <v>R</v>
          </cell>
          <cell r="I1943" t="str">
            <v>06/04/2024</v>
          </cell>
          <cell r="J1943" t="str">
            <v>06/10/2024</v>
          </cell>
          <cell r="K1943" t="str">
            <v>06/24/2024</v>
          </cell>
          <cell r="L1943">
            <v>6</v>
          </cell>
          <cell r="M1943" t="str">
            <v>6/5/2024 2:57:25 PM</v>
          </cell>
          <cell r="N1943" t="str">
            <v>26</v>
          </cell>
          <cell r="O1943">
            <v>6</v>
          </cell>
          <cell r="P1943">
            <v>0.05</v>
          </cell>
        </row>
        <row r="1944">
          <cell r="A1944" t="str">
            <v>6724008</v>
          </cell>
          <cell r="B1944" t="str">
            <v>1017425</v>
          </cell>
          <cell r="C1944" t="str">
            <v>22148</v>
          </cell>
          <cell r="D1944" t="str">
            <v>82</v>
          </cell>
          <cell r="E1944" t="str">
            <v>CARRYLOK BLK RH SZ13 GLOCK 1722</v>
          </cell>
          <cell r="F1944" t="str">
            <v>BN-LEATHER</v>
          </cell>
          <cell r="G1944" t="str">
            <v>1420-210-FG</v>
          </cell>
          <cell r="H1944" t="str">
            <v>R</v>
          </cell>
          <cell r="I1944" t="str">
            <v>06/03/2024</v>
          </cell>
          <cell r="J1944" t="str">
            <v>06/10/2024</v>
          </cell>
          <cell r="K1944" t="str">
            <v>06/24/2024</v>
          </cell>
          <cell r="L1944">
            <v>10</v>
          </cell>
          <cell r="M1944" t="str">
            <v>6/3/2024 2:17:27 PM</v>
          </cell>
          <cell r="N1944" t="str">
            <v>26</v>
          </cell>
          <cell r="O1944">
            <v>10</v>
          </cell>
          <cell r="P1944">
            <v>4.9800000000000004</v>
          </cell>
        </row>
        <row r="1945">
          <cell r="A1945" t="str">
            <v>6726632</v>
          </cell>
          <cell r="B1945" t="str">
            <v>1017371</v>
          </cell>
          <cell r="C1945" t="str">
            <v>22127</v>
          </cell>
          <cell r="D1945" t="str">
            <v>7950</v>
          </cell>
          <cell r="E1945" t="str">
            <v>DUTY BELT BSK BLK LRG 40-46</v>
          </cell>
          <cell r="F1945" t="str">
            <v>BN-BELT</v>
          </cell>
          <cell r="G1945" t="str">
            <v>1420-210-FG</v>
          </cell>
          <cell r="H1945" t="str">
            <v>R</v>
          </cell>
          <cell r="I1945" t="str">
            <v>06/10/2024</v>
          </cell>
          <cell r="J1945" t="str">
            <v>06/10/2024</v>
          </cell>
          <cell r="K1945" t="str">
            <v>06/24/2024</v>
          </cell>
          <cell r="L1945">
            <v>100</v>
          </cell>
          <cell r="M1945" t="str">
            <v>6/11/2024 2:36:12 PM</v>
          </cell>
          <cell r="N1945" t="str">
            <v>26</v>
          </cell>
          <cell r="O1945">
            <v>100</v>
          </cell>
          <cell r="P1945">
            <v>15.13</v>
          </cell>
        </row>
        <row r="1946">
          <cell r="A1946" t="str">
            <v>6726623</v>
          </cell>
          <cell r="B1946" t="str">
            <v>1017366</v>
          </cell>
          <cell r="C1946" t="str">
            <v>22122</v>
          </cell>
          <cell r="D1946" t="str">
            <v>7950</v>
          </cell>
          <cell r="E1946" t="str">
            <v>DUTY BELT PLN BLK SML 28-34</v>
          </cell>
          <cell r="F1946" t="str">
            <v>BN-BELT</v>
          </cell>
          <cell r="G1946" t="str">
            <v>1420-210-FG</v>
          </cell>
          <cell r="H1946" t="str">
            <v>R</v>
          </cell>
          <cell r="I1946" t="str">
            <v>06/10/2024</v>
          </cell>
          <cell r="J1946" t="str">
            <v>06/10/2024</v>
          </cell>
          <cell r="K1946" t="str">
            <v>06/24/2024</v>
          </cell>
          <cell r="L1946">
            <v>50</v>
          </cell>
          <cell r="M1946" t="str">
            <v>6/11/2024 2:36:12 PM</v>
          </cell>
          <cell r="N1946" t="str">
            <v>26</v>
          </cell>
          <cell r="O1946">
            <v>50</v>
          </cell>
          <cell r="P1946">
            <v>7.57</v>
          </cell>
        </row>
        <row r="1947">
          <cell r="A1947" t="str">
            <v>6726740</v>
          </cell>
          <cell r="B1947" t="str">
            <v>1100585</v>
          </cell>
          <cell r="C1947" t="str">
            <v>51-32-4B</v>
          </cell>
          <cell r="D1947" t="str">
            <v>51</v>
          </cell>
          <cell r="E1947" t="str">
            <v>GARRISON W/SQUARE BUCKLE</v>
          </cell>
          <cell r="F1947" t="str">
            <v>DG-BELT</v>
          </cell>
          <cell r="G1947" t="str">
            <v>1420-210-FG</v>
          </cell>
          <cell r="H1947" t="str">
            <v>R</v>
          </cell>
          <cell r="I1947" t="str">
            <v>06/10/2024</v>
          </cell>
          <cell r="J1947" t="str">
            <v>06/10/2024</v>
          </cell>
          <cell r="K1947" t="str">
            <v>06/24/2024</v>
          </cell>
          <cell r="L1947">
            <v>1</v>
          </cell>
          <cell r="M1947" t="str">
            <v>6/11/2024 3:02:21 PM</v>
          </cell>
          <cell r="N1947" t="str">
            <v>26</v>
          </cell>
          <cell r="O1947">
            <v>1</v>
          </cell>
          <cell r="P1947">
            <v>0.37</v>
          </cell>
        </row>
        <row r="1948">
          <cell r="A1948" t="str">
            <v>6726736</v>
          </cell>
          <cell r="B1948" t="str">
            <v>1100504</v>
          </cell>
          <cell r="C1948" t="str">
            <v>51-38-2</v>
          </cell>
          <cell r="D1948" t="str">
            <v>51</v>
          </cell>
          <cell r="E1948" t="str">
            <v>GARRISON W/SQUARE BUCKLE</v>
          </cell>
          <cell r="F1948" t="str">
            <v>DG-BELT</v>
          </cell>
          <cell r="G1948" t="str">
            <v>1420-210-FG</v>
          </cell>
          <cell r="H1948" t="str">
            <v>R</v>
          </cell>
          <cell r="I1948" t="str">
            <v>06/10/2024</v>
          </cell>
          <cell r="J1948" t="str">
            <v>06/10/2024</v>
          </cell>
          <cell r="K1948" t="str">
            <v>06/24/2024</v>
          </cell>
          <cell r="L1948">
            <v>5</v>
          </cell>
          <cell r="M1948" t="str">
            <v>6/11/2024 3:02:21 PM</v>
          </cell>
          <cell r="N1948" t="str">
            <v>26</v>
          </cell>
          <cell r="O1948">
            <v>5</v>
          </cell>
          <cell r="P1948">
            <v>1.65</v>
          </cell>
        </row>
        <row r="1949">
          <cell r="A1949" t="str">
            <v>6726738</v>
          </cell>
          <cell r="B1949" t="str">
            <v>1100514</v>
          </cell>
          <cell r="C1949" t="str">
            <v>51-40-2</v>
          </cell>
          <cell r="D1949" t="str">
            <v>51</v>
          </cell>
          <cell r="E1949" t="str">
            <v>GARRISON W/SQUARE BUCKLE</v>
          </cell>
          <cell r="F1949" t="str">
            <v>DG-BELT</v>
          </cell>
          <cell r="G1949" t="str">
            <v>1420-210-FG</v>
          </cell>
          <cell r="H1949" t="str">
            <v>R</v>
          </cell>
          <cell r="I1949" t="str">
            <v>06/10/2024</v>
          </cell>
          <cell r="J1949" t="str">
            <v>06/10/2024</v>
          </cell>
          <cell r="K1949" t="str">
            <v>06/24/2024</v>
          </cell>
          <cell r="L1949">
            <v>5</v>
          </cell>
          <cell r="M1949" t="str">
            <v>6/11/2024 3:09:40 PM</v>
          </cell>
          <cell r="N1949" t="str">
            <v>26</v>
          </cell>
          <cell r="O1949">
            <v>5</v>
          </cell>
          <cell r="P1949">
            <v>1.65</v>
          </cell>
        </row>
        <row r="1950">
          <cell r="A1950" t="str">
            <v>6724908</v>
          </cell>
          <cell r="B1950" t="str">
            <v>1015834</v>
          </cell>
          <cell r="C1950" t="str">
            <v>15306-NP</v>
          </cell>
          <cell r="D1950" t="str">
            <v>15306</v>
          </cell>
          <cell r="E1950" t="str">
            <v>GUN ROD BLACK SZ MED 2-5IN GUNS MIL-SPEC</v>
          </cell>
          <cell r="F1950" t="str">
            <v>DG-MISC</v>
          </cell>
          <cell r="G1950" t="str">
            <v>1420-210-FG</v>
          </cell>
          <cell r="H1950" t="str">
            <v>R</v>
          </cell>
          <cell r="I1950" t="str">
            <v>06/04/2024</v>
          </cell>
          <cell r="J1950" t="str">
            <v>06/10/2024</v>
          </cell>
          <cell r="K1950" t="str">
            <v>06/24/2024</v>
          </cell>
          <cell r="L1950">
            <v>2</v>
          </cell>
          <cell r="M1950" t="str">
            <v>6/5/2024 2:57:25 PM</v>
          </cell>
          <cell r="N1950" t="str">
            <v>26</v>
          </cell>
          <cell r="O1950">
            <v>2</v>
          </cell>
          <cell r="P1950">
            <v>0.02</v>
          </cell>
        </row>
        <row r="1951">
          <cell r="A1951" t="str">
            <v>6724917</v>
          </cell>
          <cell r="B1951" t="str">
            <v>1103213</v>
          </cell>
          <cell r="C1951" t="str">
            <v>90H-2HS</v>
          </cell>
          <cell r="D1951" t="str">
            <v>90H</v>
          </cell>
          <cell r="E1951" t="str">
            <v>HANDCUFF POUCHTOP FLAP</v>
          </cell>
          <cell r="F1951" t="str">
            <v>DG-POUCH-F1</v>
          </cell>
          <cell r="G1951" t="str">
            <v>1420-210-FG</v>
          </cell>
          <cell r="H1951" t="str">
            <v>R</v>
          </cell>
          <cell r="I1951" t="str">
            <v>06/04/2024</v>
          </cell>
          <cell r="J1951" t="str">
            <v>06/10/2024</v>
          </cell>
          <cell r="K1951" t="str">
            <v>06/24/2024</v>
          </cell>
          <cell r="L1951">
            <v>30</v>
          </cell>
          <cell r="M1951" t="str">
            <v>6/5/2024 3:03:18 PM</v>
          </cell>
          <cell r="N1951" t="str">
            <v>26</v>
          </cell>
          <cell r="O1951">
            <v>30</v>
          </cell>
          <cell r="P1951">
            <v>9.82</v>
          </cell>
        </row>
        <row r="1952">
          <cell r="A1952" t="str">
            <v>6724918</v>
          </cell>
          <cell r="B1952" t="str">
            <v>1103283</v>
          </cell>
          <cell r="C1952" t="str">
            <v>90H-9HS</v>
          </cell>
          <cell r="D1952" t="str">
            <v>90H</v>
          </cell>
          <cell r="E1952" t="str">
            <v>HANDCUFF POUCHTOP FLAP</v>
          </cell>
          <cell r="F1952" t="str">
            <v>DG-POUCH-F1</v>
          </cell>
          <cell r="G1952" t="str">
            <v>1420-210-FG</v>
          </cell>
          <cell r="H1952" t="str">
            <v>R</v>
          </cell>
          <cell r="I1952" t="str">
            <v>06/04/2024</v>
          </cell>
          <cell r="J1952" t="str">
            <v>06/10/2024</v>
          </cell>
          <cell r="K1952" t="str">
            <v>06/24/2024</v>
          </cell>
          <cell r="L1952">
            <v>20</v>
          </cell>
          <cell r="M1952" t="str">
            <v>6/5/2024 3:03:18 PM</v>
          </cell>
          <cell r="N1952" t="str">
            <v>26</v>
          </cell>
          <cell r="O1952">
            <v>20</v>
          </cell>
          <cell r="P1952">
            <v>6.54</v>
          </cell>
        </row>
        <row r="1953">
          <cell r="A1953" t="str">
            <v>6728838</v>
          </cell>
          <cell r="B1953" t="str">
            <v>1167164</v>
          </cell>
          <cell r="C1953" t="str">
            <v>MH6004-10-BLK</v>
          </cell>
          <cell r="D1953" t="str">
            <v>MH6004</v>
          </cell>
          <cell r="E1953" t="str">
            <v>HARNESS W/SINGLE ELASTIC FOR 6004-10 BKA</v>
          </cell>
          <cell r="F1953" t="str">
            <v>DG-HARNESS-DTC</v>
          </cell>
          <cell r="G1953" t="str">
            <v>1420-210-SB</v>
          </cell>
          <cell r="H1953" t="str">
            <v>F</v>
          </cell>
          <cell r="I1953" t="str">
            <v>06/13/2024</v>
          </cell>
          <cell r="J1953" t="str">
            <v>06/13/2024</v>
          </cell>
          <cell r="K1953" t="str">
            <v>06/24/2024</v>
          </cell>
          <cell r="L1953">
            <v>1</v>
          </cell>
          <cell r="M1953" t="str">
            <v/>
          </cell>
          <cell r="N1953" t="str">
            <v>26</v>
          </cell>
          <cell r="O1953">
            <v>1</v>
          </cell>
          <cell r="P1953">
            <v>0.24</v>
          </cell>
        </row>
        <row r="1954">
          <cell r="A1954" t="str">
            <v>6726584</v>
          </cell>
          <cell r="B1954" t="str">
            <v>1318145</v>
          </cell>
          <cell r="C1954" t="str">
            <v>MH6004-10-ODG</v>
          </cell>
          <cell r="D1954" t="str">
            <v>MH6004</v>
          </cell>
          <cell r="E1954" t="str">
            <v>HARNESS W/SINGLE ELASTIC FOR 6004-10 ODG</v>
          </cell>
          <cell r="F1954" t="str">
            <v>DG-HARNESS</v>
          </cell>
          <cell r="G1954" t="str">
            <v>1420-210-SB</v>
          </cell>
          <cell r="H1954" t="str">
            <v>F</v>
          </cell>
          <cell r="I1954" t="str">
            <v>06/10/2024</v>
          </cell>
          <cell r="J1954" t="str">
            <v>06/10/2024</v>
          </cell>
          <cell r="K1954" t="str">
            <v>06/24/2024</v>
          </cell>
          <cell r="L1954">
            <v>4</v>
          </cell>
          <cell r="M1954" t="str">
            <v/>
          </cell>
          <cell r="N1954" t="str">
            <v>26</v>
          </cell>
          <cell r="O1954">
            <v>4</v>
          </cell>
          <cell r="P1954">
            <v>0.53</v>
          </cell>
        </row>
        <row r="1955">
          <cell r="A1955" t="str">
            <v>6727647</v>
          </cell>
          <cell r="B1955" t="str">
            <v>1336041</v>
          </cell>
          <cell r="C1955" t="str">
            <v>INCOG-0-58-A-7-CX1-61-MC</v>
          </cell>
          <cell r="D1955" t="str">
            <v>INCOG</v>
          </cell>
          <cell r="E1955" t="str">
            <v>INCOG  STACCATO RDS LGT CLIP MCDY BLK RT</v>
          </cell>
          <cell r="F1955" t="str">
            <v>DG-HOLSTER-INC</v>
          </cell>
          <cell r="G1955" t="str">
            <v>1420-210-FG</v>
          </cell>
          <cell r="H1955" t="str">
            <v>R</v>
          </cell>
          <cell r="I1955" t="str">
            <v>06/11/2024</v>
          </cell>
          <cell r="J1955" t="str">
            <v>06/11/2024</v>
          </cell>
          <cell r="K1955" t="str">
            <v>06/24/2024</v>
          </cell>
          <cell r="L1955">
            <v>10</v>
          </cell>
          <cell r="M1955" t="str">
            <v>6/13/2024 10:33:00 AM</v>
          </cell>
          <cell r="N1955" t="str">
            <v>26</v>
          </cell>
          <cell r="O1955">
            <v>10</v>
          </cell>
          <cell r="P1955">
            <v>5.8</v>
          </cell>
        </row>
        <row r="1956">
          <cell r="A1956" t="str">
            <v>6727644</v>
          </cell>
          <cell r="B1956" t="str">
            <v>1334548</v>
          </cell>
          <cell r="C1956" t="str">
            <v>INCOG-0-835-A-7-CX1-61-MC</v>
          </cell>
          <cell r="D1956" t="str">
            <v>INCOG</v>
          </cell>
          <cell r="E1956" t="str">
            <v>INCOG GLK 19/17 RDS LGT CLIP MCDY BLK RT</v>
          </cell>
          <cell r="F1956" t="str">
            <v>DG-HOLSTER-INC</v>
          </cell>
          <cell r="G1956" t="str">
            <v>1420-210-FG</v>
          </cell>
          <cell r="H1956" t="str">
            <v>R</v>
          </cell>
          <cell r="I1956" t="str">
            <v>06/11/2024</v>
          </cell>
          <cell r="J1956" t="str">
            <v>06/11/2024</v>
          </cell>
          <cell r="K1956" t="str">
            <v>06/24/2024</v>
          </cell>
          <cell r="L1956">
            <v>150</v>
          </cell>
          <cell r="M1956" t="str">
            <v>6/13/2024 10:32:45 AM</v>
          </cell>
          <cell r="N1956" t="str">
            <v>26</v>
          </cell>
          <cell r="O1956">
            <v>150</v>
          </cell>
          <cell r="P1956">
            <v>87.45</v>
          </cell>
        </row>
        <row r="1957">
          <cell r="A1957" t="str">
            <v>6728124</v>
          </cell>
          <cell r="B1957" t="str">
            <v>1334627</v>
          </cell>
          <cell r="C1957" t="str">
            <v>INCOG-0-895-A-7S-CX1-61</v>
          </cell>
          <cell r="D1957" t="str">
            <v>INCOG</v>
          </cell>
          <cell r="E1957" t="str">
            <v>INCOG GLK 43X/48 RDS LGT CLIP BLK SDE RT</v>
          </cell>
          <cell r="F1957" t="str">
            <v>DG-HOLSTER-INC</v>
          </cell>
          <cell r="G1957" t="str">
            <v>1420-210-FG</v>
          </cell>
          <cell r="H1957" t="str">
            <v>R</v>
          </cell>
          <cell r="I1957" t="str">
            <v>06/11/2024</v>
          </cell>
          <cell r="J1957" t="str">
            <v>06/12/2024</v>
          </cell>
          <cell r="K1957" t="str">
            <v>06/24/2024</v>
          </cell>
          <cell r="L1957">
            <v>75</v>
          </cell>
          <cell r="M1957" t="str">
            <v>6/13/2024 10:33:16 AM</v>
          </cell>
          <cell r="N1957" t="str">
            <v>26</v>
          </cell>
          <cell r="O1957">
            <v>75</v>
          </cell>
          <cell r="P1957">
            <v>28.73</v>
          </cell>
        </row>
        <row r="1958">
          <cell r="A1958" t="str">
            <v>6728591</v>
          </cell>
          <cell r="B1958" t="str">
            <v>1336045</v>
          </cell>
          <cell r="C1958" t="str">
            <v>INCOG-0-58-A-0-CX2-61</v>
          </cell>
          <cell r="D1958" t="str">
            <v>INCOG</v>
          </cell>
          <cell r="E1958" t="str">
            <v>INCOG STACCATO RDS CLIP BLK SDE RT</v>
          </cell>
          <cell r="F1958" t="str">
            <v>DG-HOLSTER-INC</v>
          </cell>
          <cell r="G1958" t="str">
            <v>1420-210-FG</v>
          </cell>
          <cell r="H1958" t="str">
            <v>R</v>
          </cell>
          <cell r="I1958" t="str">
            <v>06/12/2024</v>
          </cell>
          <cell r="J1958" t="str">
            <v>06/12/2024</v>
          </cell>
          <cell r="K1958" t="str">
            <v>06/24/2024</v>
          </cell>
          <cell r="L1958">
            <v>15</v>
          </cell>
          <cell r="M1958" t="str">
            <v>6/13/2024 10:33:49 AM</v>
          </cell>
          <cell r="N1958" t="str">
            <v>26</v>
          </cell>
          <cell r="O1958">
            <v>15</v>
          </cell>
          <cell r="P1958">
            <v>3.3</v>
          </cell>
        </row>
        <row r="1959">
          <cell r="A1959" t="str">
            <v>6728590</v>
          </cell>
          <cell r="B1959" t="str">
            <v>1336043</v>
          </cell>
          <cell r="C1959" t="str">
            <v>INCOG-0-58-A-7-CX1-61</v>
          </cell>
          <cell r="D1959" t="str">
            <v>INCOG</v>
          </cell>
          <cell r="E1959" t="str">
            <v>INCOG STACCATO RDS LGT CLIP BLK SDE RT</v>
          </cell>
          <cell r="F1959" t="str">
            <v>DG-HOLSTER-INC</v>
          </cell>
          <cell r="G1959" t="str">
            <v>1420-210-FG</v>
          </cell>
          <cell r="H1959" t="str">
            <v>R</v>
          </cell>
          <cell r="I1959" t="str">
            <v>06/12/2024</v>
          </cell>
          <cell r="J1959" t="str">
            <v>06/12/2024</v>
          </cell>
          <cell r="K1959" t="str">
            <v>06/24/2024</v>
          </cell>
          <cell r="L1959">
            <v>15</v>
          </cell>
          <cell r="M1959" t="str">
            <v>6/13/2024 10:33:33 AM</v>
          </cell>
          <cell r="N1959" t="str">
            <v>26</v>
          </cell>
          <cell r="O1959">
            <v>15</v>
          </cell>
          <cell r="P1959">
            <v>5.75</v>
          </cell>
        </row>
        <row r="1960">
          <cell r="A1960" t="str">
            <v>6727686</v>
          </cell>
          <cell r="B1960" t="str">
            <v>1169343</v>
          </cell>
          <cell r="C1960" t="str">
            <v>27-183-62</v>
          </cell>
          <cell r="D1960" t="str">
            <v>27</v>
          </cell>
          <cell r="E1960" t="str">
            <v>INSIDE THE PANTS HOLSTER</v>
          </cell>
          <cell r="F1960" t="str">
            <v>DG-HOLSTER-SEW-DTC</v>
          </cell>
          <cell r="G1960" t="str">
            <v>1420-210-FG</v>
          </cell>
          <cell r="H1960" t="str">
            <v>R</v>
          </cell>
          <cell r="I1960" t="str">
            <v>06/11/2024</v>
          </cell>
          <cell r="J1960" t="str">
            <v>06/11/2024</v>
          </cell>
          <cell r="K1960" t="str">
            <v>06/24/2024</v>
          </cell>
          <cell r="L1960">
            <v>5</v>
          </cell>
          <cell r="M1960" t="str">
            <v>6/13/2024 11:03:26 AM</v>
          </cell>
          <cell r="N1960" t="str">
            <v>26</v>
          </cell>
          <cell r="O1960">
            <v>5</v>
          </cell>
          <cell r="P1960">
            <v>1.05</v>
          </cell>
        </row>
        <row r="1961">
          <cell r="A1961" t="str">
            <v>6727685</v>
          </cell>
          <cell r="B1961" t="str">
            <v>1097609</v>
          </cell>
          <cell r="C1961" t="str">
            <v>27-01-61</v>
          </cell>
          <cell r="D1961" t="str">
            <v>27</v>
          </cell>
          <cell r="E1961" t="str">
            <v>INSIDE-THE-PANTS HOLSTER</v>
          </cell>
          <cell r="F1961" t="str">
            <v>DG-HOLSTER-SEW-DTC</v>
          </cell>
          <cell r="G1961" t="str">
            <v>1420-210-FG</v>
          </cell>
          <cell r="H1961" t="str">
            <v>R</v>
          </cell>
          <cell r="I1961" t="str">
            <v>06/11/2024</v>
          </cell>
          <cell r="J1961" t="str">
            <v>06/11/2024</v>
          </cell>
          <cell r="K1961" t="str">
            <v>06/24/2024</v>
          </cell>
          <cell r="L1961">
            <v>5</v>
          </cell>
          <cell r="M1961" t="str">
            <v>6/13/2024 11:00:17 AM</v>
          </cell>
          <cell r="N1961" t="str">
            <v>26</v>
          </cell>
          <cell r="O1961">
            <v>5</v>
          </cell>
          <cell r="P1961">
            <v>0.81</v>
          </cell>
        </row>
        <row r="1962">
          <cell r="A1962" t="str">
            <v>6727253</v>
          </cell>
          <cell r="B1962" t="str">
            <v>1097613</v>
          </cell>
          <cell r="C1962" t="str">
            <v>27-77-61</v>
          </cell>
          <cell r="D1962" t="str">
            <v>27</v>
          </cell>
          <cell r="E1962" t="str">
            <v>INSIDE-THE-PANTS HOLSTER</v>
          </cell>
          <cell r="F1962" t="str">
            <v>DG-HOLSTER-SEW-DTC</v>
          </cell>
          <cell r="G1962" t="str">
            <v>1420-210-FG</v>
          </cell>
          <cell r="H1962" t="str">
            <v>R</v>
          </cell>
          <cell r="I1962" t="str">
            <v>06/10/2024</v>
          </cell>
          <cell r="J1962" t="str">
            <v>06/10/2024</v>
          </cell>
          <cell r="K1962" t="str">
            <v>06/24/2024</v>
          </cell>
          <cell r="L1962">
            <v>5</v>
          </cell>
          <cell r="M1962" t="str">
            <v>6/13/2024 11:00:02 AM</v>
          </cell>
          <cell r="N1962" t="str">
            <v>26</v>
          </cell>
          <cell r="O1962">
            <v>5</v>
          </cell>
          <cell r="P1962">
            <v>1.05</v>
          </cell>
        </row>
        <row r="1963">
          <cell r="A1963" t="str">
            <v>6726195</v>
          </cell>
          <cell r="B1963" t="str">
            <v>1097614</v>
          </cell>
          <cell r="C1963" t="str">
            <v>27-77-62</v>
          </cell>
          <cell r="D1963" t="str">
            <v>27</v>
          </cell>
          <cell r="E1963" t="str">
            <v>INSIDE-THE-PANTS HOLSTER</v>
          </cell>
          <cell r="F1963" t="str">
            <v>DG-HOLSTER-SEW-DTC</v>
          </cell>
          <cell r="G1963" t="str">
            <v>1420-210-FG</v>
          </cell>
          <cell r="H1963" t="str">
            <v>R</v>
          </cell>
          <cell r="I1963" t="str">
            <v>06/07/2024</v>
          </cell>
          <cell r="J1963" t="str">
            <v>06/07/2024</v>
          </cell>
          <cell r="K1963" t="str">
            <v>06/24/2024</v>
          </cell>
          <cell r="L1963">
            <v>5</v>
          </cell>
          <cell r="M1963" t="str">
            <v>6/13/2024 10:59:46 AM</v>
          </cell>
          <cell r="N1963" t="str">
            <v>26</v>
          </cell>
          <cell r="O1963">
            <v>5</v>
          </cell>
          <cell r="P1963">
            <v>1.05</v>
          </cell>
        </row>
        <row r="1964">
          <cell r="A1964" t="str">
            <v>6726792</v>
          </cell>
          <cell r="B1964" t="str">
            <v>1323234</v>
          </cell>
          <cell r="C1964" t="str">
            <v>6009-110-2-NP</v>
          </cell>
          <cell r="D1964" t="str">
            <v>6009</v>
          </cell>
          <cell r="E1964" t="str">
            <v>LEG SHROUD SML</v>
          </cell>
          <cell r="F1964" t="str">
            <v>DG-HARNESS</v>
          </cell>
          <cell r="G1964" t="str">
            <v>1420-210-FG</v>
          </cell>
          <cell r="H1964" t="str">
            <v>R</v>
          </cell>
          <cell r="I1964" t="str">
            <v>06/10/2024</v>
          </cell>
          <cell r="J1964" t="str">
            <v>06/10/2024</v>
          </cell>
          <cell r="K1964" t="str">
            <v>06/24/2024</v>
          </cell>
          <cell r="L1964">
            <v>100</v>
          </cell>
          <cell r="M1964" t="str">
            <v>6/13/2024 8:15:32 AM</v>
          </cell>
          <cell r="N1964" t="str">
            <v>26</v>
          </cell>
          <cell r="O1964">
            <v>100</v>
          </cell>
          <cell r="P1964">
            <v>5.88</v>
          </cell>
        </row>
        <row r="1965">
          <cell r="A1965" t="str">
            <v>6724054</v>
          </cell>
          <cell r="B1965" t="str">
            <v>1098765</v>
          </cell>
          <cell r="C1965" t="str">
            <v>38-2-4</v>
          </cell>
          <cell r="D1965" t="str">
            <v>38</v>
          </cell>
          <cell r="E1965" t="str">
            <v>MACE HOLDERTOP FLAP</v>
          </cell>
          <cell r="F1965" t="str">
            <v>DG-POUCH-F1</v>
          </cell>
          <cell r="G1965" t="str">
            <v>1420-210-FG</v>
          </cell>
          <cell r="H1965" t="str">
            <v>R</v>
          </cell>
          <cell r="I1965" t="str">
            <v>06/03/2024</v>
          </cell>
          <cell r="J1965" t="str">
            <v>06/10/2024</v>
          </cell>
          <cell r="K1965" t="str">
            <v>06/24/2024</v>
          </cell>
          <cell r="L1965">
            <v>15</v>
          </cell>
          <cell r="M1965" t="str">
            <v>6/3/2024 4:31:15 PM</v>
          </cell>
          <cell r="N1965" t="str">
            <v>26</v>
          </cell>
          <cell r="O1965">
            <v>15</v>
          </cell>
          <cell r="P1965">
            <v>4.8600000000000003</v>
          </cell>
        </row>
        <row r="1966">
          <cell r="A1966" t="str">
            <v>6726246</v>
          </cell>
          <cell r="B1966" t="str">
            <v>1098996</v>
          </cell>
          <cell r="C1966" t="str">
            <v>38-4-9HS</v>
          </cell>
          <cell r="D1966" t="str">
            <v>38</v>
          </cell>
          <cell r="E1966" t="str">
            <v>MACE HOLDERTOP FLAP</v>
          </cell>
          <cell r="F1966" t="str">
            <v>DG-POUCH-F1</v>
          </cell>
          <cell r="G1966" t="str">
            <v>1420-210-FG</v>
          </cell>
          <cell r="H1966" t="str">
            <v>R</v>
          </cell>
          <cell r="I1966" t="str">
            <v>06/07/2024</v>
          </cell>
          <cell r="J1966" t="str">
            <v>06/10/2024</v>
          </cell>
          <cell r="K1966" t="str">
            <v>06/24/2024</v>
          </cell>
          <cell r="L1966">
            <v>25</v>
          </cell>
          <cell r="M1966" t="str">
            <v>6/7/2024 11:51:05 AM</v>
          </cell>
          <cell r="N1966" t="str">
            <v>26</v>
          </cell>
          <cell r="O1966">
            <v>25</v>
          </cell>
          <cell r="P1966">
            <v>7.6</v>
          </cell>
        </row>
        <row r="1967">
          <cell r="A1967" t="str">
            <v>6724915</v>
          </cell>
          <cell r="B1967" t="str">
            <v>1102788</v>
          </cell>
          <cell r="C1967" t="str">
            <v>77-118-03B</v>
          </cell>
          <cell r="D1967" t="str">
            <v>77</v>
          </cell>
          <cell r="E1967" t="str">
            <v>MAGAZINE HOLDER DOUBLE</v>
          </cell>
          <cell r="F1967" t="str">
            <v>DG-POUCH-F1</v>
          </cell>
          <cell r="G1967" t="str">
            <v>1420-210-FG</v>
          </cell>
          <cell r="H1967" t="str">
            <v>R</v>
          </cell>
          <cell r="I1967" t="str">
            <v>06/04/2024</v>
          </cell>
          <cell r="J1967" t="str">
            <v>06/10/2024</v>
          </cell>
          <cell r="K1967" t="str">
            <v>06/24/2024</v>
          </cell>
          <cell r="L1967">
            <v>1</v>
          </cell>
          <cell r="M1967" t="str">
            <v>6/5/2024 3:03:18 PM</v>
          </cell>
          <cell r="N1967" t="str">
            <v>26</v>
          </cell>
          <cell r="O1967">
            <v>1</v>
          </cell>
          <cell r="P1967">
            <v>0.41</v>
          </cell>
        </row>
        <row r="1968">
          <cell r="A1968" t="str">
            <v>6726819</v>
          </cell>
          <cell r="B1968" t="str">
            <v>1121380</v>
          </cell>
          <cell r="C1968" t="str">
            <v>6280-90-131</v>
          </cell>
          <cell r="D1968" t="str">
            <v>6280</v>
          </cell>
          <cell r="E1968" t="str">
            <v>MID-RIDE LEVEL II OR LEVEL III</v>
          </cell>
          <cell r="F1968" t="str">
            <v>DG-HOLSTER</v>
          </cell>
          <cell r="G1968" t="str">
            <v>1420-210-FG</v>
          </cell>
          <cell r="H1968" t="str">
            <v>R</v>
          </cell>
          <cell r="I1968" t="str">
            <v>06/10/2024</v>
          </cell>
          <cell r="J1968" t="str">
            <v>06/10/2024</v>
          </cell>
          <cell r="K1968" t="str">
            <v>06/24/2024</v>
          </cell>
          <cell r="L1968">
            <v>5</v>
          </cell>
          <cell r="M1968" t="str">
            <v>6/13/2024 11:02:36 AM</v>
          </cell>
          <cell r="N1968" t="str">
            <v>26</v>
          </cell>
          <cell r="O1968">
            <v>5</v>
          </cell>
          <cell r="P1968">
            <v>1.3</v>
          </cell>
        </row>
        <row r="1969">
          <cell r="A1969" t="str">
            <v>6726601</v>
          </cell>
          <cell r="B1969" t="str">
            <v>1016107</v>
          </cell>
          <cell r="C1969" t="str">
            <v>17382</v>
          </cell>
          <cell r="D1969" t="str">
            <v>7200</v>
          </cell>
          <cell r="E1969" t="str">
            <v>NYLON DUTY BELT BLK SZ LRG 40-46</v>
          </cell>
          <cell r="F1969" t="str">
            <v>BN-BELT</v>
          </cell>
          <cell r="G1969" t="str">
            <v>1420-210-FG</v>
          </cell>
          <cell r="H1969" t="str">
            <v>R</v>
          </cell>
          <cell r="I1969" t="str">
            <v>06/10/2024</v>
          </cell>
          <cell r="J1969" t="str">
            <v>06/10/2024</v>
          </cell>
          <cell r="K1969" t="str">
            <v>06/24/2024</v>
          </cell>
          <cell r="L1969">
            <v>100</v>
          </cell>
          <cell r="M1969" t="str">
            <v>6/11/2024 2:36:12 PM</v>
          </cell>
          <cell r="N1969" t="str">
            <v>26</v>
          </cell>
          <cell r="O1969">
            <v>100</v>
          </cell>
          <cell r="P1969">
            <v>17.010000000000002</v>
          </cell>
        </row>
        <row r="1970">
          <cell r="A1970" t="str">
            <v>6726605</v>
          </cell>
          <cell r="B1970" t="str">
            <v>1016140</v>
          </cell>
          <cell r="C1970" t="str">
            <v>17383</v>
          </cell>
          <cell r="D1970" t="str">
            <v>7200</v>
          </cell>
          <cell r="E1970" t="str">
            <v>NYLON DUTY BELT BLK SZ XLG 46-52</v>
          </cell>
          <cell r="F1970" t="str">
            <v>BN-BELT</v>
          </cell>
          <cell r="G1970" t="str">
            <v>1420-210-FG</v>
          </cell>
          <cell r="H1970" t="str">
            <v>R</v>
          </cell>
          <cell r="I1970" t="str">
            <v>06/10/2024</v>
          </cell>
          <cell r="J1970" t="str">
            <v>06/10/2024</v>
          </cell>
          <cell r="K1970" t="str">
            <v>06/24/2024</v>
          </cell>
          <cell r="L1970">
            <v>100</v>
          </cell>
          <cell r="M1970" t="str">
            <v>6/11/2024 2:36:12 PM</v>
          </cell>
          <cell r="N1970" t="str">
            <v>26</v>
          </cell>
          <cell r="O1970">
            <v>100</v>
          </cell>
          <cell r="P1970">
            <v>17.25</v>
          </cell>
        </row>
        <row r="1971">
          <cell r="A1971" t="str">
            <v>6726621</v>
          </cell>
          <cell r="B1971" t="str">
            <v>1016365</v>
          </cell>
          <cell r="C1971" t="str">
            <v>17708</v>
          </cell>
          <cell r="D1971" t="str">
            <v>7205</v>
          </cell>
          <cell r="E1971" t="str">
            <v>NYLON LINER BELT BLK 1.5IN  SZ LRG 40-46</v>
          </cell>
          <cell r="F1971" t="str">
            <v>BN-BELT</v>
          </cell>
          <cell r="G1971" t="str">
            <v>1420-210-FG</v>
          </cell>
          <cell r="H1971" t="str">
            <v>F</v>
          </cell>
          <cell r="I1971" t="str">
            <v>06/10/2024</v>
          </cell>
          <cell r="J1971" t="str">
            <v>06/10/2024</v>
          </cell>
          <cell r="K1971" t="str">
            <v>06/24/2024</v>
          </cell>
          <cell r="L1971">
            <v>100</v>
          </cell>
          <cell r="M1971" t="str">
            <v/>
          </cell>
          <cell r="N1971" t="str">
            <v>26</v>
          </cell>
          <cell r="O1971">
            <v>100</v>
          </cell>
          <cell r="P1971">
            <v>11.32</v>
          </cell>
        </row>
        <row r="1972">
          <cell r="A1972" t="str">
            <v>6726618</v>
          </cell>
          <cell r="B1972" t="str">
            <v>1016364</v>
          </cell>
          <cell r="C1972" t="str">
            <v>17707</v>
          </cell>
          <cell r="D1972" t="str">
            <v>7205</v>
          </cell>
          <cell r="E1972" t="str">
            <v>NYLON LINER BELT BLK 1.5IN  SZ MED 34-40</v>
          </cell>
          <cell r="F1972" t="str">
            <v>BN-BELT</v>
          </cell>
          <cell r="G1972" t="str">
            <v>1420-210-FG</v>
          </cell>
          <cell r="H1972" t="str">
            <v>F</v>
          </cell>
          <cell r="I1972" t="str">
            <v>06/10/2024</v>
          </cell>
          <cell r="J1972" t="str">
            <v>06/10/2024</v>
          </cell>
          <cell r="K1972" t="str">
            <v>06/24/2024</v>
          </cell>
          <cell r="L1972">
            <v>100</v>
          </cell>
          <cell r="M1972" t="str">
            <v/>
          </cell>
          <cell r="N1972" t="str">
            <v>26</v>
          </cell>
          <cell r="O1972">
            <v>100</v>
          </cell>
          <cell r="P1972">
            <v>11.32</v>
          </cell>
        </row>
        <row r="1973">
          <cell r="A1973" t="str">
            <v>6726619</v>
          </cell>
          <cell r="B1973" t="str">
            <v>1016364</v>
          </cell>
          <cell r="C1973" t="str">
            <v>17707</v>
          </cell>
          <cell r="D1973" t="str">
            <v>7205</v>
          </cell>
          <cell r="E1973" t="str">
            <v>NYLON LINER BELT BLK 1.5IN  SZ MED 34-40</v>
          </cell>
          <cell r="F1973" t="str">
            <v>BN-BELT</v>
          </cell>
          <cell r="G1973" t="str">
            <v>1420-210-FG</v>
          </cell>
          <cell r="H1973" t="str">
            <v>R</v>
          </cell>
          <cell r="I1973" t="str">
            <v>06/10/2024</v>
          </cell>
          <cell r="J1973" t="str">
            <v>06/10/2024</v>
          </cell>
          <cell r="K1973" t="str">
            <v>06/24/2024</v>
          </cell>
          <cell r="L1973">
            <v>100</v>
          </cell>
          <cell r="M1973" t="str">
            <v>6/11/2024 2:36:12 PM</v>
          </cell>
          <cell r="N1973" t="str">
            <v>26</v>
          </cell>
          <cell r="O1973">
            <v>100</v>
          </cell>
          <cell r="P1973">
            <v>11.32</v>
          </cell>
        </row>
        <row r="1974">
          <cell r="A1974" t="str">
            <v>6726606</v>
          </cell>
          <cell r="B1974" t="str">
            <v>1016363</v>
          </cell>
          <cell r="C1974" t="str">
            <v>17706</v>
          </cell>
          <cell r="D1974" t="str">
            <v>7205</v>
          </cell>
          <cell r="E1974" t="str">
            <v>NYLON LINER BELT BLK 1.5IN  SZ SML 28-34</v>
          </cell>
          <cell r="F1974" t="str">
            <v>BN-BELT</v>
          </cell>
          <cell r="G1974" t="str">
            <v>1420-210-FG</v>
          </cell>
          <cell r="H1974" t="str">
            <v>R</v>
          </cell>
          <cell r="I1974" t="str">
            <v>06/10/2024</v>
          </cell>
          <cell r="J1974" t="str">
            <v>06/10/2024</v>
          </cell>
          <cell r="K1974" t="str">
            <v>06/24/2024</v>
          </cell>
          <cell r="L1974">
            <v>100</v>
          </cell>
          <cell r="M1974" t="str">
            <v>6/11/2024 2:36:12 PM</v>
          </cell>
          <cell r="N1974" t="str">
            <v>26</v>
          </cell>
          <cell r="O1974">
            <v>100</v>
          </cell>
          <cell r="P1974">
            <v>11.32</v>
          </cell>
        </row>
        <row r="1975">
          <cell r="A1975" t="str">
            <v>6727523</v>
          </cell>
          <cell r="B1975" t="str">
            <v>1014342</v>
          </cell>
          <cell r="C1975" t="str">
            <v>24418</v>
          </cell>
          <cell r="D1975" t="str">
            <v>7215</v>
          </cell>
          <cell r="E1975" t="str">
            <v>NYLON WEB BELT 2.25 BLK MD W/DRAG LOOP</v>
          </cell>
          <cell r="F1975" t="str">
            <v>BN-BELT</v>
          </cell>
          <cell r="G1975" t="str">
            <v>1420-210-FG</v>
          </cell>
          <cell r="H1975" t="str">
            <v>R</v>
          </cell>
          <cell r="I1975" t="str">
            <v>06/11/2024</v>
          </cell>
          <cell r="J1975" t="str">
            <v>06/11/2024</v>
          </cell>
          <cell r="K1975" t="str">
            <v>06/24/2024</v>
          </cell>
          <cell r="L1975">
            <v>5</v>
          </cell>
          <cell r="M1975" t="str">
            <v>6/11/2024 2:36:12 PM</v>
          </cell>
          <cell r="N1975" t="str">
            <v>26</v>
          </cell>
          <cell r="O1975">
            <v>5</v>
          </cell>
          <cell r="P1975">
            <v>2.1</v>
          </cell>
        </row>
        <row r="1976">
          <cell r="A1976" t="str">
            <v>6724624</v>
          </cell>
          <cell r="B1976" t="str">
            <v>1165706</v>
          </cell>
          <cell r="C1976" t="str">
            <v>6005VE-7-56</v>
          </cell>
          <cell r="D1976" t="str">
            <v>6005VE</v>
          </cell>
          <cell r="E1976" t="str">
            <v>QUICK RELEASE ENHANCED HOOK - LOOP</v>
          </cell>
          <cell r="F1976" t="str">
            <v>DG-HARNESS-DTC</v>
          </cell>
          <cell r="G1976" t="str">
            <v>1420-210-FG</v>
          </cell>
          <cell r="H1976" t="str">
            <v>R</v>
          </cell>
          <cell r="I1976" t="str">
            <v>06/04/2024</v>
          </cell>
          <cell r="J1976" t="str">
            <v>06/10/2024</v>
          </cell>
          <cell r="K1976" t="str">
            <v>06/24/2024</v>
          </cell>
          <cell r="L1976">
            <v>1</v>
          </cell>
          <cell r="M1976" t="str">
            <v>6/6/2024 3:39:55 PM</v>
          </cell>
          <cell r="N1976" t="str">
            <v>26</v>
          </cell>
          <cell r="O1976">
            <v>1</v>
          </cell>
          <cell r="P1976">
            <v>0.03</v>
          </cell>
        </row>
        <row r="1977">
          <cell r="A1977" t="str">
            <v>6724921</v>
          </cell>
          <cell r="B1977" t="str">
            <v>1102646</v>
          </cell>
          <cell r="C1977" t="str">
            <v>763-9</v>
          </cell>
          <cell r="D1977" t="str">
            <v>763</v>
          </cell>
          <cell r="E1977" t="str">
            <v>RADIO CARRIER</v>
          </cell>
          <cell r="F1977" t="str">
            <v>DG-POUCH-F2-F3</v>
          </cell>
          <cell r="G1977" t="str">
            <v>1420-210-FG</v>
          </cell>
          <cell r="H1977" t="str">
            <v>R</v>
          </cell>
          <cell r="I1977" t="str">
            <v>06/04/2024</v>
          </cell>
          <cell r="J1977" t="str">
            <v>06/10/2024</v>
          </cell>
          <cell r="K1977" t="str">
            <v>06/24/2024</v>
          </cell>
          <cell r="L1977">
            <v>20</v>
          </cell>
          <cell r="M1977" t="str">
            <v>6/4/2024 2:21:04 PM</v>
          </cell>
          <cell r="N1977" t="str">
            <v>26</v>
          </cell>
          <cell r="O1977">
            <v>20</v>
          </cell>
          <cell r="P1977">
            <v>5.87</v>
          </cell>
        </row>
        <row r="1978">
          <cell r="A1978" t="str">
            <v>6724913</v>
          </cell>
          <cell r="B1978" t="str">
            <v>1102552</v>
          </cell>
          <cell r="C1978" t="str">
            <v>761-3-2</v>
          </cell>
          <cell r="D1978" t="str">
            <v>761</v>
          </cell>
          <cell r="E1978" t="str">
            <v>RADIO CARRIER FORMED PCH ADJ</v>
          </cell>
          <cell r="F1978" t="str">
            <v>DG-POUCH-F1</v>
          </cell>
          <cell r="G1978" t="str">
            <v>1420-210-FG</v>
          </cell>
          <cell r="H1978" t="str">
            <v>R</v>
          </cell>
          <cell r="I1978" t="str">
            <v>06/04/2024</v>
          </cell>
          <cell r="J1978" t="str">
            <v>06/10/2024</v>
          </cell>
          <cell r="K1978" t="str">
            <v>06/24/2024</v>
          </cell>
          <cell r="L1978">
            <v>5</v>
          </cell>
          <cell r="M1978" t="str">
            <v>6/5/2024 3:03:18 PM</v>
          </cell>
          <cell r="N1978" t="str">
            <v>26</v>
          </cell>
          <cell r="O1978">
            <v>5</v>
          </cell>
          <cell r="P1978">
            <v>1.76</v>
          </cell>
        </row>
        <row r="1979">
          <cell r="A1979" t="str">
            <v>6724914</v>
          </cell>
          <cell r="B1979" t="str">
            <v>1102566</v>
          </cell>
          <cell r="C1979" t="str">
            <v>761-5-9</v>
          </cell>
          <cell r="D1979" t="str">
            <v>761</v>
          </cell>
          <cell r="E1979" t="str">
            <v>RADIO CARRIER FORMED PCH ADJ</v>
          </cell>
          <cell r="F1979" t="str">
            <v>DG-POUCH-F1</v>
          </cell>
          <cell r="G1979" t="str">
            <v>1420-210-FG</v>
          </cell>
          <cell r="H1979" t="str">
            <v>R</v>
          </cell>
          <cell r="I1979" t="str">
            <v>06/04/2024</v>
          </cell>
          <cell r="J1979" t="str">
            <v>06/10/2024</v>
          </cell>
          <cell r="K1979" t="str">
            <v>06/24/2024</v>
          </cell>
          <cell r="L1979">
            <v>5</v>
          </cell>
          <cell r="M1979" t="str">
            <v>6/5/2024 3:03:18 PM</v>
          </cell>
          <cell r="N1979" t="str">
            <v>26</v>
          </cell>
          <cell r="O1979">
            <v>5</v>
          </cell>
          <cell r="P1979">
            <v>1.76</v>
          </cell>
        </row>
        <row r="1980">
          <cell r="A1980" t="str">
            <v>6726243</v>
          </cell>
          <cell r="B1980" t="str">
            <v>1102635</v>
          </cell>
          <cell r="C1980" t="str">
            <v>762-5-4</v>
          </cell>
          <cell r="D1980" t="str">
            <v>762</v>
          </cell>
          <cell r="E1980" t="str">
            <v>RADIO CARRIER W/SWIVEL</v>
          </cell>
          <cell r="F1980" t="str">
            <v>DG-POUCH-F1</v>
          </cell>
          <cell r="G1980" t="str">
            <v>1420-210-FG</v>
          </cell>
          <cell r="H1980" t="str">
            <v>R</v>
          </cell>
          <cell r="I1980" t="str">
            <v>06/07/2024</v>
          </cell>
          <cell r="J1980" t="str">
            <v>06/10/2024</v>
          </cell>
          <cell r="K1980" t="str">
            <v>06/24/2024</v>
          </cell>
          <cell r="L1980">
            <v>25</v>
          </cell>
          <cell r="M1980" t="str">
            <v>6/7/2024 11:44:04 AM</v>
          </cell>
          <cell r="N1980" t="str">
            <v>26</v>
          </cell>
          <cell r="O1980">
            <v>25</v>
          </cell>
          <cell r="P1980">
            <v>10.63</v>
          </cell>
        </row>
        <row r="1981">
          <cell r="A1981" t="str">
            <v>6726580</v>
          </cell>
          <cell r="B1981" t="str">
            <v>1204793</v>
          </cell>
          <cell r="C1981" t="str">
            <v>SA-RGR-UBL-2</v>
          </cell>
          <cell r="D1981" t="str">
            <v>SA</v>
          </cell>
          <cell r="E1981" t="str">
            <v>RGR STRP FOR UBL PLN BLK</v>
          </cell>
          <cell r="F1981" t="str">
            <v>DG-HARNESS</v>
          </cell>
          <cell r="G1981" t="str">
            <v>1420-210-SB</v>
          </cell>
          <cell r="H1981" t="str">
            <v>F</v>
          </cell>
          <cell r="I1981" t="str">
            <v>06/10/2024</v>
          </cell>
          <cell r="J1981" t="str">
            <v>06/10/2024</v>
          </cell>
          <cell r="K1981" t="str">
            <v>06/24/2024</v>
          </cell>
          <cell r="L1981">
            <v>32</v>
          </cell>
          <cell r="M1981" t="str">
            <v/>
          </cell>
          <cell r="N1981" t="str">
            <v>26</v>
          </cell>
          <cell r="O1981">
            <v>32</v>
          </cell>
          <cell r="P1981">
            <v>4.26</v>
          </cell>
        </row>
        <row r="1982">
          <cell r="A1982" t="str">
            <v>6726691</v>
          </cell>
          <cell r="B1982" t="str">
            <v>1016027</v>
          </cell>
          <cell r="C1982" t="str">
            <v>18670</v>
          </cell>
          <cell r="D1982" t="str">
            <v>7</v>
          </cell>
          <cell r="E1982" t="str">
            <v xml:space="preserve">SHADOW II TAN RH GLOCK 20 </v>
          </cell>
          <cell r="F1982" t="str">
            <v>BN-LEATHER</v>
          </cell>
          <cell r="G1982" t="str">
            <v>1420-210-FG</v>
          </cell>
          <cell r="H1982" t="str">
            <v>R</v>
          </cell>
          <cell r="I1982" t="str">
            <v>06/10/2024</v>
          </cell>
          <cell r="J1982" t="str">
            <v>06/10/2024</v>
          </cell>
          <cell r="K1982" t="str">
            <v>06/24/2024</v>
          </cell>
          <cell r="L1982">
            <v>5</v>
          </cell>
          <cell r="M1982" t="str">
            <v>6/11/2024 2:54:07 PM</v>
          </cell>
          <cell r="N1982" t="str">
            <v>26</v>
          </cell>
          <cell r="O1982">
            <v>5</v>
          </cell>
          <cell r="P1982">
            <v>1.81</v>
          </cell>
        </row>
        <row r="1983">
          <cell r="A1983" t="str">
            <v>6727556</v>
          </cell>
          <cell r="B1983" t="str">
            <v>1015961</v>
          </cell>
          <cell r="C1983" t="str">
            <v>18622</v>
          </cell>
          <cell r="D1983" t="str">
            <v>7</v>
          </cell>
          <cell r="E1983" t="str">
            <v>SHADOW II TAN RH RUGER GP100 4IN REV</v>
          </cell>
          <cell r="F1983" t="str">
            <v>BN-LEATHER</v>
          </cell>
          <cell r="G1983" t="str">
            <v>1420-210-FG</v>
          </cell>
          <cell r="H1983" t="str">
            <v>R</v>
          </cell>
          <cell r="I1983" t="str">
            <v>06/11/2024</v>
          </cell>
          <cell r="J1983" t="str">
            <v>06/11/2024</v>
          </cell>
          <cell r="K1983" t="str">
            <v>06/24/2024</v>
          </cell>
          <cell r="L1983">
            <v>10</v>
          </cell>
          <cell r="M1983" t="str">
            <v>6/11/2024 2:54:07 PM</v>
          </cell>
          <cell r="N1983" t="str">
            <v>26</v>
          </cell>
          <cell r="O1983">
            <v>10</v>
          </cell>
          <cell r="P1983">
            <v>3.87</v>
          </cell>
        </row>
        <row r="1984">
          <cell r="A1984" t="str">
            <v>6728852</v>
          </cell>
          <cell r="B1984" t="str">
            <v>1134084</v>
          </cell>
          <cell r="C1984" t="str">
            <v>6004-27-55</v>
          </cell>
          <cell r="D1984" t="str">
            <v>6004</v>
          </cell>
          <cell r="E1984" t="str">
            <v>SMALL TACTICAL PLATE W/DFA QLS RECEIVER</v>
          </cell>
          <cell r="F1984" t="str">
            <v>DG-HARNESS-DTC</v>
          </cell>
          <cell r="G1984" t="str">
            <v>1420-210-FG</v>
          </cell>
          <cell r="H1984" t="str">
            <v>F</v>
          </cell>
          <cell r="I1984" t="str">
            <v>06/13/2024</v>
          </cell>
          <cell r="J1984" t="str">
            <v>06/13/2024</v>
          </cell>
          <cell r="K1984" t="str">
            <v>06/24/2024</v>
          </cell>
          <cell r="L1984">
            <v>75</v>
          </cell>
          <cell r="M1984" t="str">
            <v/>
          </cell>
          <cell r="N1984" t="str">
            <v>26</v>
          </cell>
          <cell r="O1984">
            <v>75</v>
          </cell>
          <cell r="P1984">
            <v>5.78</v>
          </cell>
        </row>
        <row r="1985">
          <cell r="A1985" t="str">
            <v>6724307</v>
          </cell>
          <cell r="B1985" t="str">
            <v>1335678</v>
          </cell>
          <cell r="C1985" t="str">
            <v>20-283-711</v>
          </cell>
          <cell r="D1985" t="str">
            <v>SPECIES</v>
          </cell>
          <cell r="E1985" t="str">
            <v>SPECIES GLOCK 19 COR BKMCAM RH</v>
          </cell>
          <cell r="F1985" t="str">
            <v>DG-HOLSTER</v>
          </cell>
          <cell r="G1985" t="str">
            <v>1420-210-FG</v>
          </cell>
          <cell r="H1985" t="str">
            <v>R</v>
          </cell>
          <cell r="I1985" t="str">
            <v>06/04/2024</v>
          </cell>
          <cell r="J1985" t="str">
            <v>06/04/2024</v>
          </cell>
          <cell r="K1985" t="str">
            <v>06/24/2024</v>
          </cell>
          <cell r="L1985">
            <v>2</v>
          </cell>
          <cell r="M1985" t="str">
            <v>6/13/2024 11:22:56 AM</v>
          </cell>
          <cell r="N1985" t="str">
            <v>26</v>
          </cell>
          <cell r="O1985">
            <v>2</v>
          </cell>
          <cell r="P1985">
            <v>0.46</v>
          </cell>
        </row>
        <row r="1986">
          <cell r="A1986" t="str">
            <v>6726904</v>
          </cell>
          <cell r="B1986" t="str">
            <v>1335678</v>
          </cell>
          <cell r="C1986" t="str">
            <v>20-283-711</v>
          </cell>
          <cell r="D1986" t="str">
            <v>SPECIES</v>
          </cell>
          <cell r="E1986" t="str">
            <v>SPECIES GLOCK 19 COR BKMCAM RH</v>
          </cell>
          <cell r="F1986" t="str">
            <v>DG-HOLSTER</v>
          </cell>
          <cell r="G1986" t="str">
            <v>1420-210-FG</v>
          </cell>
          <cell r="H1986" t="str">
            <v>R</v>
          </cell>
          <cell r="I1986" t="str">
            <v>06/10/2024</v>
          </cell>
          <cell r="J1986" t="str">
            <v>06/10/2024</v>
          </cell>
          <cell r="K1986" t="str">
            <v>06/24/2024</v>
          </cell>
          <cell r="L1986">
            <v>2</v>
          </cell>
          <cell r="M1986" t="str">
            <v>6/13/2024 11:22:56 AM</v>
          </cell>
          <cell r="N1986" t="str">
            <v>26</v>
          </cell>
          <cell r="O1986">
            <v>2</v>
          </cell>
          <cell r="P1986">
            <v>0.46</v>
          </cell>
        </row>
        <row r="1987">
          <cell r="A1987" t="str">
            <v>6727622</v>
          </cell>
          <cell r="B1987" t="str">
            <v>1335678</v>
          </cell>
          <cell r="C1987" t="str">
            <v>20-283-711</v>
          </cell>
          <cell r="D1987" t="str">
            <v>SPECIES</v>
          </cell>
          <cell r="E1987" t="str">
            <v>SPECIES GLOCK 19 COR BKMCAM RH</v>
          </cell>
          <cell r="F1987" t="str">
            <v>DG-HOLSTER</v>
          </cell>
          <cell r="G1987" t="str">
            <v>1420-210-FG</v>
          </cell>
          <cell r="H1987" t="str">
            <v>F</v>
          </cell>
          <cell r="I1987" t="str">
            <v>06/11/2024</v>
          </cell>
          <cell r="J1987" t="str">
            <v>06/11/2024</v>
          </cell>
          <cell r="K1987" t="str">
            <v>06/24/2024</v>
          </cell>
          <cell r="L1987">
            <v>1</v>
          </cell>
          <cell r="M1987" t="str">
            <v/>
          </cell>
          <cell r="N1987" t="str">
            <v>26</v>
          </cell>
          <cell r="O1987">
            <v>1</v>
          </cell>
          <cell r="P1987">
            <v>0.23</v>
          </cell>
        </row>
        <row r="1988">
          <cell r="A1988" t="str">
            <v>6726903</v>
          </cell>
          <cell r="B1988" t="str">
            <v>1333832</v>
          </cell>
          <cell r="C1988" t="str">
            <v>20-283-131</v>
          </cell>
          <cell r="D1988" t="str">
            <v>SPECIES</v>
          </cell>
          <cell r="E1988" t="str">
            <v>SPECIES GLOCK 19 STX TAC BLK RT</v>
          </cell>
          <cell r="F1988" t="str">
            <v>DG-HOLSTER</v>
          </cell>
          <cell r="G1988" t="str">
            <v>1420-210-FG</v>
          </cell>
          <cell r="H1988" t="str">
            <v>R</v>
          </cell>
          <cell r="I1988" t="str">
            <v>06/10/2024</v>
          </cell>
          <cell r="J1988" t="str">
            <v>06/10/2024</v>
          </cell>
          <cell r="K1988" t="str">
            <v>06/24/2024</v>
          </cell>
          <cell r="L1988">
            <v>4</v>
          </cell>
          <cell r="M1988" t="str">
            <v>6/13/2024 11:14:09 AM</v>
          </cell>
          <cell r="N1988" t="str">
            <v>26</v>
          </cell>
          <cell r="O1988">
            <v>4</v>
          </cell>
          <cell r="P1988">
            <v>0.49</v>
          </cell>
        </row>
        <row r="1989">
          <cell r="A1989" t="str">
            <v>6727959</v>
          </cell>
          <cell r="B1989" t="str">
            <v>1333832</v>
          </cell>
          <cell r="C1989" t="str">
            <v>20-283-131</v>
          </cell>
          <cell r="D1989" t="str">
            <v>SPECIES</v>
          </cell>
          <cell r="E1989" t="str">
            <v>SPECIES GLOCK 19 STX TAC BLK RT</v>
          </cell>
          <cell r="F1989" t="str">
            <v>DG-HOLSTER</v>
          </cell>
          <cell r="G1989" t="str">
            <v>1420-210-FG</v>
          </cell>
          <cell r="H1989" t="str">
            <v>R</v>
          </cell>
          <cell r="I1989" t="str">
            <v>06/11/2024</v>
          </cell>
          <cell r="J1989" t="str">
            <v>06/12/2024</v>
          </cell>
          <cell r="K1989" t="str">
            <v>06/24/2024</v>
          </cell>
          <cell r="L1989">
            <v>10</v>
          </cell>
          <cell r="M1989" t="str">
            <v>6/13/2024 11:14:09 AM</v>
          </cell>
          <cell r="N1989" t="str">
            <v>26</v>
          </cell>
          <cell r="O1989">
            <v>10</v>
          </cell>
          <cell r="P1989">
            <v>1.23</v>
          </cell>
        </row>
        <row r="1990">
          <cell r="A1990" t="str">
            <v>6726905</v>
          </cell>
          <cell r="B1990" t="str">
            <v>1335763</v>
          </cell>
          <cell r="C1990" t="str">
            <v>20-895-711</v>
          </cell>
          <cell r="D1990" t="str">
            <v>SPECIES</v>
          </cell>
          <cell r="E1990" t="str">
            <v>SPECIES GLOCK 43/43X COR BKMCAM RH</v>
          </cell>
          <cell r="F1990" t="str">
            <v>DG-HOLSTER</v>
          </cell>
          <cell r="G1990" t="str">
            <v>1420-210-FG</v>
          </cell>
          <cell r="H1990" t="str">
            <v>R</v>
          </cell>
          <cell r="I1990" t="str">
            <v>06/10/2024</v>
          </cell>
          <cell r="J1990" t="str">
            <v>06/10/2024</v>
          </cell>
          <cell r="K1990" t="str">
            <v>06/24/2024</v>
          </cell>
          <cell r="L1990">
            <v>1</v>
          </cell>
          <cell r="M1990" t="str">
            <v>6/13/2024 11:22:56 AM</v>
          </cell>
          <cell r="N1990" t="str">
            <v>26</v>
          </cell>
          <cell r="O1990">
            <v>1</v>
          </cell>
          <cell r="P1990">
            <v>0.2</v>
          </cell>
        </row>
        <row r="1991">
          <cell r="A1991" t="str">
            <v>6727967</v>
          </cell>
          <cell r="B1991" t="str">
            <v>1335762</v>
          </cell>
          <cell r="C1991" t="str">
            <v>20-895-701</v>
          </cell>
          <cell r="D1991" t="str">
            <v>SPECIES</v>
          </cell>
          <cell r="E1991" t="str">
            <v>SPECIES GLOCK 43/43X COR MLTCM RH</v>
          </cell>
          <cell r="F1991" t="str">
            <v>DG-HOLSTER</v>
          </cell>
          <cell r="G1991" t="str">
            <v>1420-210-FG</v>
          </cell>
          <cell r="H1991" t="str">
            <v>R</v>
          </cell>
          <cell r="I1991" t="str">
            <v>06/11/2024</v>
          </cell>
          <cell r="J1991" t="str">
            <v>06/17/2024</v>
          </cell>
          <cell r="K1991" t="str">
            <v>06/24/2024</v>
          </cell>
          <cell r="L1991">
            <v>5</v>
          </cell>
          <cell r="M1991" t="str">
            <v>6/13/2024 11:22:56 AM</v>
          </cell>
          <cell r="N1991" t="str">
            <v>26</v>
          </cell>
          <cell r="O1991">
            <v>5</v>
          </cell>
          <cell r="P1991">
            <v>0.96</v>
          </cell>
        </row>
        <row r="1992">
          <cell r="A1992" t="str">
            <v>6726909</v>
          </cell>
          <cell r="B1992" t="str">
            <v>1335811</v>
          </cell>
          <cell r="C1992" t="str">
            <v>20-896-711</v>
          </cell>
          <cell r="D1992" t="str">
            <v>SPECIES</v>
          </cell>
          <cell r="E1992" t="str">
            <v>SPECIES GLOCK 48 COR BKMCAM RH</v>
          </cell>
          <cell r="F1992" t="str">
            <v>DG-HOLSTER</v>
          </cell>
          <cell r="G1992" t="str">
            <v>1420-210-FG</v>
          </cell>
          <cell r="H1992" t="str">
            <v>R</v>
          </cell>
          <cell r="I1992" t="str">
            <v>06/10/2024</v>
          </cell>
          <cell r="J1992" t="str">
            <v>06/10/2024</v>
          </cell>
          <cell r="K1992" t="str">
            <v>06/24/2024</v>
          </cell>
          <cell r="L1992">
            <v>1</v>
          </cell>
          <cell r="M1992" t="str">
            <v>6/13/2024 11:22:56 AM</v>
          </cell>
          <cell r="N1992" t="str">
            <v>26</v>
          </cell>
          <cell r="O1992">
            <v>1</v>
          </cell>
          <cell r="P1992">
            <v>0.2</v>
          </cell>
        </row>
        <row r="1993">
          <cell r="A1993" t="str">
            <v>6726907</v>
          </cell>
          <cell r="B1993" t="str">
            <v>1335787</v>
          </cell>
          <cell r="C1993" t="str">
            <v>20-144-711</v>
          </cell>
          <cell r="D1993" t="str">
            <v>SPECIES</v>
          </cell>
          <cell r="E1993" t="str">
            <v>SPECIES HELLCAT COR BKMCAM RH</v>
          </cell>
          <cell r="F1993" t="str">
            <v>DG-HOLSTER</v>
          </cell>
          <cell r="G1993" t="str">
            <v>1420-210-FG</v>
          </cell>
          <cell r="H1993" t="str">
            <v>R</v>
          </cell>
          <cell r="I1993" t="str">
            <v>06/10/2024</v>
          </cell>
          <cell r="J1993" t="str">
            <v>06/10/2024</v>
          </cell>
          <cell r="K1993" t="str">
            <v>06/24/2024</v>
          </cell>
          <cell r="L1993">
            <v>2</v>
          </cell>
          <cell r="M1993" t="str">
            <v>6/13/2024 11:22:56 AM</v>
          </cell>
          <cell r="N1993" t="str">
            <v>26</v>
          </cell>
          <cell r="O1993">
            <v>2</v>
          </cell>
          <cell r="P1993">
            <v>0.39</v>
          </cell>
        </row>
        <row r="1994">
          <cell r="A1994" t="str">
            <v>6727916</v>
          </cell>
          <cell r="B1994" t="str">
            <v>1332764</v>
          </cell>
          <cell r="C1994" t="str">
            <v>20-144-131</v>
          </cell>
          <cell r="D1994" t="str">
            <v>SPECIES</v>
          </cell>
          <cell r="E1994" t="str">
            <v>SPECIES HELLCAT STX TAC BLK RT</v>
          </cell>
          <cell r="F1994" t="str">
            <v>DG-HOLSTER</v>
          </cell>
          <cell r="G1994" t="str">
            <v>1420-210-FG</v>
          </cell>
          <cell r="H1994" t="str">
            <v>R</v>
          </cell>
          <cell r="I1994" t="str">
            <v>06/11/2024</v>
          </cell>
          <cell r="J1994" t="str">
            <v>06/13/2024</v>
          </cell>
          <cell r="K1994" t="str">
            <v>06/24/2024</v>
          </cell>
          <cell r="L1994">
            <v>140</v>
          </cell>
          <cell r="M1994" t="str">
            <v>6/13/2024 11:14:09 AM</v>
          </cell>
          <cell r="N1994" t="str">
            <v>26</v>
          </cell>
          <cell r="O1994">
            <v>140</v>
          </cell>
          <cell r="P1994">
            <v>17.3</v>
          </cell>
        </row>
        <row r="1995">
          <cell r="A1995" t="str">
            <v>6726072</v>
          </cell>
          <cell r="B1995" t="str">
            <v>1336280</v>
          </cell>
          <cell r="C1995" t="str">
            <v>20-365-711</v>
          </cell>
          <cell r="D1995" t="str">
            <v>SPECIES</v>
          </cell>
          <cell r="E1995" t="str">
            <v>SPECIES P365 COR BKMCAM RH</v>
          </cell>
          <cell r="F1995" t="str">
            <v>DG-HOLSTER</v>
          </cell>
          <cell r="G1995" t="str">
            <v>1420-210-FG</v>
          </cell>
          <cell r="H1995" t="str">
            <v>R</v>
          </cell>
          <cell r="I1995" t="str">
            <v>06/07/2024</v>
          </cell>
          <cell r="J1995" t="str">
            <v>06/07/2024</v>
          </cell>
          <cell r="K1995" t="str">
            <v>06/24/2024</v>
          </cell>
          <cell r="L1995">
            <v>2</v>
          </cell>
          <cell r="M1995" t="str">
            <v>6/13/2024 11:22:56 AM</v>
          </cell>
          <cell r="N1995" t="str">
            <v>26</v>
          </cell>
          <cell r="O1995">
            <v>2</v>
          </cell>
          <cell r="P1995">
            <v>0.39</v>
          </cell>
        </row>
        <row r="1996">
          <cell r="A1996" t="str">
            <v>6727914</v>
          </cell>
          <cell r="B1996" t="str">
            <v>1332763</v>
          </cell>
          <cell r="C1996" t="str">
            <v>20-365-131</v>
          </cell>
          <cell r="D1996" t="str">
            <v>SPECIES</v>
          </cell>
          <cell r="E1996" t="str">
            <v>SPECIES P365 STX TAC BLK RT</v>
          </cell>
          <cell r="F1996" t="str">
            <v>DG-HOLSTER</v>
          </cell>
          <cell r="G1996" t="str">
            <v>1420-210-FG</v>
          </cell>
          <cell r="H1996" t="str">
            <v>R</v>
          </cell>
          <cell r="I1996" t="str">
            <v>06/11/2024</v>
          </cell>
          <cell r="J1996" t="str">
            <v>06/13/2024</v>
          </cell>
          <cell r="K1996" t="str">
            <v>06/24/2024</v>
          </cell>
          <cell r="L1996">
            <v>150</v>
          </cell>
          <cell r="M1996" t="str">
            <v>6/13/2024 11:14:09 AM</v>
          </cell>
          <cell r="N1996" t="str">
            <v>26</v>
          </cell>
          <cell r="O1996">
            <v>150</v>
          </cell>
          <cell r="P1996">
            <v>18.559999999999999</v>
          </cell>
        </row>
        <row r="1997">
          <cell r="A1997" t="str">
            <v>6726908</v>
          </cell>
          <cell r="B1997" t="str">
            <v>1335803</v>
          </cell>
          <cell r="C1997" t="str">
            <v>20-565-711</v>
          </cell>
          <cell r="D1997" t="str">
            <v>SPECIES</v>
          </cell>
          <cell r="E1997" t="str">
            <v>SPECIES P365 X-MACRO COR BKMCAM RH</v>
          </cell>
          <cell r="F1997" t="str">
            <v>DG-HOLSTER</v>
          </cell>
          <cell r="G1997" t="str">
            <v>1420-210-FG</v>
          </cell>
          <cell r="H1997" t="str">
            <v>R</v>
          </cell>
          <cell r="I1997" t="str">
            <v>06/10/2024</v>
          </cell>
          <cell r="J1997" t="str">
            <v>06/10/2024</v>
          </cell>
          <cell r="K1997" t="str">
            <v>06/24/2024</v>
          </cell>
          <cell r="L1997">
            <v>2</v>
          </cell>
          <cell r="M1997" t="str">
            <v>6/13/2024 11:22:56 AM</v>
          </cell>
          <cell r="N1997" t="str">
            <v>26</v>
          </cell>
          <cell r="O1997">
            <v>2</v>
          </cell>
          <cell r="P1997">
            <v>0.39</v>
          </cell>
        </row>
        <row r="1998">
          <cell r="A1998" t="str">
            <v>6727913</v>
          </cell>
          <cell r="B1998" t="str">
            <v>1332761</v>
          </cell>
          <cell r="C1998" t="str">
            <v>20-465-131</v>
          </cell>
          <cell r="D1998" t="str">
            <v>SPECIES</v>
          </cell>
          <cell r="E1998" t="str">
            <v>SPECIES P365XL STX TAC BLK RT</v>
          </cell>
          <cell r="F1998" t="str">
            <v>DG-HOLSTER</v>
          </cell>
          <cell r="G1998" t="str">
            <v>1420-210-FG</v>
          </cell>
          <cell r="H1998" t="str">
            <v>R</v>
          </cell>
          <cell r="I1998" t="str">
            <v>06/11/2024</v>
          </cell>
          <cell r="J1998" t="str">
            <v>06/13/2024</v>
          </cell>
          <cell r="K1998" t="str">
            <v>06/24/2024</v>
          </cell>
          <cell r="L1998">
            <v>117</v>
          </cell>
          <cell r="M1998" t="str">
            <v>6/13/2024 11:14:09 AM</v>
          </cell>
          <cell r="N1998" t="str">
            <v>26</v>
          </cell>
          <cell r="O1998">
            <v>117</v>
          </cell>
          <cell r="P1998">
            <v>14.46</v>
          </cell>
        </row>
        <row r="1999">
          <cell r="A1999" t="str">
            <v>6725663</v>
          </cell>
          <cell r="B1999" t="str">
            <v>1333835</v>
          </cell>
          <cell r="C1999" t="str">
            <v>20-172-131</v>
          </cell>
          <cell r="D1999" t="str">
            <v>SPECIES</v>
          </cell>
          <cell r="E1999" t="str">
            <v>SPECIES TAURUS G2C/G3C STX TAC BLK RT</v>
          </cell>
          <cell r="F1999" t="str">
            <v>DG-HOLSTER</v>
          </cell>
          <cell r="G1999" t="str">
            <v>1420-210-FG</v>
          </cell>
          <cell r="H1999" t="str">
            <v>R</v>
          </cell>
          <cell r="I1999" t="str">
            <v>06/06/2024</v>
          </cell>
          <cell r="J1999" t="str">
            <v>06/06/2024</v>
          </cell>
          <cell r="K1999" t="str">
            <v>06/24/2024</v>
          </cell>
          <cell r="L1999">
            <v>2</v>
          </cell>
          <cell r="M1999" t="str">
            <v>6/13/2024 11:14:09 AM</v>
          </cell>
          <cell r="N1999" t="str">
            <v>26</v>
          </cell>
          <cell r="O1999">
            <v>2</v>
          </cell>
          <cell r="P1999">
            <v>0.26</v>
          </cell>
        </row>
        <row r="2000">
          <cell r="A2000" t="str">
            <v>6727917</v>
          </cell>
          <cell r="B2000" t="str">
            <v>1333835</v>
          </cell>
          <cell r="C2000" t="str">
            <v>20-172-131</v>
          </cell>
          <cell r="D2000" t="str">
            <v>SPECIES</v>
          </cell>
          <cell r="E2000" t="str">
            <v>SPECIES TAURUS G2C/G3C STX TAC BLK RT</v>
          </cell>
          <cell r="F2000" t="str">
            <v>DG-HOLSTER</v>
          </cell>
          <cell r="G2000" t="str">
            <v>1420-210-FG</v>
          </cell>
          <cell r="H2000" t="str">
            <v>R</v>
          </cell>
          <cell r="I2000" t="str">
            <v>06/11/2024</v>
          </cell>
          <cell r="J2000" t="str">
            <v>06/13/2024</v>
          </cell>
          <cell r="K2000" t="str">
            <v>06/24/2024</v>
          </cell>
          <cell r="L2000">
            <v>148</v>
          </cell>
          <cell r="M2000" t="str">
            <v>6/13/2024 11:14:09 AM</v>
          </cell>
          <cell r="N2000" t="str">
            <v>26</v>
          </cell>
          <cell r="O2000">
            <v>148</v>
          </cell>
          <cell r="P2000">
            <v>18.29</v>
          </cell>
        </row>
        <row r="2001">
          <cell r="A2001" t="str">
            <v>6727960</v>
          </cell>
          <cell r="B2001" t="str">
            <v>1333835</v>
          </cell>
          <cell r="C2001" t="str">
            <v>20-172-131</v>
          </cell>
          <cell r="D2001" t="str">
            <v>SPECIES</v>
          </cell>
          <cell r="E2001" t="str">
            <v>SPECIES TAURUS G2C/G3C STX TAC BLK RT</v>
          </cell>
          <cell r="F2001" t="str">
            <v>DG-HOLSTER</v>
          </cell>
          <cell r="G2001" t="str">
            <v>1420-210-FG</v>
          </cell>
          <cell r="H2001" t="str">
            <v>R</v>
          </cell>
          <cell r="I2001" t="str">
            <v>06/11/2024</v>
          </cell>
          <cell r="J2001" t="str">
            <v>06/13/2024</v>
          </cell>
          <cell r="K2001" t="str">
            <v>06/24/2024</v>
          </cell>
          <cell r="L2001">
            <v>2</v>
          </cell>
          <cell r="M2001" t="str">
            <v>6/13/2024 11:14:09 AM</v>
          </cell>
          <cell r="N2001" t="str">
            <v>26</v>
          </cell>
          <cell r="O2001">
            <v>2</v>
          </cell>
          <cell r="P2001">
            <v>0.26</v>
          </cell>
        </row>
        <row r="2002">
          <cell r="A2002" t="str">
            <v>6728547</v>
          </cell>
          <cell r="B2002" t="str">
            <v>1016230</v>
          </cell>
          <cell r="C2002" t="str">
            <v>18521</v>
          </cell>
          <cell r="D2002" t="str">
            <v>7314S</v>
          </cell>
          <cell r="E2002" t="str">
            <v>UNIVERSAL RADIO HOLDER WITH SWIVEL BLK</v>
          </cell>
          <cell r="F2002" t="str">
            <v>BN-POUCH</v>
          </cell>
          <cell r="G2002" t="str">
            <v>1420-210-FG</v>
          </cell>
          <cell r="H2002" t="str">
            <v>R</v>
          </cell>
          <cell r="I2002" t="str">
            <v>06/12/2024</v>
          </cell>
          <cell r="J2002" t="str">
            <v>06/10/2024</v>
          </cell>
          <cell r="K2002" t="str">
            <v>06/24/2024</v>
          </cell>
          <cell r="L2002">
            <v>100</v>
          </cell>
          <cell r="M2002" t="str">
            <v>6/12/2024 9:57:11 AM</v>
          </cell>
          <cell r="N2002" t="str">
            <v>26</v>
          </cell>
          <cell r="O2002">
            <v>100</v>
          </cell>
          <cell r="P2002">
            <v>32</v>
          </cell>
        </row>
        <row r="2003">
          <cell r="A2003" t="str">
            <v>6728548</v>
          </cell>
          <cell r="B2003" t="str">
            <v>1016230</v>
          </cell>
          <cell r="C2003" t="str">
            <v>18521</v>
          </cell>
          <cell r="D2003" t="str">
            <v>7314S</v>
          </cell>
          <cell r="E2003" t="str">
            <v>UNIVERSAL RADIO HOLDER WITH SWIVEL BLK</v>
          </cell>
          <cell r="F2003" t="str">
            <v>BN-POUCH</v>
          </cell>
          <cell r="G2003" t="str">
            <v>1420-210-FG</v>
          </cell>
          <cell r="H2003" t="str">
            <v>R</v>
          </cell>
          <cell r="I2003" t="str">
            <v>06/12/2024</v>
          </cell>
          <cell r="J2003" t="str">
            <v>06/10/2024</v>
          </cell>
          <cell r="K2003" t="str">
            <v>06/24/2024</v>
          </cell>
          <cell r="L2003">
            <v>100</v>
          </cell>
          <cell r="M2003" t="str">
            <v>6/12/2024 9:57:21 AM</v>
          </cell>
          <cell r="N2003" t="str">
            <v>26</v>
          </cell>
          <cell r="O2003">
            <v>100</v>
          </cell>
          <cell r="P2003">
            <v>32</v>
          </cell>
        </row>
        <row r="2004">
          <cell r="A2004" t="str">
            <v>6728549</v>
          </cell>
          <cell r="B2004" t="str">
            <v>1016230</v>
          </cell>
          <cell r="C2004" t="str">
            <v>18521</v>
          </cell>
          <cell r="D2004" t="str">
            <v>7314S</v>
          </cell>
          <cell r="E2004" t="str">
            <v>UNIVERSAL RADIO HOLDER WITH SWIVEL BLK</v>
          </cell>
          <cell r="F2004" t="str">
            <v>BN-POUCH</v>
          </cell>
          <cell r="G2004" t="str">
            <v>1420-210-FG</v>
          </cell>
          <cell r="H2004" t="str">
            <v>R</v>
          </cell>
          <cell r="I2004" t="str">
            <v>06/12/2024</v>
          </cell>
          <cell r="J2004" t="str">
            <v>06/10/2024</v>
          </cell>
          <cell r="K2004" t="str">
            <v>06/24/2024</v>
          </cell>
          <cell r="L2004">
            <v>100</v>
          </cell>
          <cell r="M2004" t="str">
            <v>6/12/2024 9:57:38 AM</v>
          </cell>
          <cell r="N2004" t="str">
            <v>26</v>
          </cell>
          <cell r="O2004">
            <v>100</v>
          </cell>
          <cell r="P2004">
            <v>32</v>
          </cell>
        </row>
        <row r="2005">
          <cell r="A2005" t="str">
            <v>6728550</v>
          </cell>
          <cell r="B2005" t="str">
            <v>1017315</v>
          </cell>
          <cell r="C2005" t="str">
            <v>22113</v>
          </cell>
          <cell r="D2005" t="str">
            <v>7914S</v>
          </cell>
          <cell r="E2005" t="str">
            <v>UNIVERSAL RADIO HOLDER WITH SWIVEL BSK B</v>
          </cell>
          <cell r="F2005" t="str">
            <v>BN-POUCH</v>
          </cell>
          <cell r="G2005" t="str">
            <v>1420-210-FG</v>
          </cell>
          <cell r="H2005" t="str">
            <v>R</v>
          </cell>
          <cell r="I2005" t="str">
            <v>06/12/2024</v>
          </cell>
          <cell r="J2005" t="str">
            <v>06/10/2024</v>
          </cell>
          <cell r="K2005" t="str">
            <v>06/24/2024</v>
          </cell>
          <cell r="L2005">
            <v>100</v>
          </cell>
          <cell r="M2005" t="str">
            <v>6/12/2024 9:56:36 AM</v>
          </cell>
          <cell r="N2005" t="str">
            <v>26</v>
          </cell>
          <cell r="O2005">
            <v>100</v>
          </cell>
          <cell r="P2005">
            <v>32</v>
          </cell>
        </row>
        <row r="2006">
          <cell r="A2006" t="str">
            <v>6728551</v>
          </cell>
          <cell r="B2006" t="str">
            <v>1017315</v>
          </cell>
          <cell r="C2006" t="str">
            <v>22113</v>
          </cell>
          <cell r="D2006" t="str">
            <v>7914S</v>
          </cell>
          <cell r="E2006" t="str">
            <v>UNIVERSAL RADIO HOLDER WITH SWIVEL BSK B</v>
          </cell>
          <cell r="F2006" t="str">
            <v>BN-POUCH</v>
          </cell>
          <cell r="G2006" t="str">
            <v>1420-210-FG</v>
          </cell>
          <cell r="H2006" t="str">
            <v>R</v>
          </cell>
          <cell r="I2006" t="str">
            <v>06/12/2024</v>
          </cell>
          <cell r="J2006" t="str">
            <v>06/10/2024</v>
          </cell>
          <cell r="K2006" t="str">
            <v>06/24/2024</v>
          </cell>
          <cell r="L2006">
            <v>100</v>
          </cell>
          <cell r="M2006" t="str">
            <v>6/12/2024 9:56:48 AM</v>
          </cell>
          <cell r="N2006" t="str">
            <v>26</v>
          </cell>
          <cell r="O2006">
            <v>100</v>
          </cell>
          <cell r="P2006">
            <v>32</v>
          </cell>
        </row>
        <row r="2007">
          <cell r="A2007" t="str">
            <v>6728111</v>
          </cell>
          <cell r="B2007" t="str">
            <v>1158183</v>
          </cell>
          <cell r="C2007" t="str">
            <v>032-36-54</v>
          </cell>
          <cell r="D2007" t="str">
            <v>032</v>
          </cell>
          <cell r="E2007" t="str">
            <v>032 ELS COMP BLT SZ36 FLG GRN</v>
          </cell>
          <cell r="F2007" t="str">
            <v>DG-BELT</v>
          </cell>
          <cell r="G2007" t="str">
            <v>1420-210-FG</v>
          </cell>
          <cell r="H2007" t="str">
            <v>R</v>
          </cell>
          <cell r="I2007" t="str">
            <v>06/11/2024</v>
          </cell>
          <cell r="J2007" t="str">
            <v>06/11/2024</v>
          </cell>
          <cell r="K2007" t="str">
            <v>06/25/2024</v>
          </cell>
          <cell r="L2007">
            <v>1</v>
          </cell>
          <cell r="M2007" t="str">
            <v>6/11/2024 3:09:40 PM</v>
          </cell>
          <cell r="N2007" t="str">
            <v>26</v>
          </cell>
          <cell r="O2007">
            <v>1</v>
          </cell>
          <cell r="P2007">
            <v>0.53</v>
          </cell>
        </row>
        <row r="2008">
          <cell r="A2008" t="str">
            <v>6727866</v>
          </cell>
          <cell r="B2008" t="str">
            <v>1186893</v>
          </cell>
          <cell r="C2008" t="str">
            <v>032-40-55</v>
          </cell>
          <cell r="D2008" t="str">
            <v>032</v>
          </cell>
          <cell r="E2008" t="str">
            <v>032 ELS COMP BLT SZ40 PLN FDE</v>
          </cell>
          <cell r="F2008" t="str">
            <v>DG-BELT</v>
          </cell>
          <cell r="G2008" t="str">
            <v>1420-210-FG</v>
          </cell>
          <cell r="H2008" t="str">
            <v>R</v>
          </cell>
          <cell r="I2008" t="str">
            <v>06/11/2024</v>
          </cell>
          <cell r="J2008" t="str">
            <v>06/11/2024</v>
          </cell>
          <cell r="K2008" t="str">
            <v>06/25/2024</v>
          </cell>
          <cell r="L2008">
            <v>5</v>
          </cell>
          <cell r="M2008" t="str">
            <v>6/11/2024 3:09:40 PM</v>
          </cell>
          <cell r="N2008" t="str">
            <v>26</v>
          </cell>
          <cell r="O2008">
            <v>5</v>
          </cell>
          <cell r="P2008">
            <v>2.65</v>
          </cell>
        </row>
        <row r="2009">
          <cell r="A2009" t="str">
            <v>6727810</v>
          </cell>
          <cell r="B2009" t="str">
            <v>1097032</v>
          </cell>
          <cell r="C2009" t="str">
            <v>146-30-4</v>
          </cell>
          <cell r="D2009" t="str">
            <v>146</v>
          </cell>
          <cell r="E2009" t="str">
            <v>146 BORDER PATROL BLT BSK BLK SZ30 CH</v>
          </cell>
          <cell r="F2009" t="str">
            <v>DG-BELT</v>
          </cell>
          <cell r="G2009" t="str">
            <v>1420-210-FG</v>
          </cell>
          <cell r="H2009" t="str">
            <v>R</v>
          </cell>
          <cell r="I2009" t="str">
            <v>06/11/2024</v>
          </cell>
          <cell r="J2009" t="str">
            <v>06/11/2024</v>
          </cell>
          <cell r="K2009" t="str">
            <v>06/25/2024</v>
          </cell>
          <cell r="L2009">
            <v>1</v>
          </cell>
          <cell r="M2009" t="str">
            <v>6/11/2024 3:09:40 PM</v>
          </cell>
          <cell r="N2009" t="str">
            <v>26</v>
          </cell>
          <cell r="O2009">
            <v>1</v>
          </cell>
          <cell r="P2009">
            <v>0.52</v>
          </cell>
        </row>
        <row r="2010">
          <cell r="A2010" t="str">
            <v>6727811</v>
          </cell>
          <cell r="B2010" t="str">
            <v>1097141</v>
          </cell>
          <cell r="C2010" t="str">
            <v>146-36-4B</v>
          </cell>
          <cell r="D2010" t="str">
            <v>146</v>
          </cell>
          <cell r="E2010" t="str">
            <v>146 BORDER PATROL BLT BSK BLK SZ36 BR</v>
          </cell>
          <cell r="F2010" t="str">
            <v>DG-BELT</v>
          </cell>
          <cell r="G2010" t="str">
            <v>1420-210-FG</v>
          </cell>
          <cell r="H2010" t="str">
            <v>F</v>
          </cell>
          <cell r="I2010" t="str">
            <v>06/11/2024</v>
          </cell>
          <cell r="J2010" t="str">
            <v>06/11/2024</v>
          </cell>
          <cell r="K2010" t="str">
            <v>06/25/2024</v>
          </cell>
          <cell r="L2010">
            <v>5</v>
          </cell>
          <cell r="M2010" t="str">
            <v/>
          </cell>
          <cell r="N2010" t="str">
            <v>26</v>
          </cell>
          <cell r="O2010">
            <v>5</v>
          </cell>
          <cell r="P2010">
            <v>2.6</v>
          </cell>
        </row>
        <row r="2011">
          <cell r="A2011" t="str">
            <v>6727815</v>
          </cell>
          <cell r="B2011" t="str">
            <v>1097379</v>
          </cell>
          <cell r="C2011" t="str">
            <v>146-52-4B</v>
          </cell>
          <cell r="D2011" t="str">
            <v>146</v>
          </cell>
          <cell r="E2011" t="str">
            <v>146 BORDER PATROL BLT BSK BLK SZ52 BR</v>
          </cell>
          <cell r="F2011" t="str">
            <v>DG-BELT</v>
          </cell>
          <cell r="G2011" t="str">
            <v>1420-210-FG</v>
          </cell>
          <cell r="H2011" t="str">
            <v>R</v>
          </cell>
          <cell r="I2011" t="str">
            <v>06/11/2024</v>
          </cell>
          <cell r="J2011" t="str">
            <v>06/11/2024</v>
          </cell>
          <cell r="K2011" t="str">
            <v>06/25/2024</v>
          </cell>
          <cell r="L2011">
            <v>1</v>
          </cell>
          <cell r="M2011" t="str">
            <v>6/11/2024 3:02:21 PM</v>
          </cell>
          <cell r="N2011" t="str">
            <v>26</v>
          </cell>
          <cell r="O2011">
            <v>1</v>
          </cell>
          <cell r="P2011">
            <v>0.52</v>
          </cell>
        </row>
        <row r="2012">
          <cell r="A2012" t="str">
            <v>6727809</v>
          </cell>
          <cell r="B2012" t="str">
            <v>1097027</v>
          </cell>
          <cell r="C2012" t="str">
            <v>146-28-9</v>
          </cell>
          <cell r="D2012" t="str">
            <v>146</v>
          </cell>
          <cell r="E2012" t="str">
            <v>146 BORDER PATROL BLT HGS BLK SZ28 CH</v>
          </cell>
          <cell r="F2012" t="str">
            <v>DG-BELT</v>
          </cell>
          <cell r="G2012" t="str">
            <v>1420-210-FG</v>
          </cell>
          <cell r="H2012" t="str">
            <v>R</v>
          </cell>
          <cell r="I2012" t="str">
            <v>06/11/2024</v>
          </cell>
          <cell r="J2012" t="str">
            <v>06/11/2024</v>
          </cell>
          <cell r="K2012" t="str">
            <v>06/25/2024</v>
          </cell>
          <cell r="L2012">
            <v>1</v>
          </cell>
          <cell r="M2012" t="str">
            <v>6/11/2024 3:02:21 PM</v>
          </cell>
          <cell r="N2012" t="str">
            <v>26</v>
          </cell>
          <cell r="O2012">
            <v>1</v>
          </cell>
          <cell r="P2012">
            <v>0.53</v>
          </cell>
        </row>
        <row r="2013">
          <cell r="A2013" t="str">
            <v>6727813</v>
          </cell>
          <cell r="B2013" t="str">
            <v>1097147</v>
          </cell>
          <cell r="C2013" t="str">
            <v>146-38-2B</v>
          </cell>
          <cell r="D2013" t="str">
            <v>146</v>
          </cell>
          <cell r="E2013" t="str">
            <v>146 BORDER PATROL BLT PLN BLK SZ38 BR</v>
          </cell>
          <cell r="F2013" t="str">
            <v>DG-BELT</v>
          </cell>
          <cell r="G2013" t="str">
            <v>1420-210-FG</v>
          </cell>
          <cell r="H2013" t="str">
            <v>F</v>
          </cell>
          <cell r="I2013" t="str">
            <v>06/11/2024</v>
          </cell>
          <cell r="J2013" t="str">
            <v>06/11/2024</v>
          </cell>
          <cell r="K2013" t="str">
            <v>06/25/2024</v>
          </cell>
          <cell r="L2013">
            <v>5</v>
          </cell>
          <cell r="M2013" t="str">
            <v/>
          </cell>
          <cell r="N2013" t="str">
            <v>26</v>
          </cell>
          <cell r="O2013">
            <v>5</v>
          </cell>
          <cell r="P2013">
            <v>2.4300000000000002</v>
          </cell>
        </row>
        <row r="2014">
          <cell r="A2014" t="str">
            <v>6727814</v>
          </cell>
          <cell r="B2014" t="str">
            <v>1097365</v>
          </cell>
          <cell r="C2014" t="str">
            <v>146-50-2</v>
          </cell>
          <cell r="D2014" t="str">
            <v>146</v>
          </cell>
          <cell r="E2014" t="str">
            <v>146 BORDER PATROL BLT PLN BLK SZ50 CH</v>
          </cell>
          <cell r="F2014" t="str">
            <v>DG-BELT</v>
          </cell>
          <cell r="G2014" t="str">
            <v>1420-210-FG</v>
          </cell>
          <cell r="H2014" t="str">
            <v>R</v>
          </cell>
          <cell r="I2014" t="str">
            <v>06/11/2024</v>
          </cell>
          <cell r="J2014" t="str">
            <v>06/11/2024</v>
          </cell>
          <cell r="K2014" t="str">
            <v>06/25/2024</v>
          </cell>
          <cell r="L2014">
            <v>1</v>
          </cell>
          <cell r="M2014" t="str">
            <v>6/11/2024 3:09:40 PM</v>
          </cell>
          <cell r="N2014" t="str">
            <v>26</v>
          </cell>
          <cell r="O2014">
            <v>1</v>
          </cell>
          <cell r="P2014">
            <v>0.48</v>
          </cell>
        </row>
        <row r="2015">
          <cell r="A2015" t="str">
            <v>6728351</v>
          </cell>
          <cell r="B2015" t="str">
            <v>1096422</v>
          </cell>
          <cell r="C2015" t="str">
            <v>146FV-30-2B-NP</v>
          </cell>
          <cell r="D2015" t="str">
            <v>146FV</v>
          </cell>
          <cell r="E2015" t="str">
            <v>146FV BORDER PATROL BLT PLN BLK SZ30 BR</v>
          </cell>
          <cell r="F2015" t="str">
            <v>DG-BELT</v>
          </cell>
          <cell r="G2015" t="str">
            <v>1420-210-FG</v>
          </cell>
          <cell r="H2015" t="str">
            <v>R</v>
          </cell>
          <cell r="I2015" t="str">
            <v>06/11/2024</v>
          </cell>
          <cell r="J2015" t="str">
            <v>06/11/2024</v>
          </cell>
          <cell r="K2015" t="str">
            <v>06/25/2024</v>
          </cell>
          <cell r="L2015">
            <v>2</v>
          </cell>
          <cell r="M2015" t="str">
            <v>6/13/2024 12:33:50 PM</v>
          </cell>
          <cell r="N2015" t="str">
            <v>26</v>
          </cell>
          <cell r="O2015">
            <v>2</v>
          </cell>
          <cell r="P2015">
            <v>1.0900000000000001</v>
          </cell>
        </row>
        <row r="2016">
          <cell r="A2016" t="str">
            <v>6728082</v>
          </cell>
          <cell r="B2016" t="str">
            <v>1096425</v>
          </cell>
          <cell r="C2016" t="str">
            <v>146FV-36-2B-NP</v>
          </cell>
          <cell r="D2016" t="str">
            <v>146FV</v>
          </cell>
          <cell r="E2016" t="str">
            <v>146FV BORDER PATROL BLT PLN BLK SZ36 BR</v>
          </cell>
          <cell r="F2016" t="str">
            <v>DG-BELT</v>
          </cell>
          <cell r="G2016" t="str">
            <v>1420-210-FG</v>
          </cell>
          <cell r="H2016" t="str">
            <v>F</v>
          </cell>
          <cell r="I2016" t="str">
            <v>06/11/2024</v>
          </cell>
          <cell r="J2016" t="str">
            <v>06/11/2024</v>
          </cell>
          <cell r="K2016" t="str">
            <v>06/25/2024</v>
          </cell>
          <cell r="L2016">
            <v>1</v>
          </cell>
          <cell r="M2016" t="str">
            <v/>
          </cell>
          <cell r="N2016" t="str">
            <v>26</v>
          </cell>
          <cell r="O2016">
            <v>1</v>
          </cell>
          <cell r="P2016">
            <v>0.54</v>
          </cell>
        </row>
        <row r="2017">
          <cell r="A2017" t="str">
            <v>6728366</v>
          </cell>
          <cell r="B2017" t="str">
            <v>1096430</v>
          </cell>
          <cell r="C2017" t="str">
            <v>146FV-46-2B-NP</v>
          </cell>
          <cell r="D2017" t="str">
            <v>146FV</v>
          </cell>
          <cell r="E2017" t="str">
            <v>146FV BORDER PATROL BLT PLN BLK SZ46 BR</v>
          </cell>
          <cell r="F2017" t="str">
            <v>DG-BELT</v>
          </cell>
          <cell r="G2017" t="str">
            <v>1420-210-FG</v>
          </cell>
          <cell r="H2017" t="str">
            <v>R</v>
          </cell>
          <cell r="I2017" t="str">
            <v>06/11/2024</v>
          </cell>
          <cell r="J2017" t="str">
            <v>06/11/2024</v>
          </cell>
          <cell r="K2017" t="str">
            <v>06/25/2024</v>
          </cell>
          <cell r="L2017">
            <v>3</v>
          </cell>
          <cell r="M2017" t="str">
            <v>6/13/2024 12:33:50 PM</v>
          </cell>
          <cell r="N2017" t="str">
            <v>26</v>
          </cell>
          <cell r="O2017">
            <v>3</v>
          </cell>
          <cell r="P2017">
            <v>1.62</v>
          </cell>
        </row>
        <row r="2018">
          <cell r="A2018" t="str">
            <v>6727861</v>
          </cell>
          <cell r="B2018" t="str">
            <v>1158037</v>
          </cell>
          <cell r="C2018" t="str">
            <v>146V-42-4B</v>
          </cell>
          <cell r="D2018" t="str">
            <v>146V</v>
          </cell>
          <cell r="E2018" t="str">
            <v>146V BORDER PATROL BLT BSK BLK SZ42 BR</v>
          </cell>
          <cell r="F2018" t="str">
            <v>DG-BELT</v>
          </cell>
          <cell r="G2018" t="str">
            <v>1420-210-FG</v>
          </cell>
          <cell r="H2018" t="str">
            <v>R</v>
          </cell>
          <cell r="I2018" t="str">
            <v>06/11/2024</v>
          </cell>
          <cell r="J2018" t="str">
            <v>06/11/2024</v>
          </cell>
          <cell r="K2018" t="str">
            <v>06/25/2024</v>
          </cell>
          <cell r="L2018">
            <v>1</v>
          </cell>
          <cell r="M2018" t="str">
            <v>6/11/2024 3:02:21 PM</v>
          </cell>
          <cell r="N2018" t="str">
            <v>26</v>
          </cell>
          <cell r="O2018">
            <v>1</v>
          </cell>
          <cell r="P2018">
            <v>0.56000000000000005</v>
          </cell>
        </row>
        <row r="2019">
          <cell r="A2019" t="str">
            <v>6727860</v>
          </cell>
          <cell r="B2019" t="str">
            <v>1128057</v>
          </cell>
          <cell r="C2019" t="str">
            <v>146V-32-2</v>
          </cell>
          <cell r="D2019" t="str">
            <v>146V</v>
          </cell>
          <cell r="E2019" t="str">
            <v>146V BORDER PATROL BLT PLN BLK SZ32 CH</v>
          </cell>
          <cell r="F2019" t="str">
            <v>DG-BELT</v>
          </cell>
          <cell r="G2019" t="str">
            <v>1420-210-FG</v>
          </cell>
          <cell r="H2019" t="str">
            <v>R</v>
          </cell>
          <cell r="I2019" t="str">
            <v>06/11/2024</v>
          </cell>
          <cell r="J2019" t="str">
            <v>06/11/2024</v>
          </cell>
          <cell r="K2019" t="str">
            <v>06/25/2024</v>
          </cell>
          <cell r="L2019">
            <v>1</v>
          </cell>
          <cell r="M2019" t="str">
            <v>6/11/2024 3:02:21 PM</v>
          </cell>
          <cell r="N2019" t="str">
            <v>26</v>
          </cell>
          <cell r="O2019">
            <v>1</v>
          </cell>
          <cell r="P2019">
            <v>0.52</v>
          </cell>
        </row>
        <row r="2020">
          <cell r="A2020" t="str">
            <v>6728021</v>
          </cell>
          <cell r="B2020" t="str">
            <v>1099522</v>
          </cell>
          <cell r="C2020" t="str">
            <v>306-11-03</v>
          </cell>
          <cell r="D2020" t="str">
            <v>306</v>
          </cell>
          <cell r="E2020" t="str">
            <v>306 STRINGER W/ PLY GRP BSK COR</v>
          </cell>
          <cell r="F2020" t="str">
            <v>DG-POUCH-F1</v>
          </cell>
          <cell r="G2020" t="str">
            <v>1420-210-FG</v>
          </cell>
          <cell r="H2020" t="str">
            <v>R</v>
          </cell>
          <cell r="I2020" t="str">
            <v>06/11/2024</v>
          </cell>
          <cell r="J2020" t="str">
            <v>06/11/2024</v>
          </cell>
          <cell r="K2020" t="str">
            <v>06/25/2024</v>
          </cell>
          <cell r="L2020">
            <v>1</v>
          </cell>
          <cell r="M2020" t="str">
            <v>6/11/2024 3:18:21 PM</v>
          </cell>
          <cell r="N2020" t="str">
            <v>26</v>
          </cell>
          <cell r="O2020">
            <v>1</v>
          </cell>
          <cell r="P2020">
            <v>0.38</v>
          </cell>
        </row>
        <row r="2021">
          <cell r="A2021" t="str">
            <v>6728108</v>
          </cell>
          <cell r="B2021" t="str">
            <v>1333178</v>
          </cell>
          <cell r="C2021" t="str">
            <v>38-563PBL-MSA</v>
          </cell>
          <cell r="D2021" t="str">
            <v>38</v>
          </cell>
          <cell r="E2021" t="str">
            <v>38 MK4 STX TAC ODG</v>
          </cell>
          <cell r="F2021" t="str">
            <v>DG-POUCH-F1</v>
          </cell>
          <cell r="G2021" t="str">
            <v>1420-210-FG</v>
          </cell>
          <cell r="H2021" t="str">
            <v>R</v>
          </cell>
          <cell r="I2021" t="str">
            <v>06/11/2024</v>
          </cell>
          <cell r="J2021" t="str">
            <v>06/11/2024</v>
          </cell>
          <cell r="K2021" t="str">
            <v>06/25/2024</v>
          </cell>
          <cell r="L2021">
            <v>1</v>
          </cell>
          <cell r="M2021" t="str">
            <v>6/11/2024 3:25:01 PM</v>
          </cell>
          <cell r="N2021" t="str">
            <v>26</v>
          </cell>
          <cell r="O2021">
            <v>1</v>
          </cell>
          <cell r="P2021">
            <v>0.37</v>
          </cell>
        </row>
        <row r="2022">
          <cell r="A2022" t="str">
            <v>6727734</v>
          </cell>
          <cell r="B2022" t="str">
            <v>1208105</v>
          </cell>
          <cell r="C2022" t="str">
            <v>4333-3-55</v>
          </cell>
          <cell r="D2022" t="str">
            <v>4333</v>
          </cell>
          <cell r="E2022" t="str">
            <v>4333 SZ3 PLN FDE</v>
          </cell>
          <cell r="F2022" t="str">
            <v>BN-BELT</v>
          </cell>
          <cell r="G2022" t="str">
            <v>1420-210-FG</v>
          </cell>
          <cell r="H2022" t="str">
            <v>F</v>
          </cell>
          <cell r="I2022" t="str">
            <v>06/11/2024</v>
          </cell>
          <cell r="J2022" t="str">
            <v>06/11/2024</v>
          </cell>
          <cell r="K2022" t="str">
            <v>06/25/2024</v>
          </cell>
          <cell r="L2022">
            <v>5</v>
          </cell>
          <cell r="M2022" t="str">
            <v/>
          </cell>
          <cell r="N2022" t="str">
            <v>26</v>
          </cell>
          <cell r="O2022">
            <v>5</v>
          </cell>
          <cell r="P2022">
            <v>3.73</v>
          </cell>
        </row>
        <row r="2023">
          <cell r="A2023" t="str">
            <v>6728876</v>
          </cell>
          <cell r="B2023" t="str">
            <v>1187306</v>
          </cell>
          <cell r="C2023" t="str">
            <v>5198-450-411</v>
          </cell>
          <cell r="D2023" t="str">
            <v>5198</v>
          </cell>
          <cell r="E2023" t="str">
            <v>5198 SIG P320 9/40 STX PLN BLK RH</v>
          </cell>
          <cell r="F2023" t="str">
            <v>DG-HOLSTER-SEW-DTC</v>
          </cell>
          <cell r="G2023" t="str">
            <v>1420-210-FG</v>
          </cell>
          <cell r="H2023" t="str">
            <v>F</v>
          </cell>
          <cell r="I2023" t="str">
            <v>06/13/2024</v>
          </cell>
          <cell r="J2023" t="str">
            <v>06/13/2024</v>
          </cell>
          <cell r="K2023" t="str">
            <v>06/25/2024</v>
          </cell>
          <cell r="L2023">
            <v>15</v>
          </cell>
          <cell r="M2023" t="str">
            <v/>
          </cell>
          <cell r="N2023" t="str">
            <v>26</v>
          </cell>
          <cell r="O2023">
            <v>15</v>
          </cell>
          <cell r="P2023">
            <v>2.78</v>
          </cell>
        </row>
        <row r="2024">
          <cell r="A2024" t="str">
            <v>6727545</v>
          </cell>
          <cell r="B2024" t="str">
            <v>1324727</v>
          </cell>
          <cell r="C2024" t="str">
            <v>572-76-13-NP</v>
          </cell>
          <cell r="D2024" t="str">
            <v>572</v>
          </cell>
          <cell r="E2024" t="str">
            <v>572 BERETTA 92FS STX TAC BLK</v>
          </cell>
          <cell r="F2024" t="str">
            <v>DG-POUCH-F2-F3</v>
          </cell>
          <cell r="G2024" t="str">
            <v>1420-210-FG</v>
          </cell>
          <cell r="H2024" t="str">
            <v>R</v>
          </cell>
          <cell r="I2024" t="str">
            <v>06/11/2024</v>
          </cell>
          <cell r="J2024" t="str">
            <v>06/11/2024</v>
          </cell>
          <cell r="K2024" t="str">
            <v>06/25/2024</v>
          </cell>
          <cell r="L2024">
            <v>1</v>
          </cell>
          <cell r="M2024" t="str">
            <v>6/12/2024 11:32:04 AM</v>
          </cell>
          <cell r="N2024" t="str">
            <v>26</v>
          </cell>
          <cell r="O2024">
            <v>1</v>
          </cell>
          <cell r="P2024">
            <v>0.25</v>
          </cell>
        </row>
        <row r="2025">
          <cell r="A2025" t="str">
            <v>6727531</v>
          </cell>
          <cell r="B2025" t="str">
            <v>1100391</v>
          </cell>
          <cell r="C2025" t="str">
            <v>573-83-21</v>
          </cell>
          <cell r="D2025" t="str">
            <v>573</v>
          </cell>
          <cell r="E2025" t="str">
            <v>573 GLOCK 17/22 PLN BLK RH</v>
          </cell>
          <cell r="F2025" t="str">
            <v>DG-POUCH-F2-F3</v>
          </cell>
          <cell r="G2025" t="str">
            <v>1420-210-FG</v>
          </cell>
          <cell r="H2025" t="str">
            <v>R</v>
          </cell>
          <cell r="I2025" t="str">
            <v>06/11/2024</v>
          </cell>
          <cell r="J2025" t="str">
            <v>06/11/2024</v>
          </cell>
          <cell r="K2025" t="str">
            <v>06/25/2024</v>
          </cell>
          <cell r="L2025">
            <v>100</v>
          </cell>
          <cell r="M2025" t="str">
            <v>6/12/2024 11:32:04 AM</v>
          </cell>
          <cell r="N2025" t="str">
            <v>26</v>
          </cell>
          <cell r="O2025">
            <v>100</v>
          </cell>
          <cell r="P2025">
            <v>42.2</v>
          </cell>
        </row>
        <row r="2026">
          <cell r="A2026" t="str">
            <v>6727521</v>
          </cell>
          <cell r="B2026" t="str">
            <v>1130724</v>
          </cell>
          <cell r="C2026" t="str">
            <v>573-83-481</v>
          </cell>
          <cell r="D2026" t="str">
            <v>573</v>
          </cell>
          <cell r="E2026" t="str">
            <v>573 GLOCK 17/22 STX BSK BLK RH</v>
          </cell>
          <cell r="F2026" t="str">
            <v>DG-POUCH-F2-F3</v>
          </cell>
          <cell r="G2026" t="str">
            <v>1420-210-FG</v>
          </cell>
          <cell r="H2026" t="str">
            <v>R</v>
          </cell>
          <cell r="I2026" t="str">
            <v>06/11/2024</v>
          </cell>
          <cell r="J2026" t="str">
            <v>06/11/2024</v>
          </cell>
          <cell r="K2026" t="str">
            <v>06/25/2024</v>
          </cell>
          <cell r="L2026">
            <v>15</v>
          </cell>
          <cell r="M2026" t="str">
            <v>6/11/2024 3:32:00 PM</v>
          </cell>
          <cell r="N2026" t="str">
            <v>26</v>
          </cell>
          <cell r="O2026">
            <v>15</v>
          </cell>
          <cell r="P2026">
            <v>6.33</v>
          </cell>
        </row>
        <row r="2027">
          <cell r="A2027" t="str">
            <v>6727502</v>
          </cell>
          <cell r="B2027" t="str">
            <v>1121727</v>
          </cell>
          <cell r="C2027" t="str">
            <v>573-83-411</v>
          </cell>
          <cell r="D2027" t="str">
            <v>573</v>
          </cell>
          <cell r="E2027" t="str">
            <v>573 GLOCK 17/22 STX PLN BLK RH</v>
          </cell>
          <cell r="F2027" t="str">
            <v>DG-POUCH-F2-F3</v>
          </cell>
          <cell r="G2027" t="str">
            <v>1420-210-FG</v>
          </cell>
          <cell r="H2027" t="str">
            <v>R</v>
          </cell>
          <cell r="I2027" t="str">
            <v>06/11/2024</v>
          </cell>
          <cell r="J2027" t="str">
            <v>06/11/2024</v>
          </cell>
          <cell r="K2027" t="str">
            <v>06/25/2024</v>
          </cell>
          <cell r="L2027">
            <v>100</v>
          </cell>
          <cell r="M2027" t="str">
            <v>6/12/2024 11:32:04 AM</v>
          </cell>
          <cell r="N2027" t="str">
            <v>26</v>
          </cell>
          <cell r="O2027">
            <v>100</v>
          </cell>
          <cell r="P2027">
            <v>42.2</v>
          </cell>
        </row>
        <row r="2028">
          <cell r="A2028" t="str">
            <v>6727510</v>
          </cell>
          <cell r="B2028" t="str">
            <v>1121727</v>
          </cell>
          <cell r="C2028" t="str">
            <v>573-83-411</v>
          </cell>
          <cell r="D2028" t="str">
            <v>573</v>
          </cell>
          <cell r="E2028" t="str">
            <v>573 GLOCK 17/22 STX PLN BLK RH</v>
          </cell>
          <cell r="F2028" t="str">
            <v>DG-POUCH-F2-F3</v>
          </cell>
          <cell r="G2028" t="str">
            <v>1420-210-FG</v>
          </cell>
          <cell r="H2028" t="str">
            <v>R</v>
          </cell>
          <cell r="I2028" t="str">
            <v>06/11/2024</v>
          </cell>
          <cell r="J2028" t="str">
            <v>06/11/2024</v>
          </cell>
          <cell r="K2028" t="str">
            <v>06/25/2024</v>
          </cell>
          <cell r="L2028">
            <v>100</v>
          </cell>
          <cell r="M2028" t="str">
            <v>6/12/2024 11:32:04 AM</v>
          </cell>
          <cell r="N2028" t="str">
            <v>26</v>
          </cell>
          <cell r="O2028">
            <v>100</v>
          </cell>
          <cell r="P2028">
            <v>42.2</v>
          </cell>
        </row>
        <row r="2029">
          <cell r="A2029" t="str">
            <v>6727562</v>
          </cell>
          <cell r="B2029" t="str">
            <v>1121727</v>
          </cell>
          <cell r="C2029" t="str">
            <v>573-83-411</v>
          </cell>
          <cell r="D2029" t="str">
            <v>573</v>
          </cell>
          <cell r="E2029" t="str">
            <v>573 GLOCK 17/22 STX PLN BLK RH</v>
          </cell>
          <cell r="F2029" t="str">
            <v>DG-POUCH-F2-F3</v>
          </cell>
          <cell r="G2029" t="str">
            <v>1420-210-FG</v>
          </cell>
          <cell r="H2029" t="str">
            <v>R</v>
          </cell>
          <cell r="I2029" t="str">
            <v>06/11/2024</v>
          </cell>
          <cell r="J2029" t="str">
            <v>06/11/2024</v>
          </cell>
          <cell r="K2029" t="str">
            <v>06/25/2024</v>
          </cell>
          <cell r="L2029">
            <v>100</v>
          </cell>
          <cell r="M2029" t="str">
            <v>6/12/2024 11:32:04 AM</v>
          </cell>
          <cell r="N2029" t="str">
            <v>26</v>
          </cell>
          <cell r="O2029">
            <v>100</v>
          </cell>
          <cell r="P2029">
            <v>42.2</v>
          </cell>
        </row>
        <row r="2030">
          <cell r="A2030" t="str">
            <v>6727538</v>
          </cell>
          <cell r="B2030" t="str">
            <v>1135755</v>
          </cell>
          <cell r="C2030" t="str">
            <v>573-383-481</v>
          </cell>
          <cell r="D2030" t="str">
            <v>573</v>
          </cell>
          <cell r="E2030" t="str">
            <v>573 GLOCK 20/21 STX BSK BLK RH</v>
          </cell>
          <cell r="F2030" t="str">
            <v>DG-POUCH-F2-F3</v>
          </cell>
          <cell r="G2030" t="str">
            <v>1420-210-FG</v>
          </cell>
          <cell r="H2030" t="str">
            <v>R</v>
          </cell>
          <cell r="I2030" t="str">
            <v>06/11/2024</v>
          </cell>
          <cell r="J2030" t="str">
            <v>06/11/2024</v>
          </cell>
          <cell r="K2030" t="str">
            <v>06/25/2024</v>
          </cell>
          <cell r="L2030">
            <v>10</v>
          </cell>
          <cell r="M2030" t="str">
            <v>6/12/2024 11:32:04 AM</v>
          </cell>
          <cell r="N2030" t="str">
            <v>26</v>
          </cell>
          <cell r="O2030">
            <v>10</v>
          </cell>
          <cell r="P2030">
            <v>4.21</v>
          </cell>
        </row>
        <row r="2031">
          <cell r="A2031" t="str">
            <v>6727520</v>
          </cell>
          <cell r="B2031" t="str">
            <v>1171279</v>
          </cell>
          <cell r="C2031" t="str">
            <v>574-53-132</v>
          </cell>
          <cell r="D2031" t="str">
            <v>574</v>
          </cell>
          <cell r="E2031" t="str">
            <v>574 COLT 1911 STX TAC BLK LH</v>
          </cell>
          <cell r="F2031" t="str">
            <v>DG-POUCH-F2-F3</v>
          </cell>
          <cell r="G2031" t="str">
            <v>1420-210-FG</v>
          </cell>
          <cell r="H2031" t="str">
            <v>R</v>
          </cell>
          <cell r="I2031" t="str">
            <v>06/11/2024</v>
          </cell>
          <cell r="J2031" t="str">
            <v>06/11/2024</v>
          </cell>
          <cell r="K2031" t="str">
            <v>06/25/2024</v>
          </cell>
          <cell r="L2031">
            <v>1</v>
          </cell>
          <cell r="M2031" t="str">
            <v>6/11/2024 3:31:38 PM</v>
          </cell>
          <cell r="N2031" t="str">
            <v>26</v>
          </cell>
          <cell r="O2031">
            <v>1</v>
          </cell>
          <cell r="P2031">
            <v>0.34</v>
          </cell>
        </row>
        <row r="2032">
          <cell r="A2032" t="str">
            <v>6727606</v>
          </cell>
          <cell r="B2032" t="str">
            <v>1120594</v>
          </cell>
          <cell r="C2032" t="str">
            <v>6004-25-2</v>
          </cell>
          <cell r="D2032" t="str">
            <v>6004</v>
          </cell>
          <cell r="E2032" t="str">
            <v>6004 SNG LEG STRP W/DFA BLK</v>
          </cell>
          <cell r="F2032" t="str">
            <v>DG-HARNESS-DTC</v>
          </cell>
          <cell r="G2032" t="str">
            <v>1420-210-FG</v>
          </cell>
          <cell r="H2032" t="str">
            <v>F</v>
          </cell>
          <cell r="I2032" t="str">
            <v>06/11/2024</v>
          </cell>
          <cell r="J2032" t="str">
            <v>06/11/2024</v>
          </cell>
          <cell r="K2032" t="str">
            <v>06/25/2024</v>
          </cell>
          <cell r="L2032">
            <v>100</v>
          </cell>
          <cell r="M2032" t="str">
            <v/>
          </cell>
          <cell r="N2032" t="str">
            <v>26</v>
          </cell>
          <cell r="O2032">
            <v>100</v>
          </cell>
          <cell r="P2032">
            <v>10</v>
          </cell>
        </row>
        <row r="2033">
          <cell r="A2033" t="str">
            <v>6728851</v>
          </cell>
          <cell r="B2033" t="str">
            <v>1120594</v>
          </cell>
          <cell r="C2033" t="str">
            <v>6004-25-2</v>
          </cell>
          <cell r="D2033" t="str">
            <v>6004</v>
          </cell>
          <cell r="E2033" t="str">
            <v>6004 SNG LEG STRP W/DFA BLK</v>
          </cell>
          <cell r="F2033" t="str">
            <v>DG-HARNESS-DTC</v>
          </cell>
          <cell r="G2033" t="str">
            <v>1420-210-FG</v>
          </cell>
          <cell r="H2033" t="str">
            <v>F</v>
          </cell>
          <cell r="I2033" t="str">
            <v>06/13/2024</v>
          </cell>
          <cell r="J2033" t="str">
            <v>06/13/2024</v>
          </cell>
          <cell r="K2033" t="str">
            <v>06/25/2024</v>
          </cell>
          <cell r="L2033">
            <v>100</v>
          </cell>
          <cell r="M2033" t="str">
            <v/>
          </cell>
          <cell r="N2033" t="str">
            <v>26</v>
          </cell>
          <cell r="O2033">
            <v>100</v>
          </cell>
          <cell r="P2033">
            <v>10</v>
          </cell>
        </row>
        <row r="2034">
          <cell r="A2034" t="str">
            <v>6728303</v>
          </cell>
          <cell r="B2034" t="str">
            <v>1114831</v>
          </cell>
          <cell r="C2034" t="str">
            <v>62-4-4HS</v>
          </cell>
          <cell r="D2034" t="str">
            <v>62</v>
          </cell>
          <cell r="E2034" t="str">
            <v>62 BELT KEEPER 4PK BLK BSK HS 2.25IN</v>
          </cell>
          <cell r="F2034" t="str">
            <v>DG-KEEPER</v>
          </cell>
          <cell r="G2034" t="str">
            <v>1420-210-FG</v>
          </cell>
          <cell r="H2034" t="str">
            <v>R</v>
          </cell>
          <cell r="I2034" t="str">
            <v>06/11/2024</v>
          </cell>
          <cell r="J2034" t="str">
            <v>06/11/2024</v>
          </cell>
          <cell r="K2034" t="str">
            <v>06/25/2024</v>
          </cell>
          <cell r="L2034">
            <v>100</v>
          </cell>
          <cell r="M2034" t="str">
            <v>6/11/2024 3:09:45 PM</v>
          </cell>
          <cell r="N2034" t="str">
            <v>26</v>
          </cell>
          <cell r="O2034">
            <v>100</v>
          </cell>
          <cell r="P2034">
            <v>24.92</v>
          </cell>
        </row>
        <row r="2035">
          <cell r="A2035" t="str">
            <v>6728412</v>
          </cell>
          <cell r="B2035" t="str">
            <v>1114831</v>
          </cell>
          <cell r="C2035" t="str">
            <v>62-4-4HS</v>
          </cell>
          <cell r="D2035" t="str">
            <v>62</v>
          </cell>
          <cell r="E2035" t="str">
            <v>62 BELT KEEPER 4PK BLK BSK HS 2.25IN</v>
          </cell>
          <cell r="F2035" t="str">
            <v>DG-KEEPER</v>
          </cell>
          <cell r="G2035" t="str">
            <v>1420-210-FG</v>
          </cell>
          <cell r="H2035" t="str">
            <v>R</v>
          </cell>
          <cell r="I2035" t="str">
            <v>06/11/2024</v>
          </cell>
          <cell r="J2035" t="str">
            <v>06/11/2024</v>
          </cell>
          <cell r="K2035" t="str">
            <v>06/25/2024</v>
          </cell>
          <cell r="L2035">
            <v>100</v>
          </cell>
          <cell r="M2035" t="str">
            <v>6/11/2024 3:09:31 PM</v>
          </cell>
          <cell r="N2035" t="str">
            <v>26</v>
          </cell>
          <cell r="O2035">
            <v>100</v>
          </cell>
          <cell r="P2035">
            <v>24.92</v>
          </cell>
        </row>
        <row r="2036">
          <cell r="A2036" t="str">
            <v>6728859</v>
          </cell>
          <cell r="B2036" t="str">
            <v>1124808</v>
          </cell>
          <cell r="C2036" t="str">
            <v>6378-183-411</v>
          </cell>
          <cell r="D2036" t="str">
            <v>6378</v>
          </cell>
          <cell r="E2036" t="str">
            <v>6378 GLOCK 26/27 STX PLN BLK RH</v>
          </cell>
          <cell r="F2036" t="str">
            <v>DG-HOLSTER-DTC</v>
          </cell>
          <cell r="G2036" t="str">
            <v>1420-210-FG</v>
          </cell>
          <cell r="H2036" t="str">
            <v>F</v>
          </cell>
          <cell r="I2036" t="str">
            <v>06/13/2024</v>
          </cell>
          <cell r="J2036" t="str">
            <v>06/13/2024</v>
          </cell>
          <cell r="K2036" t="str">
            <v>06/25/2024</v>
          </cell>
          <cell r="L2036">
            <v>15</v>
          </cell>
          <cell r="M2036" t="str">
            <v/>
          </cell>
          <cell r="N2036" t="str">
            <v>26</v>
          </cell>
          <cell r="O2036">
            <v>15</v>
          </cell>
          <cell r="P2036">
            <v>6.26</v>
          </cell>
        </row>
        <row r="2037">
          <cell r="A2037" t="str">
            <v>6728861</v>
          </cell>
          <cell r="B2037" t="str">
            <v>1139873</v>
          </cell>
          <cell r="C2037" t="str">
            <v>6378-01-411</v>
          </cell>
          <cell r="D2037" t="str">
            <v>6378</v>
          </cell>
          <cell r="E2037" t="str">
            <v>6378 S&amp;W 640 STX PLN BLK RH</v>
          </cell>
          <cell r="F2037" t="str">
            <v>DG-HOLSTER-DTC</v>
          </cell>
          <cell r="G2037" t="str">
            <v>1420-210-FG</v>
          </cell>
          <cell r="H2037" t="str">
            <v>F</v>
          </cell>
          <cell r="I2037" t="str">
            <v>06/13/2024</v>
          </cell>
          <cell r="J2037" t="str">
            <v>06/13/2024</v>
          </cell>
          <cell r="K2037" t="str">
            <v>06/25/2024</v>
          </cell>
          <cell r="L2037">
            <v>5</v>
          </cell>
          <cell r="M2037" t="str">
            <v/>
          </cell>
          <cell r="N2037" t="str">
            <v>26</v>
          </cell>
          <cell r="O2037">
            <v>5</v>
          </cell>
          <cell r="P2037">
            <v>2.09</v>
          </cell>
        </row>
        <row r="2038">
          <cell r="A2038" t="str">
            <v>6728862</v>
          </cell>
          <cell r="B2038" t="str">
            <v>1154213</v>
          </cell>
          <cell r="C2038" t="str">
            <v>6378-477-411</v>
          </cell>
          <cell r="D2038" t="str">
            <v>6378</v>
          </cell>
          <cell r="E2038" t="str">
            <v>6378 SIG P226R STX PLN BLK RH</v>
          </cell>
          <cell r="F2038" t="str">
            <v>DG-HOLSTER-DTC</v>
          </cell>
          <cell r="G2038" t="str">
            <v>1420-210-FG</v>
          </cell>
          <cell r="H2038" t="str">
            <v>F</v>
          </cell>
          <cell r="I2038" t="str">
            <v>06/13/2024</v>
          </cell>
          <cell r="J2038" t="str">
            <v>06/13/2024</v>
          </cell>
          <cell r="K2038" t="str">
            <v>06/25/2024</v>
          </cell>
          <cell r="L2038">
            <v>5</v>
          </cell>
          <cell r="M2038" t="str">
            <v/>
          </cell>
          <cell r="N2038" t="str">
            <v>26</v>
          </cell>
          <cell r="O2038">
            <v>5</v>
          </cell>
          <cell r="P2038">
            <v>2.09</v>
          </cell>
        </row>
        <row r="2039">
          <cell r="A2039" t="str">
            <v>6728860</v>
          </cell>
          <cell r="B2039" t="str">
            <v>1128070</v>
          </cell>
          <cell r="C2039" t="str">
            <v>6378-56-411</v>
          </cell>
          <cell r="D2039" t="str">
            <v>6378</v>
          </cell>
          <cell r="E2039" t="str">
            <v>6378 SPG FLD OPR 1911 STX PLN BLK RH</v>
          </cell>
          <cell r="F2039" t="str">
            <v>DG-HOLSTER-DTC</v>
          </cell>
          <cell r="G2039" t="str">
            <v>1420-210-FG</v>
          </cell>
          <cell r="H2039" t="str">
            <v>F</v>
          </cell>
          <cell r="I2039" t="str">
            <v>06/13/2024</v>
          </cell>
          <cell r="J2039" t="str">
            <v>06/13/2024</v>
          </cell>
          <cell r="K2039" t="str">
            <v>06/25/2024</v>
          </cell>
          <cell r="L2039">
            <v>10</v>
          </cell>
          <cell r="M2039" t="str">
            <v/>
          </cell>
          <cell r="N2039" t="str">
            <v>26</v>
          </cell>
          <cell r="O2039">
            <v>10</v>
          </cell>
          <cell r="P2039">
            <v>4.17</v>
          </cell>
        </row>
        <row r="2040">
          <cell r="A2040" t="str">
            <v>6728603</v>
          </cell>
          <cell r="B2040" t="str">
            <v>1335119</v>
          </cell>
          <cell r="C2040" t="str">
            <v>6390RDS-2582-131</v>
          </cell>
          <cell r="D2040" t="str">
            <v>6390RDS</v>
          </cell>
          <cell r="E2040" t="str">
            <v>6390RDS 2011 STCC 5"X300U STX TAC BLK RH</v>
          </cell>
          <cell r="F2040" t="str">
            <v>DG-HOLSTER-RDS-DTC</v>
          </cell>
          <cell r="G2040" t="str">
            <v>1420-210-FG</v>
          </cell>
          <cell r="H2040" t="str">
            <v>F</v>
          </cell>
          <cell r="I2040" t="str">
            <v>06/12/2024</v>
          </cell>
          <cell r="J2040" t="str">
            <v>06/12/2024</v>
          </cell>
          <cell r="K2040" t="str">
            <v>06/25/2024</v>
          </cell>
          <cell r="L2040">
            <v>27</v>
          </cell>
          <cell r="M2040" t="str">
            <v/>
          </cell>
          <cell r="N2040" t="str">
            <v>26</v>
          </cell>
          <cell r="O2040">
            <v>27</v>
          </cell>
          <cell r="P2040">
            <v>10.8</v>
          </cell>
        </row>
        <row r="2041">
          <cell r="A2041" t="str">
            <v>6727651</v>
          </cell>
          <cell r="B2041" t="str">
            <v>1321429</v>
          </cell>
          <cell r="C2041" t="str">
            <v>6390RDS-2222-482</v>
          </cell>
          <cell r="D2041" t="str">
            <v>6390RDS</v>
          </cell>
          <cell r="E2041" t="str">
            <v>6390RDS MP2.0 9 CORE X300U STXBSK BLK LH</v>
          </cell>
          <cell r="F2041" t="str">
            <v>DG-HOLSTER-RDS</v>
          </cell>
          <cell r="G2041" t="str">
            <v>1420-210-FG</v>
          </cell>
          <cell r="H2041" t="str">
            <v>F</v>
          </cell>
          <cell r="I2041" t="str">
            <v>06/11/2024</v>
          </cell>
          <cell r="J2041" t="str">
            <v>06/11/2024</v>
          </cell>
          <cell r="K2041" t="str">
            <v>06/25/2024</v>
          </cell>
          <cell r="L2041">
            <v>5</v>
          </cell>
          <cell r="M2041" t="str">
            <v/>
          </cell>
          <cell r="N2041" t="str">
            <v>26</v>
          </cell>
          <cell r="O2041">
            <v>5</v>
          </cell>
          <cell r="P2041">
            <v>2</v>
          </cell>
        </row>
        <row r="2042">
          <cell r="A2042" t="str">
            <v>6728593</v>
          </cell>
          <cell r="B2042" t="str">
            <v>1324671</v>
          </cell>
          <cell r="C2042" t="str">
            <v>6390RDS-1582-131</v>
          </cell>
          <cell r="D2042" t="str">
            <v>6390RDS</v>
          </cell>
          <cell r="E2042" t="str">
            <v>6390RDS STI STACC P 4.4" X300U STXBLK RH</v>
          </cell>
          <cell r="F2042" t="str">
            <v>DG-HOLSTER-RDS</v>
          </cell>
          <cell r="G2042" t="str">
            <v>1420-210-FG</v>
          </cell>
          <cell r="H2042" t="str">
            <v>F</v>
          </cell>
          <cell r="I2042" t="str">
            <v>06/12/2024</v>
          </cell>
          <cell r="J2042" t="str">
            <v>06/12/2024</v>
          </cell>
          <cell r="K2042" t="str">
            <v>06/25/2024</v>
          </cell>
          <cell r="L2042">
            <v>50</v>
          </cell>
          <cell r="M2042" t="str">
            <v/>
          </cell>
          <cell r="N2042" t="str">
            <v>26</v>
          </cell>
          <cell r="O2042">
            <v>50</v>
          </cell>
          <cell r="P2042">
            <v>20</v>
          </cell>
        </row>
        <row r="2043">
          <cell r="A2043" t="str">
            <v>6728869</v>
          </cell>
          <cell r="B2043" t="str">
            <v>1335344</v>
          </cell>
          <cell r="C2043" t="str">
            <v>6390RDSO-1582-131</v>
          </cell>
          <cell r="D2043" t="str">
            <v>6390RDSO</v>
          </cell>
          <cell r="E2043" t="str">
            <v>6390RDSO STI STACCP 4.4" X300U STXBLK RH</v>
          </cell>
          <cell r="F2043" t="str">
            <v>DG-HOLSTER-RDS</v>
          </cell>
          <cell r="G2043" t="str">
            <v>1420-210-FG</v>
          </cell>
          <cell r="H2043" t="str">
            <v>F</v>
          </cell>
          <cell r="I2043" t="str">
            <v>06/13/2024</v>
          </cell>
          <cell r="J2043" t="str">
            <v>06/13/2024</v>
          </cell>
          <cell r="K2043" t="str">
            <v>06/25/2024</v>
          </cell>
          <cell r="L2043">
            <v>9</v>
          </cell>
          <cell r="M2043" t="str">
            <v/>
          </cell>
          <cell r="N2043" t="str">
            <v>26</v>
          </cell>
          <cell r="O2043">
            <v>9</v>
          </cell>
          <cell r="P2043">
            <v>3.6</v>
          </cell>
        </row>
        <row r="2044">
          <cell r="A2044" t="str">
            <v>6727688</v>
          </cell>
          <cell r="B2044" t="str">
            <v>1101307</v>
          </cell>
          <cell r="C2044" t="str">
            <v>65-4-4</v>
          </cell>
          <cell r="D2044" t="str">
            <v>65</v>
          </cell>
          <cell r="E2044" t="str">
            <v>65 BELT KEEPER 4PK BLK BSK CH 2.25IN</v>
          </cell>
          <cell r="F2044" t="str">
            <v>DG-KEEPER</v>
          </cell>
          <cell r="G2044" t="str">
            <v>1420-210-FG</v>
          </cell>
          <cell r="H2044" t="str">
            <v>R</v>
          </cell>
          <cell r="I2044" t="str">
            <v>06/11/2024</v>
          </cell>
          <cell r="J2044" t="str">
            <v>06/11/2024</v>
          </cell>
          <cell r="K2044" t="str">
            <v>06/25/2024</v>
          </cell>
          <cell r="L2044">
            <v>50</v>
          </cell>
          <cell r="M2044" t="str">
            <v>6/11/2024 3:09:06 PM</v>
          </cell>
          <cell r="N2044" t="str">
            <v>26</v>
          </cell>
          <cell r="O2044">
            <v>50</v>
          </cell>
          <cell r="P2044">
            <v>1.46</v>
          </cell>
        </row>
        <row r="2045">
          <cell r="A2045" t="str">
            <v>6728433</v>
          </cell>
          <cell r="B2045" t="str">
            <v>1101307</v>
          </cell>
          <cell r="C2045" t="str">
            <v>65-4-4</v>
          </cell>
          <cell r="D2045" t="str">
            <v>65</v>
          </cell>
          <cell r="E2045" t="str">
            <v>65 BELT KEEPER 4PK BLK BSK CH 2.25IN</v>
          </cell>
          <cell r="F2045" t="str">
            <v>DG-KEEPER</v>
          </cell>
          <cell r="G2045" t="str">
            <v>1420-210-FG</v>
          </cell>
          <cell r="H2045" t="str">
            <v>R</v>
          </cell>
          <cell r="I2045" t="str">
            <v>06/11/2024</v>
          </cell>
          <cell r="J2045" t="str">
            <v>06/11/2024</v>
          </cell>
          <cell r="K2045" t="str">
            <v>06/25/2024</v>
          </cell>
          <cell r="L2045">
            <v>50</v>
          </cell>
          <cell r="M2045" t="str">
            <v>6/11/2024 3:08:55 PM</v>
          </cell>
          <cell r="N2045" t="str">
            <v>26</v>
          </cell>
          <cell r="O2045">
            <v>50</v>
          </cell>
          <cell r="P2045">
            <v>1.46</v>
          </cell>
        </row>
        <row r="2046">
          <cell r="A2046" t="str">
            <v>6728302</v>
          </cell>
          <cell r="B2046" t="str">
            <v>1101312</v>
          </cell>
          <cell r="C2046" t="str">
            <v>65-4-4PBL</v>
          </cell>
          <cell r="D2046" t="str">
            <v>65</v>
          </cell>
          <cell r="E2046" t="str">
            <v>65 BELT KEEPER 4PK BLK BSK PBL 2.25IN</v>
          </cell>
          <cell r="F2046" t="str">
            <v>DG-KEEPER</v>
          </cell>
          <cell r="G2046" t="str">
            <v>1420-210-FG</v>
          </cell>
          <cell r="H2046" t="str">
            <v>R</v>
          </cell>
          <cell r="I2046" t="str">
            <v>06/11/2024</v>
          </cell>
          <cell r="J2046" t="str">
            <v>06/11/2024</v>
          </cell>
          <cell r="K2046" t="str">
            <v>06/25/2024</v>
          </cell>
          <cell r="L2046">
            <v>40</v>
          </cell>
          <cell r="M2046" t="str">
            <v>6/11/2024 3:08:46 PM</v>
          </cell>
          <cell r="N2046" t="str">
            <v>26</v>
          </cell>
          <cell r="O2046">
            <v>40</v>
          </cell>
          <cell r="P2046">
            <v>1.17</v>
          </cell>
        </row>
        <row r="2047">
          <cell r="A2047" t="str">
            <v>6728301</v>
          </cell>
          <cell r="B2047" t="str">
            <v>1101303</v>
          </cell>
          <cell r="C2047" t="str">
            <v>65-4-2B</v>
          </cell>
          <cell r="D2047" t="str">
            <v>65</v>
          </cell>
          <cell r="E2047" t="str">
            <v>65 BELT KEEPER 4PK BLK PLN BR 2.25IN</v>
          </cell>
          <cell r="F2047" t="str">
            <v>DG-KEEPER</v>
          </cell>
          <cell r="G2047" t="str">
            <v>1420-210-FG</v>
          </cell>
          <cell r="H2047" t="str">
            <v>F</v>
          </cell>
          <cell r="I2047" t="str">
            <v>06/11/2024</v>
          </cell>
          <cell r="J2047" t="str">
            <v>06/11/2024</v>
          </cell>
          <cell r="K2047" t="str">
            <v>06/25/2024</v>
          </cell>
          <cell r="L2047">
            <v>41</v>
          </cell>
          <cell r="M2047" t="str">
            <v/>
          </cell>
          <cell r="N2047" t="str">
            <v>26</v>
          </cell>
          <cell r="O2047">
            <v>41</v>
          </cell>
          <cell r="P2047">
            <v>1.19</v>
          </cell>
        </row>
        <row r="2048">
          <cell r="A2048" t="str">
            <v>6727721</v>
          </cell>
          <cell r="B2048" t="str">
            <v>1017382</v>
          </cell>
          <cell r="C2048" t="str">
            <v>22411</v>
          </cell>
          <cell r="D2048" t="str">
            <v>7225</v>
          </cell>
          <cell r="E2048" t="str">
            <v>7225 ERGOTEK DUTY BLT NYL BLK SZ 40-42</v>
          </cell>
          <cell r="F2048" t="str">
            <v>BN-BELT</v>
          </cell>
          <cell r="G2048" t="str">
            <v>1420-210-FG</v>
          </cell>
          <cell r="H2048" t="str">
            <v>R</v>
          </cell>
          <cell r="I2048" t="str">
            <v>06/11/2024</v>
          </cell>
          <cell r="J2048" t="str">
            <v>06/11/2024</v>
          </cell>
          <cell r="K2048" t="str">
            <v>06/25/2024</v>
          </cell>
          <cell r="L2048">
            <v>5</v>
          </cell>
          <cell r="M2048" t="str">
            <v>6/11/2024 3:24:45 PM</v>
          </cell>
          <cell r="N2048" t="str">
            <v>26</v>
          </cell>
          <cell r="O2048">
            <v>5</v>
          </cell>
          <cell r="P2048">
            <v>0.71</v>
          </cell>
        </row>
        <row r="2049">
          <cell r="A2049" t="str">
            <v>6727727</v>
          </cell>
          <cell r="B2049" t="str">
            <v>1018368</v>
          </cell>
          <cell r="C2049" t="str">
            <v>24776</v>
          </cell>
          <cell r="D2049" t="str">
            <v>7235</v>
          </cell>
          <cell r="E2049" t="str">
            <v>7235 ERGOTEK BLT KIT NYL BLK SZ 36-38</v>
          </cell>
          <cell r="F2049" t="str">
            <v>BN-BELT</v>
          </cell>
          <cell r="G2049" t="str">
            <v>1420-210-FG</v>
          </cell>
          <cell r="H2049" t="str">
            <v>R</v>
          </cell>
          <cell r="I2049" t="str">
            <v>06/11/2024</v>
          </cell>
          <cell r="J2049" t="str">
            <v>06/11/2024</v>
          </cell>
          <cell r="K2049" t="str">
            <v>06/25/2024</v>
          </cell>
          <cell r="L2049">
            <v>6</v>
          </cell>
          <cell r="M2049" t="str">
            <v>6/11/2024 3:24:45 PM</v>
          </cell>
          <cell r="N2049" t="str">
            <v>26</v>
          </cell>
          <cell r="O2049">
            <v>6</v>
          </cell>
          <cell r="P2049">
            <v>1.86</v>
          </cell>
        </row>
        <row r="2050">
          <cell r="A2050" t="str">
            <v>6727729</v>
          </cell>
          <cell r="B2050" t="str">
            <v>1018382</v>
          </cell>
          <cell r="C2050" t="str">
            <v>24778</v>
          </cell>
          <cell r="D2050" t="str">
            <v>7235</v>
          </cell>
          <cell r="E2050" t="str">
            <v>7235 ERGOTEK BLT KIT NYL BLK SZ 40-42</v>
          </cell>
          <cell r="F2050" t="str">
            <v>BN-BELT</v>
          </cell>
          <cell r="G2050" t="str">
            <v>1420-210-FG</v>
          </cell>
          <cell r="H2050" t="str">
            <v>R</v>
          </cell>
          <cell r="I2050" t="str">
            <v>06/11/2024</v>
          </cell>
          <cell r="J2050" t="str">
            <v>06/11/2024</v>
          </cell>
          <cell r="K2050" t="str">
            <v>06/25/2024</v>
          </cell>
          <cell r="L2050">
            <v>5</v>
          </cell>
          <cell r="M2050" t="str">
            <v>6/11/2024 3:24:45 PM</v>
          </cell>
          <cell r="N2050" t="str">
            <v>26</v>
          </cell>
          <cell r="O2050">
            <v>5</v>
          </cell>
          <cell r="P2050">
            <v>1.55</v>
          </cell>
        </row>
        <row r="2051">
          <cell r="A2051" t="str">
            <v>6728074</v>
          </cell>
          <cell r="B2051" t="str">
            <v>1331668</v>
          </cell>
          <cell r="C2051" t="str">
            <v>766-8-563-MSA</v>
          </cell>
          <cell r="D2051" t="str">
            <v>766</v>
          </cell>
          <cell r="E2051" t="str">
            <v>766 APX 6000 STX TAC ODG</v>
          </cell>
          <cell r="F2051" t="str">
            <v>DG-POUCH-F1</v>
          </cell>
          <cell r="G2051" t="str">
            <v>1420-210-FG</v>
          </cell>
          <cell r="H2051" t="str">
            <v>R</v>
          </cell>
          <cell r="I2051" t="str">
            <v>06/11/2024</v>
          </cell>
          <cell r="J2051" t="str">
            <v>06/11/2024</v>
          </cell>
          <cell r="K2051" t="str">
            <v>06/25/2024</v>
          </cell>
          <cell r="L2051">
            <v>1</v>
          </cell>
          <cell r="M2051" t="str">
            <v>6/11/2024 3:25:01 PM</v>
          </cell>
          <cell r="N2051" t="str">
            <v>26</v>
          </cell>
          <cell r="O2051">
            <v>1</v>
          </cell>
          <cell r="P2051">
            <v>0.41</v>
          </cell>
        </row>
        <row r="2052">
          <cell r="A2052" t="str">
            <v>6728353</v>
          </cell>
          <cell r="B2052" t="str">
            <v>1102144</v>
          </cell>
          <cell r="C2052" t="str">
            <v>77-83-2</v>
          </cell>
          <cell r="D2052" t="str">
            <v>77</v>
          </cell>
          <cell r="E2052" t="str">
            <v>77 GLOCK 17/22 PLN BLK</v>
          </cell>
          <cell r="F2052" t="str">
            <v>DG-POUCH-F1</v>
          </cell>
          <cell r="G2052" t="str">
            <v>1420-210-FG</v>
          </cell>
          <cell r="H2052" t="str">
            <v>R</v>
          </cell>
          <cell r="I2052" t="str">
            <v>06/11/2024</v>
          </cell>
          <cell r="J2052" t="str">
            <v>06/11/2024</v>
          </cell>
          <cell r="K2052" t="str">
            <v>06/25/2024</v>
          </cell>
          <cell r="L2052">
            <v>100</v>
          </cell>
          <cell r="M2052" t="str">
            <v>6/11/2024 3:28:28 PM</v>
          </cell>
          <cell r="N2052" t="str">
            <v>26</v>
          </cell>
          <cell r="O2052">
            <v>100</v>
          </cell>
          <cell r="P2052">
            <v>35.770000000000003</v>
          </cell>
        </row>
        <row r="2053">
          <cell r="A2053" t="str">
            <v>6728354</v>
          </cell>
          <cell r="B2053" t="str">
            <v>1102151</v>
          </cell>
          <cell r="C2053" t="str">
            <v>77-83-2HS</v>
          </cell>
          <cell r="D2053" t="str">
            <v>77</v>
          </cell>
          <cell r="E2053" t="str">
            <v>77 GLOCK 17/22 PLN BLK</v>
          </cell>
          <cell r="F2053" t="str">
            <v>DG-POUCH-F1</v>
          </cell>
          <cell r="G2053" t="str">
            <v>1420-210-FG</v>
          </cell>
          <cell r="H2053" t="str">
            <v>R</v>
          </cell>
          <cell r="I2053" t="str">
            <v>06/11/2024</v>
          </cell>
          <cell r="J2053" t="str">
            <v>06/11/2024</v>
          </cell>
          <cell r="K2053" t="str">
            <v>06/25/2024</v>
          </cell>
          <cell r="L2053">
            <v>100</v>
          </cell>
          <cell r="M2053" t="str">
            <v>6/11/2024 3:28:28 PM</v>
          </cell>
          <cell r="N2053" t="str">
            <v>26</v>
          </cell>
          <cell r="O2053">
            <v>100</v>
          </cell>
          <cell r="P2053">
            <v>50.49</v>
          </cell>
        </row>
        <row r="2054">
          <cell r="A2054" t="str">
            <v>6727693</v>
          </cell>
          <cell r="B2054" t="str">
            <v>1118295</v>
          </cell>
          <cell r="C2054" t="str">
            <v>77-83-48</v>
          </cell>
          <cell r="D2054" t="str">
            <v>77</v>
          </cell>
          <cell r="E2054" t="str">
            <v>77 GLOCK 17/22 STX BSK BLK</v>
          </cell>
          <cell r="F2054" t="str">
            <v>DG-POUCH-F1</v>
          </cell>
          <cell r="G2054" t="str">
            <v>1420-210-FG</v>
          </cell>
          <cell r="H2054" t="str">
            <v>R</v>
          </cell>
          <cell r="I2054" t="str">
            <v>06/11/2024</v>
          </cell>
          <cell r="J2054" t="str">
            <v>06/11/2024</v>
          </cell>
          <cell r="K2054" t="str">
            <v>06/25/2024</v>
          </cell>
          <cell r="L2054">
            <v>30</v>
          </cell>
          <cell r="M2054" t="str">
            <v>6/11/2024 3:28:28 PM</v>
          </cell>
          <cell r="N2054" t="str">
            <v>26</v>
          </cell>
          <cell r="O2054">
            <v>30</v>
          </cell>
          <cell r="P2054">
            <v>11.94</v>
          </cell>
        </row>
        <row r="2055">
          <cell r="A2055" t="str">
            <v>6727692</v>
          </cell>
          <cell r="B2055" t="str">
            <v>1112664</v>
          </cell>
          <cell r="C2055" t="str">
            <v>77-83-48HS</v>
          </cell>
          <cell r="D2055" t="str">
            <v>77</v>
          </cell>
          <cell r="E2055" t="str">
            <v>77 GLOCK 17/22 STX BSK BLK</v>
          </cell>
          <cell r="F2055" t="str">
            <v>DG-POUCH-F1</v>
          </cell>
          <cell r="G2055" t="str">
            <v>1420-210-FG</v>
          </cell>
          <cell r="H2055" t="str">
            <v>R</v>
          </cell>
          <cell r="I2055" t="str">
            <v>06/11/2024</v>
          </cell>
          <cell r="J2055" t="str">
            <v>06/11/2024</v>
          </cell>
          <cell r="K2055" t="str">
            <v>06/25/2024</v>
          </cell>
          <cell r="L2055">
            <v>100</v>
          </cell>
          <cell r="M2055" t="str">
            <v>6/11/2024 3:28:28 PM</v>
          </cell>
          <cell r="N2055" t="str">
            <v>26</v>
          </cell>
          <cell r="O2055">
            <v>100</v>
          </cell>
          <cell r="P2055">
            <v>44.67</v>
          </cell>
        </row>
        <row r="2056">
          <cell r="A2056" t="str">
            <v>6728260</v>
          </cell>
          <cell r="B2056" t="str">
            <v>1118616</v>
          </cell>
          <cell r="C2056" t="str">
            <v>77-383-54PBL</v>
          </cell>
          <cell r="D2056" t="str">
            <v>77</v>
          </cell>
          <cell r="E2056" t="str">
            <v>77 GLOCK 20/21 STX TAC FGR</v>
          </cell>
          <cell r="F2056" t="str">
            <v>DG-POUCH-F1</v>
          </cell>
          <cell r="G2056" t="str">
            <v>1420-210-FG</v>
          </cell>
          <cell r="H2056" t="str">
            <v>R</v>
          </cell>
          <cell r="I2056" t="str">
            <v>06/11/2024</v>
          </cell>
          <cell r="J2056" t="str">
            <v>06/11/2024</v>
          </cell>
          <cell r="K2056" t="str">
            <v>06/25/2024</v>
          </cell>
          <cell r="L2056">
            <v>1</v>
          </cell>
          <cell r="M2056" t="str">
            <v>6/11/2024 3:25:01 PM</v>
          </cell>
          <cell r="N2056" t="str">
            <v>26</v>
          </cell>
          <cell r="O2056">
            <v>1</v>
          </cell>
          <cell r="P2056">
            <v>0.38</v>
          </cell>
        </row>
        <row r="2057">
          <cell r="A2057" t="str">
            <v>6727533</v>
          </cell>
          <cell r="B2057" t="str">
            <v>1135444</v>
          </cell>
          <cell r="C2057" t="str">
            <v>773-83-482-2</v>
          </cell>
          <cell r="D2057" t="str">
            <v>773</v>
          </cell>
          <cell r="E2057" t="str">
            <v>773 GLOCK 17/22 STX BSK BLK LH</v>
          </cell>
          <cell r="F2057" t="str">
            <v>DG-POUCH-F2-F3</v>
          </cell>
          <cell r="G2057" t="str">
            <v>1420-210-FG</v>
          </cell>
          <cell r="H2057" t="str">
            <v>R</v>
          </cell>
          <cell r="I2057" t="str">
            <v>06/11/2024</v>
          </cell>
          <cell r="J2057" t="str">
            <v>06/11/2024</v>
          </cell>
          <cell r="K2057" t="str">
            <v>06/25/2024</v>
          </cell>
          <cell r="L2057">
            <v>2</v>
          </cell>
          <cell r="M2057" t="str">
            <v>6/12/2024 11:32:04 AM</v>
          </cell>
          <cell r="N2057" t="str">
            <v>26</v>
          </cell>
          <cell r="O2057">
            <v>2</v>
          </cell>
          <cell r="P2057">
            <v>0.55000000000000004</v>
          </cell>
        </row>
        <row r="2058">
          <cell r="A2058" t="str">
            <v>6727547</v>
          </cell>
          <cell r="B2058" t="str">
            <v>1187237</v>
          </cell>
          <cell r="C2058" t="str">
            <v>773-83-761-MS36</v>
          </cell>
          <cell r="D2058" t="str">
            <v>773</v>
          </cell>
          <cell r="E2058" t="str">
            <v>773 GLOCK 17/22 STX TAC CYTB RH</v>
          </cell>
          <cell r="F2058" t="str">
            <v>DG-POUCH-F2-F3</v>
          </cell>
          <cell r="G2058" t="str">
            <v>1420-210-FG</v>
          </cell>
          <cell r="H2058" t="str">
            <v>F</v>
          </cell>
          <cell r="I2058" t="str">
            <v>06/11/2024</v>
          </cell>
          <cell r="J2058" t="str">
            <v>06/11/2024</v>
          </cell>
          <cell r="K2058" t="str">
            <v>06/25/2024</v>
          </cell>
          <cell r="L2058">
            <v>1</v>
          </cell>
          <cell r="M2058" t="str">
            <v/>
          </cell>
          <cell r="N2058" t="str">
            <v>26</v>
          </cell>
          <cell r="O2058">
            <v>1</v>
          </cell>
          <cell r="P2058">
            <v>0.15</v>
          </cell>
        </row>
        <row r="2059">
          <cell r="A2059" t="str">
            <v>6727554</v>
          </cell>
          <cell r="B2059" t="str">
            <v>1141315</v>
          </cell>
          <cell r="C2059" t="str">
            <v>774-215-413-MS34</v>
          </cell>
          <cell r="D2059" t="str">
            <v>774</v>
          </cell>
          <cell r="E2059" t="str">
            <v>774 COLT AR15 STX TAC BLK</v>
          </cell>
          <cell r="F2059" t="str">
            <v>DG-POUCH-F2-F3</v>
          </cell>
          <cell r="G2059" t="str">
            <v>1420-210-FG</v>
          </cell>
          <cell r="H2059" t="str">
            <v>R</v>
          </cell>
          <cell r="I2059" t="str">
            <v>06/11/2024</v>
          </cell>
          <cell r="J2059" t="str">
            <v>06/11/2024</v>
          </cell>
          <cell r="K2059" t="str">
            <v>06/25/2024</v>
          </cell>
          <cell r="L2059">
            <v>10</v>
          </cell>
          <cell r="M2059" t="str">
            <v>6/12/2024 11:32:04 AM</v>
          </cell>
          <cell r="N2059" t="str">
            <v>26</v>
          </cell>
          <cell r="O2059">
            <v>10</v>
          </cell>
          <cell r="P2059">
            <v>1.64</v>
          </cell>
        </row>
        <row r="2060">
          <cell r="A2060" t="str">
            <v>6727551</v>
          </cell>
          <cell r="B2060" t="str">
            <v>1141388</v>
          </cell>
          <cell r="C2060" t="str">
            <v>774-212-23-MS16</v>
          </cell>
          <cell r="D2060" t="str">
            <v>774</v>
          </cell>
          <cell r="E2060" t="str">
            <v>774 H&amp;K G36 STX TAC BLK</v>
          </cell>
          <cell r="F2060" t="str">
            <v>DG-POUCH-F2-F3</v>
          </cell>
          <cell r="G2060" t="str">
            <v>1420-210-FG</v>
          </cell>
          <cell r="H2060" t="str">
            <v>R</v>
          </cell>
          <cell r="I2060" t="str">
            <v>06/11/2024</v>
          </cell>
          <cell r="J2060" t="str">
            <v>06/11/2024</v>
          </cell>
          <cell r="K2060" t="str">
            <v>06/25/2024</v>
          </cell>
          <cell r="L2060">
            <v>1</v>
          </cell>
          <cell r="M2060" t="str">
            <v>6/12/2024 11:32:04 AM</v>
          </cell>
          <cell r="N2060" t="str">
            <v>26</v>
          </cell>
          <cell r="O2060">
            <v>1</v>
          </cell>
          <cell r="P2060">
            <v>0.14000000000000001</v>
          </cell>
        </row>
        <row r="2061">
          <cell r="A2061" t="str">
            <v>6728043</v>
          </cell>
          <cell r="B2061" t="str">
            <v>1331921</v>
          </cell>
          <cell r="C2061" t="str">
            <v>775-53-563-MSA</v>
          </cell>
          <cell r="D2061" t="str">
            <v>775</v>
          </cell>
          <cell r="E2061" t="str">
            <v>775 COLT 1911 STX TAC ODG</v>
          </cell>
          <cell r="F2061" t="str">
            <v>DG-POUCH-F1</v>
          </cell>
          <cell r="G2061" t="str">
            <v>1420-210-FG</v>
          </cell>
          <cell r="H2061" t="str">
            <v>R</v>
          </cell>
          <cell r="I2061" t="str">
            <v>06/11/2024</v>
          </cell>
          <cell r="J2061" t="str">
            <v>06/11/2024</v>
          </cell>
          <cell r="K2061" t="str">
            <v>06/25/2024</v>
          </cell>
          <cell r="L2061">
            <v>1</v>
          </cell>
          <cell r="M2061" t="str">
            <v>6/11/2024 3:25:01 PM</v>
          </cell>
          <cell r="N2061" t="str">
            <v>26</v>
          </cell>
          <cell r="O2061">
            <v>1</v>
          </cell>
          <cell r="P2061">
            <v>0.38</v>
          </cell>
        </row>
        <row r="2062">
          <cell r="A2062" t="str">
            <v>6727695</v>
          </cell>
          <cell r="B2062" t="str">
            <v>1137628</v>
          </cell>
          <cell r="C2062" t="str">
            <v>775-83-4</v>
          </cell>
          <cell r="D2062" t="str">
            <v>775</v>
          </cell>
          <cell r="E2062" t="str">
            <v>775 GLOCK 17/22 BSK BLK</v>
          </cell>
          <cell r="F2062" t="str">
            <v>DG-POUCH-F1</v>
          </cell>
          <cell r="G2062" t="str">
            <v>1420-210-FG</v>
          </cell>
          <cell r="H2062" t="str">
            <v>R</v>
          </cell>
          <cell r="I2062" t="str">
            <v>06/11/2024</v>
          </cell>
          <cell r="J2062" t="str">
            <v>06/11/2024</v>
          </cell>
          <cell r="K2062" t="str">
            <v>06/25/2024</v>
          </cell>
          <cell r="L2062">
            <v>75</v>
          </cell>
          <cell r="M2062" t="str">
            <v>6/11/2024 3:28:28 PM</v>
          </cell>
          <cell r="N2062" t="str">
            <v>26</v>
          </cell>
          <cell r="O2062">
            <v>75</v>
          </cell>
          <cell r="P2062">
            <v>27.47</v>
          </cell>
        </row>
        <row r="2063">
          <cell r="A2063" t="str">
            <v>6728425</v>
          </cell>
          <cell r="B2063" t="str">
            <v>1137629</v>
          </cell>
          <cell r="C2063" t="str">
            <v>775-83-9</v>
          </cell>
          <cell r="D2063" t="str">
            <v>775</v>
          </cell>
          <cell r="E2063" t="str">
            <v>775 GLOCK 17/22 HI GLS BLK</v>
          </cell>
          <cell r="F2063" t="str">
            <v>DG-POUCH-F1</v>
          </cell>
          <cell r="G2063" t="str">
            <v>1420-210-FG</v>
          </cell>
          <cell r="H2063" t="str">
            <v>R</v>
          </cell>
          <cell r="I2063" t="str">
            <v>06/11/2024</v>
          </cell>
          <cell r="J2063" t="str">
            <v>06/11/2024</v>
          </cell>
          <cell r="K2063" t="str">
            <v>06/25/2024</v>
          </cell>
          <cell r="L2063">
            <v>100</v>
          </cell>
          <cell r="M2063" t="str">
            <v>6/11/2024 3:28:28 PM</v>
          </cell>
          <cell r="N2063" t="str">
            <v>26</v>
          </cell>
          <cell r="O2063">
            <v>100</v>
          </cell>
          <cell r="P2063">
            <v>36.61</v>
          </cell>
        </row>
        <row r="2064">
          <cell r="A2064" t="str">
            <v>6728426</v>
          </cell>
          <cell r="B2064" t="str">
            <v>1137629</v>
          </cell>
          <cell r="C2064" t="str">
            <v>775-83-9</v>
          </cell>
          <cell r="D2064" t="str">
            <v>775</v>
          </cell>
          <cell r="E2064" t="str">
            <v>775 GLOCK 17/22 HI GLS BLK</v>
          </cell>
          <cell r="F2064" t="str">
            <v>DG-POUCH-F1</v>
          </cell>
          <cell r="G2064" t="str">
            <v>1420-210-FG</v>
          </cell>
          <cell r="H2064" t="str">
            <v>R</v>
          </cell>
          <cell r="I2064" t="str">
            <v>06/11/2024</v>
          </cell>
          <cell r="J2064" t="str">
            <v>06/11/2024</v>
          </cell>
          <cell r="K2064" t="str">
            <v>06/25/2024</v>
          </cell>
          <cell r="L2064">
            <v>50</v>
          </cell>
          <cell r="M2064" t="str">
            <v>6/11/2024 3:28:28 PM</v>
          </cell>
          <cell r="N2064" t="str">
            <v>26</v>
          </cell>
          <cell r="O2064">
            <v>50</v>
          </cell>
          <cell r="P2064">
            <v>18.32</v>
          </cell>
        </row>
        <row r="2065">
          <cell r="A2065" t="str">
            <v>6727701</v>
          </cell>
          <cell r="B2065" t="str">
            <v>1138664</v>
          </cell>
          <cell r="C2065" t="str">
            <v>775-83-48</v>
          </cell>
          <cell r="D2065" t="str">
            <v>775</v>
          </cell>
          <cell r="E2065" t="str">
            <v>775 GLOCK 17/22 STX BSK BLK</v>
          </cell>
          <cell r="F2065" t="str">
            <v>DG-POUCH-F1</v>
          </cell>
          <cell r="G2065" t="str">
            <v>1420-210-FG</v>
          </cell>
          <cell r="H2065" t="str">
            <v>F</v>
          </cell>
          <cell r="I2065" t="str">
            <v>06/11/2024</v>
          </cell>
          <cell r="J2065" t="str">
            <v>06/11/2024</v>
          </cell>
          <cell r="K2065" t="str">
            <v>06/25/2024</v>
          </cell>
          <cell r="L2065">
            <v>75</v>
          </cell>
          <cell r="M2065" t="str">
            <v/>
          </cell>
          <cell r="N2065" t="str">
            <v>26</v>
          </cell>
          <cell r="O2065">
            <v>75</v>
          </cell>
          <cell r="P2065">
            <v>27.47</v>
          </cell>
        </row>
        <row r="2066">
          <cell r="A2066" t="str">
            <v>6728369</v>
          </cell>
          <cell r="B2066" t="str">
            <v>1158322</v>
          </cell>
          <cell r="C2066" t="str">
            <v>775-83-23-MS16</v>
          </cell>
          <cell r="D2066" t="str">
            <v>775</v>
          </cell>
          <cell r="E2066" t="str">
            <v>775 GLOCK 17/22 STX TAC BLK</v>
          </cell>
          <cell r="F2066" t="str">
            <v>DG-POUCH-F1</v>
          </cell>
          <cell r="G2066" t="str">
            <v>1420-210-FG</v>
          </cell>
          <cell r="H2066" t="str">
            <v>R</v>
          </cell>
          <cell r="I2066" t="str">
            <v>06/11/2024</v>
          </cell>
          <cell r="J2066" t="str">
            <v>06/11/2024</v>
          </cell>
          <cell r="K2066" t="str">
            <v>06/25/2024</v>
          </cell>
          <cell r="L2066">
            <v>3</v>
          </cell>
          <cell r="M2066" t="str">
            <v>6/11/2024 3:26:02 PM</v>
          </cell>
          <cell r="N2066" t="str">
            <v>26</v>
          </cell>
          <cell r="O2066">
            <v>3</v>
          </cell>
          <cell r="P2066">
            <v>1.1100000000000001</v>
          </cell>
        </row>
        <row r="2067">
          <cell r="A2067" t="str">
            <v>6727699</v>
          </cell>
          <cell r="B2067" t="str">
            <v>1138500</v>
          </cell>
          <cell r="C2067" t="str">
            <v>775-383-41</v>
          </cell>
          <cell r="D2067" t="str">
            <v>775</v>
          </cell>
          <cell r="E2067" t="str">
            <v>775 GLOCK 20/21 STX PLN BLK</v>
          </cell>
          <cell r="F2067" t="str">
            <v>DG-POUCH-F1</v>
          </cell>
          <cell r="G2067" t="str">
            <v>1420-210-FG</v>
          </cell>
          <cell r="H2067" t="str">
            <v>R</v>
          </cell>
          <cell r="I2067" t="str">
            <v>06/11/2024</v>
          </cell>
          <cell r="J2067" t="str">
            <v>06/11/2024</v>
          </cell>
          <cell r="K2067" t="str">
            <v>06/25/2024</v>
          </cell>
          <cell r="L2067">
            <v>75</v>
          </cell>
          <cell r="M2067" t="str">
            <v>6/11/2024 3:25:01 PM</v>
          </cell>
          <cell r="N2067" t="str">
            <v>26</v>
          </cell>
          <cell r="O2067">
            <v>75</v>
          </cell>
          <cell r="P2067">
            <v>27.47</v>
          </cell>
        </row>
        <row r="2068">
          <cell r="A2068" t="str">
            <v>6727696</v>
          </cell>
          <cell r="B2068" t="str">
            <v>1137634</v>
          </cell>
          <cell r="C2068" t="str">
            <v>78-83-4</v>
          </cell>
          <cell r="D2068" t="str">
            <v>78</v>
          </cell>
          <cell r="E2068" t="str">
            <v>78 GLOCK 17/22 BSK BLK</v>
          </cell>
          <cell r="F2068" t="str">
            <v>DG-POUCH-F1</v>
          </cell>
          <cell r="G2068" t="str">
            <v>1420-210-FG</v>
          </cell>
          <cell r="H2068" t="str">
            <v>R</v>
          </cell>
          <cell r="I2068" t="str">
            <v>06/11/2024</v>
          </cell>
          <cell r="J2068" t="str">
            <v>06/11/2024</v>
          </cell>
          <cell r="K2068" t="str">
            <v>06/25/2024</v>
          </cell>
          <cell r="L2068">
            <v>10</v>
          </cell>
          <cell r="M2068" t="str">
            <v>6/11/2024 3:25:01 PM</v>
          </cell>
          <cell r="N2068" t="str">
            <v>26</v>
          </cell>
          <cell r="O2068">
            <v>10</v>
          </cell>
          <cell r="P2068">
            <v>4.07</v>
          </cell>
        </row>
        <row r="2069">
          <cell r="A2069" t="str">
            <v>6728359</v>
          </cell>
          <cell r="B2069" t="str">
            <v>1137777</v>
          </cell>
          <cell r="C2069" t="str">
            <v>79-83-48</v>
          </cell>
          <cell r="D2069" t="str">
            <v>79</v>
          </cell>
          <cell r="E2069" t="str">
            <v>79 GLOCK 17/22 STX BSK BLK</v>
          </cell>
          <cell r="F2069" t="str">
            <v>DG-POUCH-F1</v>
          </cell>
          <cell r="G2069" t="str">
            <v>1420-210-FG</v>
          </cell>
          <cell r="H2069" t="str">
            <v>R</v>
          </cell>
          <cell r="I2069" t="str">
            <v>06/11/2024</v>
          </cell>
          <cell r="J2069" t="str">
            <v>06/11/2024</v>
          </cell>
          <cell r="K2069" t="str">
            <v>06/25/2024</v>
          </cell>
          <cell r="L2069">
            <v>100</v>
          </cell>
          <cell r="M2069" t="str">
            <v>6/11/2024 3:28:28 PM</v>
          </cell>
          <cell r="N2069" t="str">
            <v>26</v>
          </cell>
          <cell r="O2069">
            <v>100</v>
          </cell>
          <cell r="P2069">
            <v>31.99</v>
          </cell>
        </row>
        <row r="2070">
          <cell r="A2070" t="str">
            <v>6728446</v>
          </cell>
          <cell r="B2070" t="str">
            <v>1138710</v>
          </cell>
          <cell r="C2070" t="str">
            <v>79-83-41</v>
          </cell>
          <cell r="D2070" t="str">
            <v>79</v>
          </cell>
          <cell r="E2070" t="str">
            <v>79 GLOCK 17/22 STX PLN BLK</v>
          </cell>
          <cell r="F2070" t="str">
            <v>DG-POUCH-F1</v>
          </cell>
          <cell r="G2070" t="str">
            <v>1420-210-FG</v>
          </cell>
          <cell r="H2070" t="str">
            <v>R</v>
          </cell>
          <cell r="I2070" t="str">
            <v>06/11/2024</v>
          </cell>
          <cell r="J2070" t="str">
            <v>06/11/2024</v>
          </cell>
          <cell r="K2070" t="str">
            <v>06/25/2024</v>
          </cell>
          <cell r="L2070">
            <v>100</v>
          </cell>
          <cell r="M2070" t="str">
            <v>6/11/2024 3:28:28 PM</v>
          </cell>
          <cell r="N2070" t="str">
            <v>26</v>
          </cell>
          <cell r="O2070">
            <v>100</v>
          </cell>
          <cell r="P2070">
            <v>31.99</v>
          </cell>
        </row>
        <row r="2071">
          <cell r="A2071" t="str">
            <v>6727697</v>
          </cell>
          <cell r="B2071" t="str">
            <v>1137675</v>
          </cell>
          <cell r="C2071" t="str">
            <v>79-83-13</v>
          </cell>
          <cell r="D2071" t="str">
            <v>79</v>
          </cell>
          <cell r="E2071" t="str">
            <v>79 GLOCK 17/22 STX TAC BLK</v>
          </cell>
          <cell r="F2071" t="str">
            <v>DG-POUCH-F1</v>
          </cell>
          <cell r="G2071" t="str">
            <v>1420-210-FG</v>
          </cell>
          <cell r="H2071" t="str">
            <v>R</v>
          </cell>
          <cell r="I2071" t="str">
            <v>06/11/2024</v>
          </cell>
          <cell r="J2071" t="str">
            <v>06/11/2024</v>
          </cell>
          <cell r="K2071" t="str">
            <v>06/25/2024</v>
          </cell>
          <cell r="L2071">
            <v>100</v>
          </cell>
          <cell r="M2071" t="str">
            <v>6/11/2024 3:29:40 PM</v>
          </cell>
          <cell r="N2071" t="str">
            <v>26</v>
          </cell>
          <cell r="O2071">
            <v>100</v>
          </cell>
          <cell r="P2071">
            <v>31.99</v>
          </cell>
        </row>
        <row r="2072">
          <cell r="A2072" t="str">
            <v>6727765</v>
          </cell>
          <cell r="B2072" t="str">
            <v>1016893</v>
          </cell>
          <cell r="C2072" t="str">
            <v>22187</v>
          </cell>
          <cell r="D2072" t="str">
            <v>7906</v>
          </cell>
          <cell r="E2072" t="str">
            <v>7906 BLT KPR ACE 4PK BLK BSK BR 2.25IN</v>
          </cell>
          <cell r="F2072" t="str">
            <v>BN-KEEPER</v>
          </cell>
          <cell r="G2072" t="str">
            <v>1420-210-FG</v>
          </cell>
          <cell r="H2072" t="str">
            <v>R</v>
          </cell>
          <cell r="I2072" t="str">
            <v>06/11/2024</v>
          </cell>
          <cell r="J2072" t="str">
            <v>06/11/2024</v>
          </cell>
          <cell r="K2072" t="str">
            <v>06/25/2024</v>
          </cell>
          <cell r="L2072">
            <v>75</v>
          </cell>
          <cell r="M2072" t="str">
            <v>6/11/2024 2:48:28 PM</v>
          </cell>
          <cell r="N2072" t="str">
            <v>26</v>
          </cell>
          <cell r="O2072">
            <v>75</v>
          </cell>
          <cell r="P2072">
            <v>8.2799999999999994</v>
          </cell>
        </row>
        <row r="2073">
          <cell r="A2073" t="str">
            <v>6727540</v>
          </cell>
          <cell r="B2073" t="str">
            <v>1017263</v>
          </cell>
          <cell r="C2073" t="str">
            <v>22093</v>
          </cell>
          <cell r="D2073" t="str">
            <v>7906</v>
          </cell>
          <cell r="E2073" t="str">
            <v>7906 BLT KPR ACE 4PK BLK BSK CH 2.25IN</v>
          </cell>
          <cell r="F2073" t="str">
            <v>BN-KEEPER</v>
          </cell>
          <cell r="G2073" t="str">
            <v>1420-210-FG</v>
          </cell>
          <cell r="H2073" t="str">
            <v>R</v>
          </cell>
          <cell r="I2073" t="str">
            <v>06/11/2024</v>
          </cell>
          <cell r="J2073" t="str">
            <v>06/11/2024</v>
          </cell>
          <cell r="K2073" t="str">
            <v>06/25/2024</v>
          </cell>
          <cell r="L2073">
            <v>100</v>
          </cell>
          <cell r="M2073" t="str">
            <v>6/11/2024 2:48:28 PM</v>
          </cell>
          <cell r="N2073" t="str">
            <v>26</v>
          </cell>
          <cell r="O2073">
            <v>100</v>
          </cell>
          <cell r="P2073">
            <v>11.04</v>
          </cell>
        </row>
        <row r="2074">
          <cell r="A2074" t="str">
            <v>6727769</v>
          </cell>
          <cell r="B2074" t="str">
            <v>1017263</v>
          </cell>
          <cell r="C2074" t="str">
            <v>22093</v>
          </cell>
          <cell r="D2074" t="str">
            <v>7906</v>
          </cell>
          <cell r="E2074" t="str">
            <v>7906 BLT KPR ACE 4PK BLK BSK CH 2.25IN</v>
          </cell>
          <cell r="F2074" t="str">
            <v>BN-KEEPER</v>
          </cell>
          <cell r="G2074" t="str">
            <v>1420-210-FG</v>
          </cell>
          <cell r="H2074" t="str">
            <v>R</v>
          </cell>
          <cell r="I2074" t="str">
            <v>06/11/2024</v>
          </cell>
          <cell r="J2074" t="str">
            <v>06/11/2024</v>
          </cell>
          <cell r="K2074" t="str">
            <v>06/25/2024</v>
          </cell>
          <cell r="L2074">
            <v>100</v>
          </cell>
          <cell r="M2074" t="str">
            <v>6/11/2024 2:48:28 PM</v>
          </cell>
          <cell r="N2074" t="str">
            <v>26</v>
          </cell>
          <cell r="O2074">
            <v>100</v>
          </cell>
          <cell r="P2074">
            <v>11.04</v>
          </cell>
        </row>
        <row r="2075">
          <cell r="A2075" t="str">
            <v>6726686</v>
          </cell>
          <cell r="B2075" t="str">
            <v>1029940</v>
          </cell>
          <cell r="C2075" t="str">
            <v>22091</v>
          </cell>
          <cell r="D2075" t="str">
            <v>7906</v>
          </cell>
          <cell r="E2075" t="str">
            <v>7906 BLT KPR ACE 4PK BLK BSK HS 2.25IN</v>
          </cell>
          <cell r="F2075" t="str">
            <v>BN-KEEPER</v>
          </cell>
          <cell r="G2075" t="str">
            <v>1420-210-FG</v>
          </cell>
          <cell r="H2075" t="str">
            <v>R</v>
          </cell>
          <cell r="I2075" t="str">
            <v>06/10/2024</v>
          </cell>
          <cell r="J2075" t="str">
            <v>06/11/2024</v>
          </cell>
          <cell r="K2075" t="str">
            <v>06/25/2024</v>
          </cell>
          <cell r="L2075">
            <v>100</v>
          </cell>
          <cell r="M2075" t="str">
            <v>6/11/2024 2:48:28 PM</v>
          </cell>
          <cell r="N2075" t="str">
            <v>26</v>
          </cell>
          <cell r="O2075">
            <v>100</v>
          </cell>
          <cell r="P2075">
            <v>10.96</v>
          </cell>
        </row>
        <row r="2076">
          <cell r="A2076" t="str">
            <v>6727766</v>
          </cell>
          <cell r="B2076" t="str">
            <v>1017091</v>
          </cell>
          <cell r="C2076" t="str">
            <v>22306</v>
          </cell>
          <cell r="D2076" t="str">
            <v>7906</v>
          </cell>
          <cell r="E2076" t="str">
            <v>7906 BLT KPR ACE 4PK BLK HGS HS 2.25IN</v>
          </cell>
          <cell r="F2076" t="str">
            <v>BN-KEEPER</v>
          </cell>
          <cell r="G2076" t="str">
            <v>1420-210-FG</v>
          </cell>
          <cell r="H2076" t="str">
            <v>R</v>
          </cell>
          <cell r="I2076" t="str">
            <v>06/11/2024</v>
          </cell>
          <cell r="J2076" t="str">
            <v>06/11/2024</v>
          </cell>
          <cell r="K2076" t="str">
            <v>06/25/2024</v>
          </cell>
          <cell r="L2076">
            <v>25</v>
          </cell>
          <cell r="M2076" t="str">
            <v>6/11/2024 2:48:28 PM</v>
          </cell>
          <cell r="N2076" t="str">
            <v>26</v>
          </cell>
          <cell r="O2076">
            <v>25</v>
          </cell>
          <cell r="P2076">
            <v>2.76</v>
          </cell>
        </row>
        <row r="2077">
          <cell r="A2077" t="str">
            <v>6727539</v>
          </cell>
          <cell r="B2077" t="str">
            <v>1017261</v>
          </cell>
          <cell r="C2077" t="str">
            <v>22090</v>
          </cell>
          <cell r="D2077" t="str">
            <v>7906</v>
          </cell>
          <cell r="E2077" t="str">
            <v>7906 BLT KPR ACE 4PK BLK PLN HS 2.25IN</v>
          </cell>
          <cell r="F2077" t="str">
            <v>BN-KEEPER</v>
          </cell>
          <cell r="G2077" t="str">
            <v>1420-210-FG</v>
          </cell>
          <cell r="H2077" t="str">
            <v>R</v>
          </cell>
          <cell r="I2077" t="str">
            <v>06/11/2024</v>
          </cell>
          <cell r="J2077" t="str">
            <v>06/11/2024</v>
          </cell>
          <cell r="K2077" t="str">
            <v>06/25/2024</v>
          </cell>
          <cell r="L2077">
            <v>100</v>
          </cell>
          <cell r="M2077" t="str">
            <v>6/11/2024 2:48:28 PM</v>
          </cell>
          <cell r="N2077" t="str">
            <v>26</v>
          </cell>
          <cell r="O2077">
            <v>100</v>
          </cell>
          <cell r="P2077">
            <v>10.84</v>
          </cell>
        </row>
        <row r="2078">
          <cell r="A2078" t="str">
            <v>6727768</v>
          </cell>
          <cell r="B2078" t="str">
            <v>1017261</v>
          </cell>
          <cell r="C2078" t="str">
            <v>22090</v>
          </cell>
          <cell r="D2078" t="str">
            <v>7906</v>
          </cell>
          <cell r="E2078" t="str">
            <v>7906 BLT KPR ACE 4PK BLK PLN HS 2.25IN</v>
          </cell>
          <cell r="F2078" t="str">
            <v>BN-KEEPER</v>
          </cell>
          <cell r="G2078" t="str">
            <v>1420-210-FG</v>
          </cell>
          <cell r="H2078" t="str">
            <v>R</v>
          </cell>
          <cell r="I2078" t="str">
            <v>06/11/2024</v>
          </cell>
          <cell r="J2078" t="str">
            <v>06/11/2024</v>
          </cell>
          <cell r="K2078" t="str">
            <v>06/25/2024</v>
          </cell>
          <cell r="L2078">
            <v>100</v>
          </cell>
          <cell r="M2078" t="str">
            <v>6/11/2024 2:48:28 PM</v>
          </cell>
          <cell r="N2078" t="str">
            <v>26</v>
          </cell>
          <cell r="O2078">
            <v>100</v>
          </cell>
          <cell r="P2078">
            <v>10.84</v>
          </cell>
        </row>
        <row r="2079">
          <cell r="A2079" t="str">
            <v>6727722</v>
          </cell>
          <cell r="B2079" t="str">
            <v>1017439</v>
          </cell>
          <cell r="C2079" t="str">
            <v>22433</v>
          </cell>
          <cell r="D2079" t="str">
            <v>7965</v>
          </cell>
          <cell r="E2079" t="str">
            <v>7965 ERGOTEK SAM BRWN BLT BSK BLK SZ32CH</v>
          </cell>
          <cell r="F2079" t="str">
            <v>BN-BELT</v>
          </cell>
          <cell r="G2079" t="str">
            <v>1420-210-FG</v>
          </cell>
          <cell r="H2079" t="str">
            <v>R</v>
          </cell>
          <cell r="I2079" t="str">
            <v>06/11/2024</v>
          </cell>
          <cell r="J2079" t="str">
            <v>06/11/2024</v>
          </cell>
          <cell r="K2079" t="str">
            <v>06/25/2024</v>
          </cell>
          <cell r="L2079">
            <v>2</v>
          </cell>
          <cell r="M2079" t="str">
            <v>6/11/2024 3:24:45 PM</v>
          </cell>
          <cell r="N2079" t="str">
            <v>26</v>
          </cell>
          <cell r="O2079">
            <v>2</v>
          </cell>
          <cell r="P2079">
            <v>0.43</v>
          </cell>
        </row>
        <row r="2080">
          <cell r="A2080" t="str">
            <v>6727724</v>
          </cell>
          <cell r="B2080" t="str">
            <v>1017670</v>
          </cell>
          <cell r="C2080" t="str">
            <v>22815</v>
          </cell>
          <cell r="D2080" t="str">
            <v>7965</v>
          </cell>
          <cell r="E2080" t="str">
            <v>7965 ERGOTEK SAM BRWN BLT HGS BLK SZ36BR</v>
          </cell>
          <cell r="F2080" t="str">
            <v>BN-BELT</v>
          </cell>
          <cell r="G2080" t="str">
            <v>1420-210-FG</v>
          </cell>
          <cell r="H2080" t="str">
            <v>R</v>
          </cell>
          <cell r="I2080" t="str">
            <v>06/11/2024</v>
          </cell>
          <cell r="J2080" t="str">
            <v>06/11/2024</v>
          </cell>
          <cell r="K2080" t="str">
            <v>06/25/2024</v>
          </cell>
          <cell r="L2080">
            <v>1</v>
          </cell>
          <cell r="M2080" t="str">
            <v>6/11/2024 2:36:12 PM</v>
          </cell>
          <cell r="N2080" t="str">
            <v>26</v>
          </cell>
          <cell r="O2080">
            <v>1</v>
          </cell>
          <cell r="P2080">
            <v>0.21</v>
          </cell>
        </row>
        <row r="2081">
          <cell r="A2081" t="str">
            <v>6727595</v>
          </cell>
          <cell r="B2081" t="str">
            <v>1102598</v>
          </cell>
          <cell r="C2081" t="str">
            <v>87-36-8</v>
          </cell>
          <cell r="D2081" t="str">
            <v>87</v>
          </cell>
          <cell r="E2081" t="str">
            <v>87 SZ36 BSK BLK</v>
          </cell>
          <cell r="F2081" t="str">
            <v>DG-BELT</v>
          </cell>
          <cell r="G2081" t="str">
            <v>1420-210-FG</v>
          </cell>
          <cell r="H2081" t="str">
            <v>R</v>
          </cell>
          <cell r="I2081" t="str">
            <v>06/11/2024</v>
          </cell>
          <cell r="J2081" t="str">
            <v>06/11/2024</v>
          </cell>
          <cell r="K2081" t="str">
            <v>06/25/2024</v>
          </cell>
          <cell r="L2081">
            <v>20</v>
          </cell>
          <cell r="M2081" t="str">
            <v>6/11/2024 3:09:40 PM</v>
          </cell>
          <cell r="N2081" t="str">
            <v>26</v>
          </cell>
          <cell r="O2081">
            <v>20</v>
          </cell>
          <cell r="P2081">
            <v>7.99</v>
          </cell>
        </row>
        <row r="2082">
          <cell r="A2082" t="str">
            <v>6727835</v>
          </cell>
          <cell r="B2082" t="str">
            <v>1102591</v>
          </cell>
          <cell r="C2082" t="str">
            <v>87-36-07</v>
          </cell>
          <cell r="D2082" t="str">
            <v>87</v>
          </cell>
          <cell r="E2082" t="str">
            <v>87 SZ36 BSK COR</v>
          </cell>
          <cell r="F2082" t="str">
            <v>DG-BELT</v>
          </cell>
          <cell r="G2082" t="str">
            <v>1420-210-FG</v>
          </cell>
          <cell r="H2082" t="str">
            <v>R</v>
          </cell>
          <cell r="I2082" t="str">
            <v>06/11/2024</v>
          </cell>
          <cell r="J2082" t="str">
            <v>06/11/2024</v>
          </cell>
          <cell r="K2082" t="str">
            <v>06/25/2024</v>
          </cell>
          <cell r="L2082">
            <v>1</v>
          </cell>
          <cell r="M2082" t="str">
            <v>6/11/2024 3:02:21 PM</v>
          </cell>
          <cell r="N2082" t="str">
            <v>26</v>
          </cell>
          <cell r="O2082">
            <v>1</v>
          </cell>
          <cell r="P2082">
            <v>0.4</v>
          </cell>
        </row>
        <row r="2083">
          <cell r="A2083" t="str">
            <v>6727837</v>
          </cell>
          <cell r="B2083" t="str">
            <v>1102683</v>
          </cell>
          <cell r="C2083" t="str">
            <v>87-40-8B</v>
          </cell>
          <cell r="D2083" t="str">
            <v>87</v>
          </cell>
          <cell r="E2083" t="str">
            <v>87 SZ40 BSK BLK</v>
          </cell>
          <cell r="F2083" t="str">
            <v>DG-BELT</v>
          </cell>
          <cell r="G2083" t="str">
            <v>1420-210-FG</v>
          </cell>
          <cell r="H2083" t="str">
            <v>R</v>
          </cell>
          <cell r="I2083" t="str">
            <v>06/11/2024</v>
          </cell>
          <cell r="J2083" t="str">
            <v>06/11/2024</v>
          </cell>
          <cell r="K2083" t="str">
            <v>06/25/2024</v>
          </cell>
          <cell r="L2083">
            <v>5</v>
          </cell>
          <cell r="M2083" t="str">
            <v>6/11/2024 3:09:40 PM</v>
          </cell>
          <cell r="N2083" t="str">
            <v>26</v>
          </cell>
          <cell r="O2083">
            <v>5</v>
          </cell>
          <cell r="P2083">
            <v>2</v>
          </cell>
        </row>
        <row r="2084">
          <cell r="A2084" t="str">
            <v>6727602</v>
          </cell>
          <cell r="B2084" t="str">
            <v>1102757</v>
          </cell>
          <cell r="C2084" t="str">
            <v>87-44-6</v>
          </cell>
          <cell r="D2084" t="str">
            <v>87</v>
          </cell>
          <cell r="E2084" t="str">
            <v>87 SZ44 PLN BLK</v>
          </cell>
          <cell r="F2084" t="str">
            <v>DG-BELT</v>
          </cell>
          <cell r="G2084" t="str">
            <v>1420-210-FG</v>
          </cell>
          <cell r="H2084" t="str">
            <v>R</v>
          </cell>
          <cell r="I2084" t="str">
            <v>06/11/2024</v>
          </cell>
          <cell r="J2084" t="str">
            <v>06/11/2024</v>
          </cell>
          <cell r="K2084" t="str">
            <v>06/25/2024</v>
          </cell>
          <cell r="L2084">
            <v>10</v>
          </cell>
          <cell r="M2084" t="str">
            <v>6/11/2024 3:09:40 PM</v>
          </cell>
          <cell r="N2084" t="str">
            <v>26</v>
          </cell>
          <cell r="O2084">
            <v>10</v>
          </cell>
          <cell r="P2084">
            <v>3.84</v>
          </cell>
        </row>
        <row r="2085">
          <cell r="A2085" t="str">
            <v>6727845</v>
          </cell>
          <cell r="B2085" t="str">
            <v>1102896</v>
          </cell>
          <cell r="C2085" t="str">
            <v>87-48-8</v>
          </cell>
          <cell r="D2085" t="str">
            <v>87</v>
          </cell>
          <cell r="E2085" t="str">
            <v>87 SZ48 BSK BLK</v>
          </cell>
          <cell r="F2085" t="str">
            <v>DG-BELT</v>
          </cell>
          <cell r="G2085" t="str">
            <v>1420-210-FG</v>
          </cell>
          <cell r="H2085" t="str">
            <v>R</v>
          </cell>
          <cell r="I2085" t="str">
            <v>06/11/2024</v>
          </cell>
          <cell r="J2085" t="str">
            <v>06/11/2024</v>
          </cell>
          <cell r="K2085" t="str">
            <v>06/25/2024</v>
          </cell>
          <cell r="L2085">
            <v>5</v>
          </cell>
          <cell r="M2085" t="str">
            <v>6/11/2024 3:09:40 PM</v>
          </cell>
          <cell r="N2085" t="str">
            <v>26</v>
          </cell>
          <cell r="O2085">
            <v>5</v>
          </cell>
          <cell r="P2085">
            <v>2</v>
          </cell>
        </row>
        <row r="2086">
          <cell r="A2086" t="str">
            <v>6728314</v>
          </cell>
          <cell r="B2086" t="str">
            <v>1102027</v>
          </cell>
          <cell r="C2086" t="str">
            <v>872-28-9B</v>
          </cell>
          <cell r="D2086" t="str">
            <v>872</v>
          </cell>
          <cell r="E2086" t="str">
            <v>872 SZ28 HGS BLK</v>
          </cell>
          <cell r="F2086" t="str">
            <v>DG-BELT</v>
          </cell>
          <cell r="G2086" t="str">
            <v>1420-210-FG</v>
          </cell>
          <cell r="H2086" t="str">
            <v>R</v>
          </cell>
          <cell r="I2086" t="str">
            <v>06/11/2024</v>
          </cell>
          <cell r="J2086" t="str">
            <v>06/11/2024</v>
          </cell>
          <cell r="K2086" t="str">
            <v>06/25/2024</v>
          </cell>
          <cell r="L2086">
            <v>2</v>
          </cell>
          <cell r="M2086" t="str">
            <v>6/11/2024 3:09:40 PM</v>
          </cell>
          <cell r="N2086" t="str">
            <v>26</v>
          </cell>
          <cell r="O2086">
            <v>2</v>
          </cell>
          <cell r="P2086">
            <v>0.74</v>
          </cell>
        </row>
        <row r="2087">
          <cell r="A2087" t="str">
            <v>6727826</v>
          </cell>
          <cell r="B2087" t="str">
            <v>1102040</v>
          </cell>
          <cell r="C2087" t="str">
            <v>872-32-9</v>
          </cell>
          <cell r="D2087" t="str">
            <v>872</v>
          </cell>
          <cell r="E2087" t="str">
            <v>872 SZ32 HGS BLK</v>
          </cell>
          <cell r="F2087" t="str">
            <v>DG-BELT</v>
          </cell>
          <cell r="G2087" t="str">
            <v>1420-210-FG</v>
          </cell>
          <cell r="H2087" t="str">
            <v>R</v>
          </cell>
          <cell r="I2087" t="str">
            <v>06/11/2024</v>
          </cell>
          <cell r="J2087" t="str">
            <v>06/11/2024</v>
          </cell>
          <cell r="K2087" t="str">
            <v>06/25/2024</v>
          </cell>
          <cell r="L2087">
            <v>3</v>
          </cell>
          <cell r="M2087" t="str">
            <v>6/11/2024 3:02:21 PM</v>
          </cell>
          <cell r="N2087" t="str">
            <v>26</v>
          </cell>
          <cell r="O2087">
            <v>3</v>
          </cell>
          <cell r="P2087">
            <v>1.1200000000000001</v>
          </cell>
        </row>
        <row r="2088">
          <cell r="A2088" t="str">
            <v>6727827</v>
          </cell>
          <cell r="B2088" t="str">
            <v>1102102</v>
          </cell>
          <cell r="C2088" t="str">
            <v>872-34-9</v>
          </cell>
          <cell r="D2088" t="str">
            <v>872</v>
          </cell>
          <cell r="E2088" t="str">
            <v>872 SZ34 HGS BLK</v>
          </cell>
          <cell r="F2088" t="str">
            <v>DG-BELT</v>
          </cell>
          <cell r="G2088" t="str">
            <v>1420-210-FG</v>
          </cell>
          <cell r="H2088" t="str">
            <v>R</v>
          </cell>
          <cell r="I2088" t="str">
            <v>06/11/2024</v>
          </cell>
          <cell r="J2088" t="str">
            <v>06/11/2024</v>
          </cell>
          <cell r="K2088" t="str">
            <v>06/25/2024</v>
          </cell>
          <cell r="L2088">
            <v>3</v>
          </cell>
          <cell r="M2088" t="str">
            <v>6/11/2024 3:02:21 PM</v>
          </cell>
          <cell r="N2088" t="str">
            <v>26</v>
          </cell>
          <cell r="O2088">
            <v>3</v>
          </cell>
          <cell r="P2088">
            <v>0.62</v>
          </cell>
        </row>
        <row r="2089">
          <cell r="A2089" t="str">
            <v>6727828</v>
          </cell>
          <cell r="B2089" t="str">
            <v>1102108</v>
          </cell>
          <cell r="C2089" t="str">
            <v>872-36-9</v>
          </cell>
          <cell r="D2089" t="str">
            <v>872</v>
          </cell>
          <cell r="E2089" t="str">
            <v>872 SZ36 HGS BLK</v>
          </cell>
          <cell r="F2089" t="str">
            <v>DG-BELT</v>
          </cell>
          <cell r="G2089" t="str">
            <v>1420-210-FG</v>
          </cell>
          <cell r="H2089" t="str">
            <v>R</v>
          </cell>
          <cell r="I2089" t="str">
            <v>06/11/2024</v>
          </cell>
          <cell r="J2089" t="str">
            <v>06/11/2024</v>
          </cell>
          <cell r="K2089" t="str">
            <v>06/25/2024</v>
          </cell>
          <cell r="L2089">
            <v>2</v>
          </cell>
          <cell r="M2089" t="str">
            <v>6/11/2024 3:02:21 PM</v>
          </cell>
          <cell r="N2089" t="str">
            <v>26</v>
          </cell>
          <cell r="O2089">
            <v>2</v>
          </cell>
          <cell r="P2089">
            <v>0.74</v>
          </cell>
        </row>
        <row r="2090">
          <cell r="A2090" t="str">
            <v>6727859</v>
          </cell>
          <cell r="B2090" t="str">
            <v>1114638</v>
          </cell>
          <cell r="C2090" t="str">
            <v>872V-40-6</v>
          </cell>
          <cell r="D2090" t="str">
            <v>872V</v>
          </cell>
          <cell r="E2090" t="str">
            <v>872V SZ40 PLN BLK</v>
          </cell>
          <cell r="F2090" t="str">
            <v>DG-BELT</v>
          </cell>
          <cell r="G2090" t="str">
            <v>1420-210-FG</v>
          </cell>
          <cell r="H2090" t="str">
            <v>R</v>
          </cell>
          <cell r="I2090" t="str">
            <v>06/11/2024</v>
          </cell>
          <cell r="J2090" t="str">
            <v>06/11/2024</v>
          </cell>
          <cell r="K2090" t="str">
            <v>06/25/2024</v>
          </cell>
          <cell r="L2090">
            <v>2</v>
          </cell>
          <cell r="M2090" t="str">
            <v>6/11/2024 3:09:40 PM</v>
          </cell>
          <cell r="N2090" t="str">
            <v>26</v>
          </cell>
          <cell r="O2090">
            <v>2</v>
          </cell>
          <cell r="P2090">
            <v>0.41</v>
          </cell>
        </row>
        <row r="2091">
          <cell r="A2091" t="str">
            <v>6728280</v>
          </cell>
          <cell r="B2091" t="str">
            <v>1324077</v>
          </cell>
          <cell r="C2091" t="str">
            <v>872V-46-9</v>
          </cell>
          <cell r="D2091" t="str">
            <v>872V</v>
          </cell>
          <cell r="E2091" t="str">
            <v>872V SZ46 HGS BLK</v>
          </cell>
          <cell r="F2091" t="str">
            <v>DG-BELT</v>
          </cell>
          <cell r="G2091" t="str">
            <v>1420-210-FG</v>
          </cell>
          <cell r="H2091" t="str">
            <v>R</v>
          </cell>
          <cell r="I2091" t="str">
            <v>06/11/2024</v>
          </cell>
          <cell r="J2091" t="str">
            <v>06/11/2024</v>
          </cell>
          <cell r="K2091" t="str">
            <v>06/25/2024</v>
          </cell>
          <cell r="L2091">
            <v>1</v>
          </cell>
          <cell r="M2091" t="str">
            <v>6/11/2024 3:09:40 PM</v>
          </cell>
          <cell r="N2091" t="str">
            <v>26</v>
          </cell>
          <cell r="O2091">
            <v>1</v>
          </cell>
          <cell r="P2091">
            <v>0.38</v>
          </cell>
        </row>
        <row r="2092">
          <cell r="A2092" t="str">
            <v>6727830</v>
          </cell>
          <cell r="B2092" t="str">
            <v>1102383</v>
          </cell>
          <cell r="C2092" t="str">
            <v>875-40-9</v>
          </cell>
          <cell r="D2092" t="str">
            <v>875</v>
          </cell>
          <cell r="E2092" t="str">
            <v>875 SZ40 HGS BLK</v>
          </cell>
          <cell r="F2092" t="str">
            <v>DG-BELT</v>
          </cell>
          <cell r="G2092" t="str">
            <v>1420-210-FG</v>
          </cell>
          <cell r="H2092" t="str">
            <v>R</v>
          </cell>
          <cell r="I2092" t="str">
            <v>06/11/2024</v>
          </cell>
          <cell r="J2092" t="str">
            <v>06/11/2024</v>
          </cell>
          <cell r="K2092" t="str">
            <v>06/25/2024</v>
          </cell>
          <cell r="L2092">
            <v>5</v>
          </cell>
          <cell r="M2092" t="str">
            <v>6/11/2024 3:09:40 PM</v>
          </cell>
          <cell r="N2092" t="str">
            <v>26</v>
          </cell>
          <cell r="O2092">
            <v>5</v>
          </cell>
          <cell r="P2092">
            <v>2.31</v>
          </cell>
        </row>
        <row r="2093">
          <cell r="A2093" t="str">
            <v>6727834</v>
          </cell>
          <cell r="B2093" t="str">
            <v>1102543</v>
          </cell>
          <cell r="C2093" t="str">
            <v>875-50-9</v>
          </cell>
          <cell r="D2093" t="str">
            <v>875</v>
          </cell>
          <cell r="E2093" t="str">
            <v>875 SZ50 HGS BLK</v>
          </cell>
          <cell r="F2093" t="str">
            <v>DG-BELT</v>
          </cell>
          <cell r="G2093" t="str">
            <v>1420-210-FG</v>
          </cell>
          <cell r="H2093" t="str">
            <v>R</v>
          </cell>
          <cell r="I2093" t="str">
            <v>06/11/2024</v>
          </cell>
          <cell r="J2093" t="str">
            <v>06/11/2024</v>
          </cell>
          <cell r="K2093" t="str">
            <v>06/25/2024</v>
          </cell>
          <cell r="L2093">
            <v>1</v>
          </cell>
          <cell r="M2093" t="str">
            <v>6/11/2024 3:09:40 PM</v>
          </cell>
          <cell r="N2093" t="str">
            <v>26</v>
          </cell>
          <cell r="O2093">
            <v>1</v>
          </cell>
          <cell r="P2093">
            <v>0.47</v>
          </cell>
        </row>
        <row r="2094">
          <cell r="A2094" t="str">
            <v>6728335</v>
          </cell>
          <cell r="B2094" t="str">
            <v>1102543</v>
          </cell>
          <cell r="C2094" t="str">
            <v>875-50-9</v>
          </cell>
          <cell r="D2094" t="str">
            <v>875</v>
          </cell>
          <cell r="E2094" t="str">
            <v>875 SZ50 HGS BLK</v>
          </cell>
          <cell r="F2094" t="str">
            <v>DG-BELT</v>
          </cell>
          <cell r="G2094" t="str">
            <v>1420-210-FG</v>
          </cell>
          <cell r="H2094" t="str">
            <v>R</v>
          </cell>
          <cell r="I2094" t="str">
            <v>06/11/2024</v>
          </cell>
          <cell r="J2094" t="str">
            <v>06/11/2024</v>
          </cell>
          <cell r="K2094" t="str">
            <v>06/25/2024</v>
          </cell>
          <cell r="L2094">
            <v>1</v>
          </cell>
          <cell r="M2094" t="str">
            <v>6/11/2024 3:09:40 PM</v>
          </cell>
          <cell r="N2094" t="str">
            <v>26</v>
          </cell>
          <cell r="O2094">
            <v>1</v>
          </cell>
          <cell r="P2094">
            <v>0.47</v>
          </cell>
        </row>
        <row r="2095">
          <cell r="A2095" t="str">
            <v>6727846</v>
          </cell>
          <cell r="B2095" t="str">
            <v>1102933</v>
          </cell>
          <cell r="C2095" t="str">
            <v>87V-36-6</v>
          </cell>
          <cell r="D2095" t="str">
            <v>87V</v>
          </cell>
          <cell r="E2095" t="str">
            <v>87V SZ36 PLN BLK</v>
          </cell>
          <cell r="F2095" t="str">
            <v>DG-BELT</v>
          </cell>
          <cell r="G2095" t="str">
            <v>1420-210-FG</v>
          </cell>
          <cell r="H2095" t="str">
            <v>R</v>
          </cell>
          <cell r="I2095" t="str">
            <v>06/11/2024</v>
          </cell>
          <cell r="J2095" t="str">
            <v>06/11/2024</v>
          </cell>
          <cell r="K2095" t="str">
            <v>06/25/2024</v>
          </cell>
          <cell r="L2095">
            <v>6</v>
          </cell>
          <cell r="M2095" t="str">
            <v>6/11/2024 3:02:21 PM</v>
          </cell>
          <cell r="N2095" t="str">
            <v>26</v>
          </cell>
          <cell r="O2095">
            <v>6</v>
          </cell>
          <cell r="P2095">
            <v>2.52</v>
          </cell>
        </row>
        <row r="2096">
          <cell r="A2096" t="str">
            <v>6727604</v>
          </cell>
          <cell r="B2096" t="str">
            <v>1103383</v>
          </cell>
          <cell r="C2096" t="str">
            <v>94-36-9</v>
          </cell>
          <cell r="D2096" t="str">
            <v>94</v>
          </cell>
          <cell r="E2096" t="str">
            <v>94 SZ36 HGS BLK</v>
          </cell>
          <cell r="F2096" t="str">
            <v>DG-BELT</v>
          </cell>
          <cell r="G2096" t="str">
            <v>1420-210-FG</v>
          </cell>
          <cell r="H2096" t="str">
            <v>R</v>
          </cell>
          <cell r="I2096" t="str">
            <v>06/11/2024</v>
          </cell>
          <cell r="J2096" t="str">
            <v>06/11/2024</v>
          </cell>
          <cell r="K2096" t="str">
            <v>06/25/2024</v>
          </cell>
          <cell r="L2096">
            <v>5</v>
          </cell>
          <cell r="M2096" t="str">
            <v>6/11/2024 3:02:21 PM</v>
          </cell>
          <cell r="N2096" t="str">
            <v>26</v>
          </cell>
          <cell r="O2096">
            <v>5</v>
          </cell>
          <cell r="P2096">
            <v>2.64</v>
          </cell>
        </row>
        <row r="2097">
          <cell r="A2097" t="str">
            <v>6727597</v>
          </cell>
          <cell r="B2097" t="str">
            <v>1103379</v>
          </cell>
          <cell r="C2097" t="str">
            <v>94-36-2</v>
          </cell>
          <cell r="D2097" t="str">
            <v>94</v>
          </cell>
          <cell r="E2097" t="str">
            <v>94 SZ36 PLN BLK</v>
          </cell>
          <cell r="F2097" t="str">
            <v>DG-BELT</v>
          </cell>
          <cell r="G2097" t="str">
            <v>1420-210-FG</v>
          </cell>
          <cell r="H2097" t="str">
            <v>R</v>
          </cell>
          <cell r="I2097" t="str">
            <v>06/11/2024</v>
          </cell>
          <cell r="J2097" t="str">
            <v>06/11/2024</v>
          </cell>
          <cell r="K2097" t="str">
            <v>06/25/2024</v>
          </cell>
          <cell r="L2097">
            <v>40</v>
          </cell>
          <cell r="M2097" t="str">
            <v>6/11/2024 3:02:21 PM</v>
          </cell>
          <cell r="N2097" t="str">
            <v>26</v>
          </cell>
          <cell r="O2097">
            <v>40</v>
          </cell>
          <cell r="P2097">
            <v>20.6</v>
          </cell>
        </row>
        <row r="2098">
          <cell r="A2098" t="str">
            <v>6727853</v>
          </cell>
          <cell r="B2098" t="str">
            <v>1103510</v>
          </cell>
          <cell r="C2098" t="str">
            <v>94-48-9</v>
          </cell>
          <cell r="D2098" t="str">
            <v>94</v>
          </cell>
          <cell r="E2098" t="str">
            <v>94 SZ48 HGS BLK</v>
          </cell>
          <cell r="F2098" t="str">
            <v>DG-BELT</v>
          </cell>
          <cell r="G2098" t="str">
            <v>1420-210-FG</v>
          </cell>
          <cell r="H2098" t="str">
            <v>R</v>
          </cell>
          <cell r="I2098" t="str">
            <v>06/11/2024</v>
          </cell>
          <cell r="J2098" t="str">
            <v>06/11/2024</v>
          </cell>
          <cell r="K2098" t="str">
            <v>06/25/2024</v>
          </cell>
          <cell r="L2098">
            <v>1</v>
          </cell>
          <cell r="M2098" t="str">
            <v>6/11/2024 3:09:40 PM</v>
          </cell>
          <cell r="N2098" t="str">
            <v>26</v>
          </cell>
          <cell r="O2098">
            <v>1</v>
          </cell>
          <cell r="P2098">
            <v>0.53</v>
          </cell>
        </row>
        <row r="2099">
          <cell r="A2099" t="str">
            <v>6727858</v>
          </cell>
          <cell r="B2099" t="str">
            <v>1103651</v>
          </cell>
          <cell r="C2099" t="str">
            <v>942-28-4</v>
          </cell>
          <cell r="D2099" t="str">
            <v>942</v>
          </cell>
          <cell r="E2099" t="str">
            <v>942 SZ28 BSK BLK</v>
          </cell>
          <cell r="F2099" t="str">
            <v>DG-BELT</v>
          </cell>
          <cell r="G2099" t="str">
            <v>1420-210-FG</v>
          </cell>
          <cell r="H2099" t="str">
            <v>R</v>
          </cell>
          <cell r="I2099" t="str">
            <v>06/11/2024</v>
          </cell>
          <cell r="J2099" t="str">
            <v>06/11/2024</v>
          </cell>
          <cell r="K2099" t="str">
            <v>06/25/2024</v>
          </cell>
          <cell r="L2099">
            <v>1</v>
          </cell>
          <cell r="M2099" t="str">
            <v>6/11/2024 3:09:40 PM</v>
          </cell>
          <cell r="N2099" t="str">
            <v>26</v>
          </cell>
          <cell r="O2099">
            <v>1</v>
          </cell>
          <cell r="P2099">
            <v>0.69</v>
          </cell>
        </row>
        <row r="2100">
          <cell r="A2100" t="str">
            <v>6727857</v>
          </cell>
          <cell r="B2100" t="str">
            <v>1103616</v>
          </cell>
          <cell r="C2100" t="str">
            <v>942-34-4</v>
          </cell>
          <cell r="D2100" t="str">
            <v>942</v>
          </cell>
          <cell r="E2100" t="str">
            <v>942 SZ34 BSK BLK</v>
          </cell>
          <cell r="F2100" t="str">
            <v>DG-BELT</v>
          </cell>
          <cell r="G2100" t="str">
            <v>1420-210-FG</v>
          </cell>
          <cell r="H2100" t="str">
            <v>R</v>
          </cell>
          <cell r="I2100" t="str">
            <v>06/11/2024</v>
          </cell>
          <cell r="J2100" t="str">
            <v>06/11/2024</v>
          </cell>
          <cell r="K2100" t="str">
            <v>06/25/2024</v>
          </cell>
          <cell r="L2100">
            <v>2</v>
          </cell>
          <cell r="M2100" t="str">
            <v>6/11/2024 3:09:40 PM</v>
          </cell>
          <cell r="N2100" t="str">
            <v>26</v>
          </cell>
          <cell r="O2100">
            <v>2</v>
          </cell>
          <cell r="P2100">
            <v>1.39</v>
          </cell>
        </row>
        <row r="2101">
          <cell r="A2101" t="str">
            <v>6728110</v>
          </cell>
          <cell r="B2101" t="str">
            <v>1103676</v>
          </cell>
          <cell r="C2101" t="str">
            <v>942-42-4</v>
          </cell>
          <cell r="D2101" t="str">
            <v>942</v>
          </cell>
          <cell r="E2101" t="str">
            <v>942 SZ42 BSK BLK</v>
          </cell>
          <cell r="F2101" t="str">
            <v>DG-BELT</v>
          </cell>
          <cell r="G2101" t="str">
            <v>1420-210-FG</v>
          </cell>
          <cell r="H2101" t="str">
            <v>F</v>
          </cell>
          <cell r="I2101" t="str">
            <v>06/11/2024</v>
          </cell>
          <cell r="J2101" t="str">
            <v>06/11/2024</v>
          </cell>
          <cell r="K2101" t="str">
            <v>06/25/2024</v>
          </cell>
          <cell r="L2101">
            <v>1</v>
          </cell>
          <cell r="M2101" t="str">
            <v/>
          </cell>
          <cell r="N2101" t="str">
            <v>26</v>
          </cell>
          <cell r="O2101">
            <v>1</v>
          </cell>
          <cell r="P2101">
            <v>0.38</v>
          </cell>
        </row>
        <row r="2102">
          <cell r="A2102" t="str">
            <v>6727863</v>
          </cell>
          <cell r="B2102" t="str">
            <v>1169709</v>
          </cell>
          <cell r="C2102" t="str">
            <v>94B-4-22</v>
          </cell>
          <cell r="D2102" t="str">
            <v>94B</v>
          </cell>
          <cell r="E2102" t="str">
            <v>94B SZ XL NYLLK BLK</v>
          </cell>
          <cell r="F2102" t="str">
            <v>DG-BELT</v>
          </cell>
          <cell r="G2102" t="str">
            <v>1420-210-FG</v>
          </cell>
          <cell r="H2102" t="str">
            <v>R</v>
          </cell>
          <cell r="I2102" t="str">
            <v>06/11/2024</v>
          </cell>
          <cell r="J2102" t="str">
            <v>06/11/2024</v>
          </cell>
          <cell r="K2102" t="str">
            <v>06/25/2024</v>
          </cell>
          <cell r="L2102">
            <v>1</v>
          </cell>
          <cell r="M2102" t="str">
            <v>6/11/2024 3:02:21 PM</v>
          </cell>
          <cell r="N2102" t="str">
            <v>26</v>
          </cell>
          <cell r="O2102">
            <v>1</v>
          </cell>
          <cell r="P2102">
            <v>0.6</v>
          </cell>
        </row>
        <row r="2103">
          <cell r="A2103" t="str">
            <v>6727806</v>
          </cell>
          <cell r="B2103" t="str">
            <v>1169711</v>
          </cell>
          <cell r="C2103" t="str">
            <v>94B-5-22</v>
          </cell>
          <cell r="D2103" t="str">
            <v>94B</v>
          </cell>
          <cell r="E2103" t="str">
            <v>94B SZ XXL NYLLK BLK</v>
          </cell>
          <cell r="F2103" t="str">
            <v>DG-BELT</v>
          </cell>
          <cell r="G2103" t="str">
            <v>1420-210-FG</v>
          </cell>
          <cell r="H2103" t="str">
            <v>R</v>
          </cell>
          <cell r="I2103" t="str">
            <v>06/11/2024</v>
          </cell>
          <cell r="J2103" t="str">
            <v>06/11/2024</v>
          </cell>
          <cell r="K2103" t="str">
            <v>06/25/2024</v>
          </cell>
          <cell r="L2103">
            <v>20</v>
          </cell>
          <cell r="M2103" t="str">
            <v>6/11/2024 3:05:05 PM</v>
          </cell>
          <cell r="N2103" t="str">
            <v>26</v>
          </cell>
          <cell r="O2103">
            <v>20</v>
          </cell>
          <cell r="P2103">
            <v>12.04</v>
          </cell>
        </row>
        <row r="2104">
          <cell r="A2104" t="str">
            <v>6727807</v>
          </cell>
          <cell r="B2104" t="str">
            <v>1169711</v>
          </cell>
          <cell r="C2104" t="str">
            <v>94B-5-22</v>
          </cell>
          <cell r="D2104" t="str">
            <v>94B</v>
          </cell>
          <cell r="E2104" t="str">
            <v>94B SZ XXL NYLLK BLK</v>
          </cell>
          <cell r="F2104" t="str">
            <v>DG-BELT</v>
          </cell>
          <cell r="G2104" t="str">
            <v>1420-210-FG</v>
          </cell>
          <cell r="H2104" t="str">
            <v>R</v>
          </cell>
          <cell r="I2104" t="str">
            <v>06/11/2024</v>
          </cell>
          <cell r="J2104" t="str">
            <v>06/11/2024</v>
          </cell>
          <cell r="K2104" t="str">
            <v>06/25/2024</v>
          </cell>
          <cell r="L2104">
            <v>20</v>
          </cell>
          <cell r="M2104" t="str">
            <v>6/11/2024 3:05:17 PM</v>
          </cell>
          <cell r="N2104" t="str">
            <v>26</v>
          </cell>
          <cell r="O2104">
            <v>20</v>
          </cell>
          <cell r="P2104">
            <v>12.04</v>
          </cell>
        </row>
        <row r="2105">
          <cell r="A2105" t="str">
            <v>6727864</v>
          </cell>
          <cell r="B2105" t="str">
            <v>1169711</v>
          </cell>
          <cell r="C2105" t="str">
            <v>94B-5-22</v>
          </cell>
          <cell r="D2105" t="str">
            <v>94B</v>
          </cell>
          <cell r="E2105" t="str">
            <v>94B SZ XXL NYLLK BLK</v>
          </cell>
          <cell r="F2105" t="str">
            <v>DG-BELT</v>
          </cell>
          <cell r="G2105" t="str">
            <v>1420-210-FG</v>
          </cell>
          <cell r="H2105" t="str">
            <v>R</v>
          </cell>
          <cell r="I2105" t="str">
            <v>06/11/2024</v>
          </cell>
          <cell r="J2105" t="str">
            <v>06/11/2024</v>
          </cell>
          <cell r="K2105" t="str">
            <v>06/25/2024</v>
          </cell>
          <cell r="L2105">
            <v>9</v>
          </cell>
          <cell r="M2105" t="str">
            <v>6/11/2024 3:05:27 PM</v>
          </cell>
          <cell r="N2105" t="str">
            <v>26</v>
          </cell>
          <cell r="O2105">
            <v>9</v>
          </cell>
          <cell r="P2105">
            <v>5.42</v>
          </cell>
        </row>
        <row r="2106">
          <cell r="A2106" t="str">
            <v>6727847</v>
          </cell>
          <cell r="B2106" t="str">
            <v>1103180</v>
          </cell>
          <cell r="C2106" t="str">
            <v>94P-38-4</v>
          </cell>
          <cell r="D2106" t="str">
            <v>94P</v>
          </cell>
          <cell r="E2106" t="str">
            <v>94P SZ38 BSK BLK</v>
          </cell>
          <cell r="F2106" t="str">
            <v>DG-BELT</v>
          </cell>
          <cell r="G2106" t="str">
            <v>1420-210-FG</v>
          </cell>
          <cell r="H2106" t="str">
            <v>F</v>
          </cell>
          <cell r="I2106" t="str">
            <v>06/11/2024</v>
          </cell>
          <cell r="J2106" t="str">
            <v>06/11/2024</v>
          </cell>
          <cell r="K2106" t="str">
            <v>06/25/2024</v>
          </cell>
          <cell r="L2106">
            <v>1</v>
          </cell>
          <cell r="M2106" t="str">
            <v/>
          </cell>
          <cell r="N2106" t="str">
            <v>26</v>
          </cell>
          <cell r="O2106">
            <v>1</v>
          </cell>
          <cell r="P2106">
            <v>0.49</v>
          </cell>
        </row>
        <row r="2107">
          <cell r="A2107" t="str">
            <v>6727865</v>
          </cell>
          <cell r="B2107" t="str">
            <v>1182599</v>
          </cell>
          <cell r="C2107" t="str">
            <v>992-7-2</v>
          </cell>
          <cell r="D2107" t="str">
            <v>992</v>
          </cell>
          <cell r="E2107" t="str">
            <v>992 SZ 4XL PLN BLK</v>
          </cell>
          <cell r="F2107" t="str">
            <v>DG-BELT</v>
          </cell>
          <cell r="G2107" t="str">
            <v>1420-210-FG</v>
          </cell>
          <cell r="H2107" t="str">
            <v>R</v>
          </cell>
          <cell r="I2107" t="str">
            <v>06/11/2024</v>
          </cell>
          <cell r="J2107" t="str">
            <v>06/11/2024</v>
          </cell>
          <cell r="K2107" t="str">
            <v>06/25/2024</v>
          </cell>
          <cell r="L2107">
            <v>1</v>
          </cell>
          <cell r="M2107" t="str">
            <v>6/11/2024 3:02:21 PM</v>
          </cell>
          <cell r="N2107" t="str">
            <v>26</v>
          </cell>
          <cell r="O2107">
            <v>1</v>
          </cell>
          <cell r="P2107">
            <v>0.28999999999999998</v>
          </cell>
        </row>
        <row r="2108">
          <cell r="A2108" t="str">
            <v>6727781</v>
          </cell>
          <cell r="B2108" t="str">
            <v>1017395</v>
          </cell>
          <cell r="C2108" t="str">
            <v>22703</v>
          </cell>
          <cell r="D2108" t="str">
            <v>7323</v>
          </cell>
          <cell r="E2108" t="str">
            <v>ADJUSTABLE RADIO POUCH BLK SZ 1</v>
          </cell>
          <cell r="F2108" t="str">
            <v>BN-POUCH</v>
          </cell>
          <cell r="G2108" t="str">
            <v>1420-210-FG</v>
          </cell>
          <cell r="H2108" t="str">
            <v>R</v>
          </cell>
          <cell r="I2108" t="str">
            <v>06/11/2024</v>
          </cell>
          <cell r="J2108" t="str">
            <v>06/11/2024</v>
          </cell>
          <cell r="K2108" t="str">
            <v>06/25/2024</v>
          </cell>
          <cell r="L2108">
            <v>100</v>
          </cell>
          <cell r="M2108" t="str">
            <v>6/11/2024 2:58:28 PM</v>
          </cell>
          <cell r="N2108" t="str">
            <v>26</v>
          </cell>
          <cell r="O2108">
            <v>100</v>
          </cell>
          <cell r="P2108">
            <v>31.55</v>
          </cell>
        </row>
        <row r="2109">
          <cell r="A2109" t="str">
            <v>6727511</v>
          </cell>
          <cell r="B2109" t="str">
            <v>1100881</v>
          </cell>
          <cell r="C2109" t="str">
            <v>7350-01-2</v>
          </cell>
          <cell r="D2109" t="str">
            <v>7350</v>
          </cell>
          <cell r="E2109" t="str">
            <v>BADGE HOLDERCLIP-ON</v>
          </cell>
          <cell r="F2109" t="str">
            <v>DG-POUCH-F2-F3</v>
          </cell>
          <cell r="G2109" t="str">
            <v>1420-210-FG</v>
          </cell>
          <cell r="H2109" t="str">
            <v>R</v>
          </cell>
          <cell r="I2109" t="str">
            <v>06/11/2024</v>
          </cell>
          <cell r="J2109" t="str">
            <v>06/11/2024</v>
          </cell>
          <cell r="K2109" t="str">
            <v>06/25/2024</v>
          </cell>
          <cell r="L2109">
            <v>40</v>
          </cell>
          <cell r="M2109" t="str">
            <v>6/11/2024 3:34:41 PM</v>
          </cell>
          <cell r="N2109" t="str">
            <v>26</v>
          </cell>
          <cell r="O2109">
            <v>40</v>
          </cell>
          <cell r="P2109">
            <v>3.46</v>
          </cell>
        </row>
        <row r="2110">
          <cell r="A2110" t="str">
            <v>6728282</v>
          </cell>
          <cell r="B2110" t="str">
            <v>1099124</v>
          </cell>
          <cell r="C2110" t="str">
            <v>35-F16-13</v>
          </cell>
          <cell r="D2110" t="str">
            <v>35</v>
          </cell>
          <cell r="E2110" t="str">
            <v>BATON HOLDER</v>
          </cell>
          <cell r="F2110" t="str">
            <v>DG-POUCH-F1</v>
          </cell>
          <cell r="G2110" t="str">
            <v>1420-210-FG</v>
          </cell>
          <cell r="H2110" t="str">
            <v>R</v>
          </cell>
          <cell r="I2110" t="str">
            <v>06/11/2024</v>
          </cell>
          <cell r="J2110" t="str">
            <v>06/11/2024</v>
          </cell>
          <cell r="K2110" t="str">
            <v>06/25/2024</v>
          </cell>
          <cell r="L2110">
            <v>1</v>
          </cell>
          <cell r="M2110" t="str">
            <v>6/11/2024 3:19:16 PM</v>
          </cell>
          <cell r="N2110" t="str">
            <v>26</v>
          </cell>
          <cell r="O2110">
            <v>1</v>
          </cell>
          <cell r="P2110">
            <v>0.47</v>
          </cell>
        </row>
        <row r="2111">
          <cell r="A2111" t="str">
            <v>6726674</v>
          </cell>
          <cell r="B2111" t="str">
            <v>1015846</v>
          </cell>
          <cell r="C2111" t="str">
            <v>14414</v>
          </cell>
          <cell r="D2111" t="str">
            <v>7404</v>
          </cell>
          <cell r="E2111" t="str">
            <v xml:space="preserve">BATON HOLDER BLACK </v>
          </cell>
          <cell r="F2111" t="str">
            <v>BN-KEEPER</v>
          </cell>
          <cell r="G2111" t="str">
            <v>1420-210-FG</v>
          </cell>
          <cell r="H2111" t="str">
            <v>R</v>
          </cell>
          <cell r="I2111" t="str">
            <v>06/10/2024</v>
          </cell>
          <cell r="J2111" t="str">
            <v>06/11/2024</v>
          </cell>
          <cell r="K2111" t="str">
            <v>06/25/2024</v>
          </cell>
          <cell r="L2111">
            <v>100</v>
          </cell>
          <cell r="M2111" t="str">
            <v>6/11/2024 2:48:28 PM</v>
          </cell>
          <cell r="N2111" t="str">
            <v>26</v>
          </cell>
          <cell r="O2111">
            <v>100</v>
          </cell>
          <cell r="P2111">
            <v>3.2</v>
          </cell>
        </row>
        <row r="2112">
          <cell r="A2112" t="str">
            <v>6727760</v>
          </cell>
          <cell r="B2112" t="str">
            <v>1015846</v>
          </cell>
          <cell r="C2112" t="str">
            <v>14414</v>
          </cell>
          <cell r="D2112" t="str">
            <v>7404</v>
          </cell>
          <cell r="E2112" t="str">
            <v xml:space="preserve">BATON HOLDER BLACK </v>
          </cell>
          <cell r="F2112" t="str">
            <v>BN-KEEPER</v>
          </cell>
          <cell r="G2112" t="str">
            <v>1420-210-FG</v>
          </cell>
          <cell r="H2112" t="str">
            <v>R</v>
          </cell>
          <cell r="I2112" t="str">
            <v>06/11/2024</v>
          </cell>
          <cell r="J2112" t="str">
            <v>06/11/2024</v>
          </cell>
          <cell r="K2112" t="str">
            <v>06/25/2024</v>
          </cell>
          <cell r="L2112">
            <v>100</v>
          </cell>
          <cell r="M2112" t="str">
            <v>6/11/2024 2:48:28 PM</v>
          </cell>
          <cell r="N2112" t="str">
            <v>26</v>
          </cell>
          <cell r="O2112">
            <v>100</v>
          </cell>
          <cell r="P2112">
            <v>3.2</v>
          </cell>
        </row>
        <row r="2113">
          <cell r="A2113" t="str">
            <v>6727536</v>
          </cell>
          <cell r="B2113" t="str">
            <v>1017259</v>
          </cell>
          <cell r="C2113" t="str">
            <v>22087</v>
          </cell>
          <cell r="D2113" t="str">
            <v>7904</v>
          </cell>
          <cell r="E2113" t="str">
            <v xml:space="preserve">BATON RING BSK BLK </v>
          </cell>
          <cell r="F2113" t="str">
            <v>BN-KEEPER</v>
          </cell>
          <cell r="G2113" t="str">
            <v>1420-210-FG</v>
          </cell>
          <cell r="H2113" t="str">
            <v>R</v>
          </cell>
          <cell r="I2113" t="str">
            <v>06/11/2024</v>
          </cell>
          <cell r="J2113" t="str">
            <v>06/11/2024</v>
          </cell>
          <cell r="K2113" t="str">
            <v>06/25/2024</v>
          </cell>
          <cell r="L2113">
            <v>75</v>
          </cell>
          <cell r="M2113" t="str">
            <v>6/11/2024 2:48:28 PM</v>
          </cell>
          <cell r="N2113" t="str">
            <v>26</v>
          </cell>
          <cell r="O2113">
            <v>75</v>
          </cell>
          <cell r="P2113">
            <v>5.99</v>
          </cell>
        </row>
        <row r="2114">
          <cell r="A2114" t="str">
            <v>6727767</v>
          </cell>
          <cell r="B2114" t="str">
            <v>1017259</v>
          </cell>
          <cell r="C2114" t="str">
            <v>22087</v>
          </cell>
          <cell r="D2114" t="str">
            <v>7904</v>
          </cell>
          <cell r="E2114" t="str">
            <v xml:space="preserve">BATON RING BSK BLK </v>
          </cell>
          <cell r="F2114" t="str">
            <v>BN-KEEPER</v>
          </cell>
          <cell r="G2114" t="str">
            <v>1420-210-FG</v>
          </cell>
          <cell r="H2114" t="str">
            <v>R</v>
          </cell>
          <cell r="I2114" t="str">
            <v>06/11/2024</v>
          </cell>
          <cell r="J2114" t="str">
            <v>06/11/2024</v>
          </cell>
          <cell r="K2114" t="str">
            <v>06/25/2024</v>
          </cell>
          <cell r="L2114">
            <v>75</v>
          </cell>
          <cell r="M2114" t="str">
            <v>6/11/2024 2:48:28 PM</v>
          </cell>
          <cell r="N2114" t="str">
            <v>26</v>
          </cell>
          <cell r="O2114">
            <v>75</v>
          </cell>
          <cell r="P2114">
            <v>5.99</v>
          </cell>
        </row>
        <row r="2115">
          <cell r="A2115" t="str">
            <v>6727870</v>
          </cell>
          <cell r="B2115" t="str">
            <v>1324723</v>
          </cell>
          <cell r="C2115" t="str">
            <v>4325-3-4-NP</v>
          </cell>
          <cell r="D2115" t="str">
            <v>4325</v>
          </cell>
          <cell r="E2115" t="str">
            <v xml:space="preserve">BLT INR PNT REVRS VEL LRG NP </v>
          </cell>
          <cell r="F2115" t="str">
            <v>DG-BELT</v>
          </cell>
          <cell r="G2115" t="str">
            <v>1420-210-FG</v>
          </cell>
          <cell r="H2115" t="str">
            <v>R</v>
          </cell>
          <cell r="I2115" t="str">
            <v>06/11/2024</v>
          </cell>
          <cell r="J2115" t="str">
            <v>06/11/2024</v>
          </cell>
          <cell r="K2115" t="str">
            <v>06/25/2024</v>
          </cell>
          <cell r="L2115">
            <v>6</v>
          </cell>
          <cell r="M2115" t="str">
            <v>6/13/2024 12:33:50 PM</v>
          </cell>
          <cell r="N2115" t="str">
            <v>26</v>
          </cell>
          <cell r="O2115">
            <v>6</v>
          </cell>
          <cell r="P2115">
            <v>0.86</v>
          </cell>
        </row>
        <row r="2116">
          <cell r="A2116" t="str">
            <v>6728398</v>
          </cell>
          <cell r="B2116" t="str">
            <v>1017874</v>
          </cell>
          <cell r="C2116" t="str">
            <v>22940</v>
          </cell>
          <cell r="D2116" t="str">
            <v>24</v>
          </cell>
          <cell r="E2116" t="str">
            <v xml:space="preserve">CARRY CUFF CASE BLK </v>
          </cell>
          <cell r="F2116" t="str">
            <v>BN-LEATHER</v>
          </cell>
          <cell r="G2116" t="str">
            <v>1420-210-FG</v>
          </cell>
          <cell r="H2116" t="str">
            <v>R</v>
          </cell>
          <cell r="I2116" t="str">
            <v>06/11/2024</v>
          </cell>
          <cell r="J2116" t="str">
            <v>06/11/2024</v>
          </cell>
          <cell r="K2116" t="str">
            <v>06/25/2024</v>
          </cell>
          <cell r="L2116">
            <v>25</v>
          </cell>
          <cell r="M2116" t="str">
            <v>6/11/2024 2:54:07 PM</v>
          </cell>
          <cell r="N2116" t="str">
            <v>26</v>
          </cell>
          <cell r="O2116">
            <v>25</v>
          </cell>
          <cell r="P2116">
            <v>7.28</v>
          </cell>
        </row>
        <row r="2117">
          <cell r="A2117" t="str">
            <v>6728400</v>
          </cell>
          <cell r="B2117" t="str">
            <v>1017874</v>
          </cell>
          <cell r="C2117" t="str">
            <v>22940</v>
          </cell>
          <cell r="D2117" t="str">
            <v>24</v>
          </cell>
          <cell r="E2117" t="str">
            <v xml:space="preserve">CARRY CUFF CASE BLK </v>
          </cell>
          <cell r="F2117" t="str">
            <v>BN-LEATHER</v>
          </cell>
          <cell r="G2117" t="str">
            <v>1420-210-FG</v>
          </cell>
          <cell r="H2117" t="str">
            <v>R</v>
          </cell>
          <cell r="I2117" t="str">
            <v>06/11/2024</v>
          </cell>
          <cell r="J2117" t="str">
            <v>06/11/2024</v>
          </cell>
          <cell r="K2117" t="str">
            <v>06/25/2024</v>
          </cell>
          <cell r="L2117">
            <v>25</v>
          </cell>
          <cell r="M2117" t="str">
            <v>6/11/2024 2:54:07 PM</v>
          </cell>
          <cell r="N2117" t="str">
            <v>26</v>
          </cell>
          <cell r="O2117">
            <v>25</v>
          </cell>
          <cell r="P2117">
            <v>7.28</v>
          </cell>
        </row>
        <row r="2118">
          <cell r="A2118" t="str">
            <v>6728401</v>
          </cell>
          <cell r="B2118" t="str">
            <v>1017874</v>
          </cell>
          <cell r="C2118" t="str">
            <v>22940</v>
          </cell>
          <cell r="D2118" t="str">
            <v>24</v>
          </cell>
          <cell r="E2118" t="str">
            <v xml:space="preserve">CARRY CUFF CASE BLK </v>
          </cell>
          <cell r="F2118" t="str">
            <v>BN-LEATHER</v>
          </cell>
          <cell r="G2118" t="str">
            <v>1420-210-FG</v>
          </cell>
          <cell r="H2118" t="str">
            <v>R</v>
          </cell>
          <cell r="I2118" t="str">
            <v>06/11/2024</v>
          </cell>
          <cell r="J2118" t="str">
            <v>06/11/2024</v>
          </cell>
          <cell r="K2118" t="str">
            <v>06/25/2024</v>
          </cell>
          <cell r="L2118">
            <v>25</v>
          </cell>
          <cell r="M2118" t="str">
            <v>6/11/2024 2:54:07 PM</v>
          </cell>
          <cell r="N2118" t="str">
            <v>26</v>
          </cell>
          <cell r="O2118">
            <v>25</v>
          </cell>
          <cell r="P2118">
            <v>7.28</v>
          </cell>
        </row>
        <row r="2119">
          <cell r="A2119" t="str">
            <v>6728402</v>
          </cell>
          <cell r="B2119" t="str">
            <v>1017874</v>
          </cell>
          <cell r="C2119" t="str">
            <v>22940</v>
          </cell>
          <cell r="D2119" t="str">
            <v>24</v>
          </cell>
          <cell r="E2119" t="str">
            <v xml:space="preserve">CARRY CUFF CASE BLK </v>
          </cell>
          <cell r="F2119" t="str">
            <v>BN-LEATHER</v>
          </cell>
          <cell r="G2119" t="str">
            <v>1420-210-FG</v>
          </cell>
          <cell r="H2119" t="str">
            <v>R</v>
          </cell>
          <cell r="I2119" t="str">
            <v>06/11/2024</v>
          </cell>
          <cell r="J2119" t="str">
            <v>06/11/2024</v>
          </cell>
          <cell r="K2119" t="str">
            <v>06/25/2024</v>
          </cell>
          <cell r="L2119">
            <v>25</v>
          </cell>
          <cell r="M2119" t="str">
            <v>6/11/2024 2:54:07 PM</v>
          </cell>
          <cell r="N2119" t="str">
            <v>26</v>
          </cell>
          <cell r="O2119">
            <v>25</v>
          </cell>
          <cell r="P2119">
            <v>7.28</v>
          </cell>
        </row>
        <row r="2120">
          <cell r="A2120" t="str">
            <v>6728403</v>
          </cell>
          <cell r="B2120" t="str">
            <v>1017874</v>
          </cell>
          <cell r="C2120" t="str">
            <v>22940</v>
          </cell>
          <cell r="D2120" t="str">
            <v>24</v>
          </cell>
          <cell r="E2120" t="str">
            <v xml:space="preserve">CARRY CUFF CASE BLK </v>
          </cell>
          <cell r="F2120" t="str">
            <v>BN-LEATHER</v>
          </cell>
          <cell r="G2120" t="str">
            <v>1420-210-FG</v>
          </cell>
          <cell r="H2120" t="str">
            <v>R</v>
          </cell>
          <cell r="I2120" t="str">
            <v>06/11/2024</v>
          </cell>
          <cell r="J2120" t="str">
            <v>06/11/2024</v>
          </cell>
          <cell r="K2120" t="str">
            <v>06/25/2024</v>
          </cell>
          <cell r="L2120">
            <v>25</v>
          </cell>
          <cell r="M2120" t="str">
            <v>6/11/2024 2:54:07 PM</v>
          </cell>
          <cell r="N2120" t="str">
            <v>26</v>
          </cell>
          <cell r="O2120">
            <v>25</v>
          </cell>
          <cell r="P2120">
            <v>7.28</v>
          </cell>
        </row>
        <row r="2121">
          <cell r="A2121" t="str">
            <v>6728404</v>
          </cell>
          <cell r="B2121" t="str">
            <v>1017874</v>
          </cell>
          <cell r="C2121" t="str">
            <v>22940</v>
          </cell>
          <cell r="D2121" t="str">
            <v>24</v>
          </cell>
          <cell r="E2121" t="str">
            <v xml:space="preserve">CARRY CUFF CASE BLK </v>
          </cell>
          <cell r="F2121" t="str">
            <v>BN-LEATHER</v>
          </cell>
          <cell r="G2121" t="str">
            <v>1420-210-FG</v>
          </cell>
          <cell r="H2121" t="str">
            <v>R</v>
          </cell>
          <cell r="I2121" t="str">
            <v>06/11/2024</v>
          </cell>
          <cell r="J2121" t="str">
            <v>06/11/2024</v>
          </cell>
          <cell r="K2121" t="str">
            <v>06/25/2024</v>
          </cell>
          <cell r="L2121">
            <v>25</v>
          </cell>
          <cell r="M2121" t="str">
            <v>6/11/2024 2:54:07 PM</v>
          </cell>
          <cell r="N2121" t="str">
            <v>26</v>
          </cell>
          <cell r="O2121">
            <v>25</v>
          </cell>
          <cell r="P2121">
            <v>7.28</v>
          </cell>
        </row>
        <row r="2122">
          <cell r="A2122" t="str">
            <v>6728405</v>
          </cell>
          <cell r="B2122" t="str">
            <v>1017874</v>
          </cell>
          <cell r="C2122" t="str">
            <v>22940</v>
          </cell>
          <cell r="D2122" t="str">
            <v>24</v>
          </cell>
          <cell r="E2122" t="str">
            <v xml:space="preserve">CARRY CUFF CASE BLK </v>
          </cell>
          <cell r="F2122" t="str">
            <v>BN-LEATHER</v>
          </cell>
          <cell r="G2122" t="str">
            <v>1420-210-FG</v>
          </cell>
          <cell r="H2122" t="str">
            <v>R</v>
          </cell>
          <cell r="I2122" t="str">
            <v>06/11/2024</v>
          </cell>
          <cell r="J2122" t="str">
            <v>06/11/2024</v>
          </cell>
          <cell r="K2122" t="str">
            <v>06/25/2024</v>
          </cell>
          <cell r="L2122">
            <v>25</v>
          </cell>
          <cell r="M2122" t="str">
            <v>6/11/2024 2:54:07 PM</v>
          </cell>
          <cell r="N2122" t="str">
            <v>26</v>
          </cell>
          <cell r="O2122">
            <v>25</v>
          </cell>
          <cell r="P2122">
            <v>7.28</v>
          </cell>
        </row>
        <row r="2123">
          <cell r="A2123" t="str">
            <v>6728406</v>
          </cell>
          <cell r="B2123" t="str">
            <v>1017874</v>
          </cell>
          <cell r="C2123" t="str">
            <v>22940</v>
          </cell>
          <cell r="D2123" t="str">
            <v>24</v>
          </cell>
          <cell r="E2123" t="str">
            <v xml:space="preserve">CARRY CUFF CASE BLK </v>
          </cell>
          <cell r="F2123" t="str">
            <v>BN-LEATHER</v>
          </cell>
          <cell r="G2123" t="str">
            <v>1420-210-FG</v>
          </cell>
          <cell r="H2123" t="str">
            <v>R</v>
          </cell>
          <cell r="I2123" t="str">
            <v>06/11/2024</v>
          </cell>
          <cell r="J2123" t="str">
            <v>06/11/2024</v>
          </cell>
          <cell r="K2123" t="str">
            <v>06/25/2024</v>
          </cell>
          <cell r="L2123">
            <v>25</v>
          </cell>
          <cell r="M2123" t="str">
            <v>6/11/2024 2:54:07 PM</v>
          </cell>
          <cell r="N2123" t="str">
            <v>26</v>
          </cell>
          <cell r="O2123">
            <v>25</v>
          </cell>
          <cell r="P2123">
            <v>7.28</v>
          </cell>
        </row>
        <row r="2124">
          <cell r="A2124" t="str">
            <v>6728407</v>
          </cell>
          <cell r="B2124" t="str">
            <v>1017874</v>
          </cell>
          <cell r="C2124" t="str">
            <v>22940</v>
          </cell>
          <cell r="D2124" t="str">
            <v>24</v>
          </cell>
          <cell r="E2124" t="str">
            <v xml:space="preserve">CARRY CUFF CASE BLK </v>
          </cell>
          <cell r="F2124" t="str">
            <v>BN-LEATHER</v>
          </cell>
          <cell r="G2124" t="str">
            <v>1420-210-FG</v>
          </cell>
          <cell r="H2124" t="str">
            <v>R</v>
          </cell>
          <cell r="I2124" t="str">
            <v>06/11/2024</v>
          </cell>
          <cell r="J2124" t="str">
            <v>06/11/2024</v>
          </cell>
          <cell r="K2124" t="str">
            <v>06/25/2024</v>
          </cell>
          <cell r="L2124">
            <v>25</v>
          </cell>
          <cell r="M2124" t="str">
            <v>6/11/2024 2:54:07 PM</v>
          </cell>
          <cell r="N2124" t="str">
            <v>26</v>
          </cell>
          <cell r="O2124">
            <v>25</v>
          </cell>
          <cell r="P2124">
            <v>7.28</v>
          </cell>
        </row>
        <row r="2125">
          <cell r="A2125" t="str">
            <v>6728410</v>
          </cell>
          <cell r="B2125" t="str">
            <v>1017874</v>
          </cell>
          <cell r="C2125" t="str">
            <v>22940</v>
          </cell>
          <cell r="D2125" t="str">
            <v>24</v>
          </cell>
          <cell r="E2125" t="str">
            <v xml:space="preserve">CARRY CUFF CASE BLK </v>
          </cell>
          <cell r="F2125" t="str">
            <v>BN-LEATHER</v>
          </cell>
          <cell r="G2125" t="str">
            <v>1420-210-FG</v>
          </cell>
          <cell r="H2125" t="str">
            <v>R</v>
          </cell>
          <cell r="I2125" t="str">
            <v>06/11/2024</v>
          </cell>
          <cell r="J2125" t="str">
            <v>06/11/2024</v>
          </cell>
          <cell r="K2125" t="str">
            <v>06/25/2024</v>
          </cell>
          <cell r="L2125">
            <v>25</v>
          </cell>
          <cell r="M2125" t="str">
            <v>6/11/2024 2:54:07 PM</v>
          </cell>
          <cell r="N2125" t="str">
            <v>26</v>
          </cell>
          <cell r="O2125">
            <v>25</v>
          </cell>
          <cell r="P2125">
            <v>7.28</v>
          </cell>
        </row>
        <row r="2126">
          <cell r="A2126" t="str">
            <v>6728037</v>
          </cell>
          <cell r="B2126" t="str">
            <v>1018142</v>
          </cell>
          <cell r="C2126" t="str">
            <v>23351</v>
          </cell>
          <cell r="D2126" t="str">
            <v>82</v>
          </cell>
          <cell r="E2126" t="str">
            <v>CARRYLOK BLK LH HK P2000</v>
          </cell>
          <cell r="F2126" t="str">
            <v>BN-LEATHER</v>
          </cell>
          <cell r="G2126" t="str">
            <v>1420-210-FG</v>
          </cell>
          <cell r="H2126" t="str">
            <v>F</v>
          </cell>
          <cell r="I2126" t="str">
            <v>06/11/2024</v>
          </cell>
          <cell r="J2126" t="str">
            <v>06/11/2024</v>
          </cell>
          <cell r="K2126" t="str">
            <v>06/25/2024</v>
          </cell>
          <cell r="L2126">
            <v>1</v>
          </cell>
          <cell r="M2126" t="str">
            <v/>
          </cell>
          <cell r="N2126" t="str">
            <v>26</v>
          </cell>
          <cell r="O2126">
            <v>1</v>
          </cell>
          <cell r="P2126">
            <v>0.37</v>
          </cell>
        </row>
        <row r="2127">
          <cell r="A2127" t="str">
            <v>6728430</v>
          </cell>
          <cell r="B2127" t="str">
            <v>1103418</v>
          </cell>
          <cell r="C2127" t="str">
            <v>J-K2C</v>
          </cell>
          <cell r="D2127" t="str">
            <v>J</v>
          </cell>
          <cell r="E2127" t="str">
            <v>COMP II SPEEDLOADER</v>
          </cell>
          <cell r="F2127" t="str">
            <v>DG-MISC</v>
          </cell>
          <cell r="G2127" t="str">
            <v>1420-210-FG</v>
          </cell>
          <cell r="H2127" t="str">
            <v>F</v>
          </cell>
          <cell r="I2127" t="str">
            <v>06/11/2024</v>
          </cell>
          <cell r="J2127" t="str">
            <v>06/11/2024</v>
          </cell>
          <cell r="K2127" t="str">
            <v>06/25/2024</v>
          </cell>
          <cell r="L2127">
            <v>175</v>
          </cell>
          <cell r="M2127" t="str">
            <v/>
          </cell>
          <cell r="N2127" t="str">
            <v>26</v>
          </cell>
          <cell r="O2127">
            <v>175</v>
          </cell>
          <cell r="P2127">
            <v>2.92</v>
          </cell>
        </row>
        <row r="2128">
          <cell r="A2128" t="str">
            <v>6728309</v>
          </cell>
          <cell r="B2128" t="str">
            <v>1103422</v>
          </cell>
          <cell r="C2128" t="str">
            <v>J-P3C</v>
          </cell>
          <cell r="D2128" t="str">
            <v>J</v>
          </cell>
          <cell r="E2128" t="str">
            <v>COMP II SPEEDLOADER</v>
          </cell>
          <cell r="F2128" t="str">
            <v>DG-MISC</v>
          </cell>
          <cell r="G2128" t="str">
            <v>1420-210-FG</v>
          </cell>
          <cell r="H2128" t="str">
            <v>F</v>
          </cell>
          <cell r="I2128" t="str">
            <v>06/11/2024</v>
          </cell>
          <cell r="J2128" t="str">
            <v>06/11/2024</v>
          </cell>
          <cell r="K2128" t="str">
            <v>06/25/2024</v>
          </cell>
          <cell r="L2128">
            <v>100</v>
          </cell>
          <cell r="M2128" t="str">
            <v/>
          </cell>
          <cell r="N2128" t="str">
            <v>26</v>
          </cell>
          <cell r="O2128">
            <v>100</v>
          </cell>
          <cell r="P2128">
            <v>1.67</v>
          </cell>
        </row>
        <row r="2129">
          <cell r="A2129" t="str">
            <v>6727783</v>
          </cell>
          <cell r="B2129" t="str">
            <v>1017706</v>
          </cell>
          <cell r="C2129" t="str">
            <v>22838</v>
          </cell>
          <cell r="D2129" t="str">
            <v>7326</v>
          </cell>
          <cell r="E2129" t="str">
            <v>COMPACT LIGHT HOLDER BLK-SZ 2 OPEN TOP</v>
          </cell>
          <cell r="F2129" t="str">
            <v>BN-POUCH</v>
          </cell>
          <cell r="G2129" t="str">
            <v>1420-210-FG</v>
          </cell>
          <cell r="H2129" t="str">
            <v>R</v>
          </cell>
          <cell r="I2129" t="str">
            <v>06/11/2024</v>
          </cell>
          <cell r="J2129" t="str">
            <v>06/11/2024</v>
          </cell>
          <cell r="K2129" t="str">
            <v>06/25/2024</v>
          </cell>
          <cell r="L2129">
            <v>100</v>
          </cell>
          <cell r="M2129" t="str">
            <v>6/11/2024 3:15:53 PM</v>
          </cell>
          <cell r="N2129" t="str">
            <v>26</v>
          </cell>
          <cell r="O2129">
            <v>100</v>
          </cell>
          <cell r="P2129">
            <v>9.92</v>
          </cell>
        </row>
        <row r="2130">
          <cell r="A2130" t="str">
            <v>6727784</v>
          </cell>
          <cell r="B2130" t="str">
            <v>1017706</v>
          </cell>
          <cell r="C2130" t="str">
            <v>22838</v>
          </cell>
          <cell r="D2130" t="str">
            <v>7326</v>
          </cell>
          <cell r="E2130" t="str">
            <v>COMPACT LIGHT HOLDER BLK-SZ 2 OPEN TOP</v>
          </cell>
          <cell r="F2130" t="str">
            <v>BN-POUCH</v>
          </cell>
          <cell r="G2130" t="str">
            <v>1420-210-FG</v>
          </cell>
          <cell r="H2130" t="str">
            <v>R</v>
          </cell>
          <cell r="I2130" t="str">
            <v>06/11/2024</v>
          </cell>
          <cell r="J2130" t="str">
            <v>06/11/2024</v>
          </cell>
          <cell r="K2130" t="str">
            <v>06/25/2024</v>
          </cell>
          <cell r="L2130">
            <v>100</v>
          </cell>
          <cell r="M2130" t="str">
            <v>6/11/2024 3:15:53 PM</v>
          </cell>
          <cell r="N2130" t="str">
            <v>26</v>
          </cell>
          <cell r="O2130">
            <v>100</v>
          </cell>
          <cell r="P2130">
            <v>9.92</v>
          </cell>
        </row>
        <row r="2131">
          <cell r="A2131" t="str">
            <v>6728002</v>
          </cell>
          <cell r="B2131" t="str">
            <v>1017706</v>
          </cell>
          <cell r="C2131" t="str">
            <v>22838</v>
          </cell>
          <cell r="D2131" t="str">
            <v>7326</v>
          </cell>
          <cell r="E2131" t="str">
            <v>COMPACT LIGHT HOLDER BLK-SZ 2 OPEN TOP</v>
          </cell>
          <cell r="F2131" t="str">
            <v>BN-POUCH</v>
          </cell>
          <cell r="G2131" t="str">
            <v>1420-210-FG</v>
          </cell>
          <cell r="H2131" t="str">
            <v>R</v>
          </cell>
          <cell r="I2131" t="str">
            <v>06/11/2024</v>
          </cell>
          <cell r="J2131" t="str">
            <v>06/11/2024</v>
          </cell>
          <cell r="K2131" t="str">
            <v>06/25/2024</v>
          </cell>
          <cell r="L2131">
            <v>100</v>
          </cell>
          <cell r="M2131" t="str">
            <v>6/11/2024 3:15:53 PM</v>
          </cell>
          <cell r="N2131" t="str">
            <v>26</v>
          </cell>
          <cell r="O2131">
            <v>100</v>
          </cell>
          <cell r="P2131">
            <v>9.92</v>
          </cell>
        </row>
        <row r="2132">
          <cell r="A2132" t="str">
            <v>6728449</v>
          </cell>
          <cell r="B2132" t="str">
            <v>1017265</v>
          </cell>
          <cell r="C2132" t="str">
            <v>22095</v>
          </cell>
          <cell r="D2132" t="str">
            <v>7926</v>
          </cell>
          <cell r="E2132" t="str">
            <v>COMPACT LIGHT HOLDER BSK-BLK SZ 1</v>
          </cell>
          <cell r="F2132" t="str">
            <v>BN-POUCH</v>
          </cell>
          <cell r="G2132" t="str">
            <v>1420-210-FG</v>
          </cell>
          <cell r="H2132" t="str">
            <v>R</v>
          </cell>
          <cell r="I2132" t="str">
            <v>06/11/2024</v>
          </cell>
          <cell r="J2132" t="str">
            <v>06/11/2024</v>
          </cell>
          <cell r="K2132" t="str">
            <v>06/25/2024</v>
          </cell>
          <cell r="L2132">
            <v>40</v>
          </cell>
          <cell r="M2132" t="str">
            <v>6/11/2024 2:58:28 PM</v>
          </cell>
          <cell r="N2132" t="str">
            <v>26</v>
          </cell>
          <cell r="O2132">
            <v>40</v>
          </cell>
          <cell r="P2132">
            <v>3.92</v>
          </cell>
        </row>
        <row r="2133">
          <cell r="A2133" t="str">
            <v>6727778</v>
          </cell>
          <cell r="B2133" t="str">
            <v>1017267</v>
          </cell>
          <cell r="C2133" t="str">
            <v>22096</v>
          </cell>
          <cell r="D2133" t="str">
            <v>7926</v>
          </cell>
          <cell r="E2133" t="str">
            <v>COMPACT LIGHT HOLDER PLN-BLK SZ 2</v>
          </cell>
          <cell r="F2133" t="str">
            <v>BN-POUCH</v>
          </cell>
          <cell r="G2133" t="str">
            <v>1420-210-FG</v>
          </cell>
          <cell r="H2133" t="str">
            <v>R</v>
          </cell>
          <cell r="I2133" t="str">
            <v>06/11/2024</v>
          </cell>
          <cell r="J2133" t="str">
            <v>06/11/2024</v>
          </cell>
          <cell r="K2133" t="str">
            <v>06/25/2024</v>
          </cell>
          <cell r="L2133">
            <v>100</v>
          </cell>
          <cell r="M2133" t="str">
            <v>6/11/2024 3:15:53 PM</v>
          </cell>
          <cell r="N2133" t="str">
            <v>26</v>
          </cell>
          <cell r="O2133">
            <v>100</v>
          </cell>
          <cell r="P2133">
            <v>10.53</v>
          </cell>
        </row>
        <row r="2134">
          <cell r="A2134" t="str">
            <v>6727505</v>
          </cell>
          <cell r="B2134" t="str">
            <v>1096782</v>
          </cell>
          <cell r="C2134" t="str">
            <v>123-18-2</v>
          </cell>
          <cell r="D2134" t="str">
            <v>123</v>
          </cell>
          <cell r="E2134" t="str">
            <v>CONCEAL MAG HOLDER</v>
          </cell>
          <cell r="F2134" t="str">
            <v>DG-POUCH-F2-F3</v>
          </cell>
          <cell r="G2134" t="str">
            <v>1420-210-FG</v>
          </cell>
          <cell r="H2134" t="str">
            <v>R</v>
          </cell>
          <cell r="I2134" t="str">
            <v>06/11/2024</v>
          </cell>
          <cell r="J2134" t="str">
            <v>06/11/2024</v>
          </cell>
          <cell r="K2134" t="str">
            <v>06/25/2024</v>
          </cell>
          <cell r="L2134">
            <v>25</v>
          </cell>
          <cell r="M2134" t="str">
            <v>6/11/2024 3:34:41 PM</v>
          </cell>
          <cell r="N2134" t="str">
            <v>26</v>
          </cell>
          <cell r="O2134">
            <v>25</v>
          </cell>
          <cell r="P2134">
            <v>4.49</v>
          </cell>
        </row>
        <row r="2135">
          <cell r="A2135" t="str">
            <v>6727549</v>
          </cell>
          <cell r="B2135" t="str">
            <v>1157849</v>
          </cell>
          <cell r="C2135" t="str">
            <v>074-76-551</v>
          </cell>
          <cell r="D2135" t="str">
            <v>074</v>
          </cell>
          <cell r="E2135" t="str">
            <v>CONCEALMENT MAG HDLR</v>
          </cell>
          <cell r="F2135" t="str">
            <v>DG-POUCH-F2-F3</v>
          </cell>
          <cell r="G2135" t="str">
            <v>1420-210-FG</v>
          </cell>
          <cell r="H2135" t="str">
            <v>R</v>
          </cell>
          <cell r="I2135" t="str">
            <v>06/11/2024</v>
          </cell>
          <cell r="J2135" t="str">
            <v>06/11/2024</v>
          </cell>
          <cell r="K2135" t="str">
            <v>06/25/2024</v>
          </cell>
          <cell r="L2135">
            <v>1</v>
          </cell>
          <cell r="M2135" t="str">
            <v>6/11/2024 3:34:41 PM</v>
          </cell>
          <cell r="N2135" t="str">
            <v>26</v>
          </cell>
          <cell r="O2135">
            <v>1</v>
          </cell>
          <cell r="P2135">
            <v>0.27</v>
          </cell>
        </row>
        <row r="2136">
          <cell r="A2136" t="str">
            <v>6727583</v>
          </cell>
          <cell r="B2136" t="str">
            <v>1017595</v>
          </cell>
          <cell r="C2136" t="str">
            <v>23099</v>
          </cell>
          <cell r="D2136" t="str">
            <v>7900</v>
          </cell>
          <cell r="E2136" t="str">
            <v>COVERED CUFF CASE BSK BLK-SZ 2 CHROME</v>
          </cell>
          <cell r="F2136" t="str">
            <v>BN-POUCH</v>
          </cell>
          <cell r="G2136" t="str">
            <v>1420-210-FG</v>
          </cell>
          <cell r="H2136" t="str">
            <v>R</v>
          </cell>
          <cell r="I2136" t="str">
            <v>06/11/2024</v>
          </cell>
          <cell r="J2136" t="str">
            <v>06/11/2024</v>
          </cell>
          <cell r="K2136" t="str">
            <v>06/25/2024</v>
          </cell>
          <cell r="L2136">
            <v>15</v>
          </cell>
          <cell r="M2136" t="str">
            <v>6/11/2024 3:26:41 PM</v>
          </cell>
          <cell r="N2136" t="str">
            <v>26</v>
          </cell>
          <cell r="O2136">
            <v>15</v>
          </cell>
          <cell r="P2136">
            <v>3.04</v>
          </cell>
        </row>
        <row r="2137">
          <cell r="A2137" t="str">
            <v>6727569</v>
          </cell>
          <cell r="B2137" t="str">
            <v>1016143</v>
          </cell>
          <cell r="C2137" t="str">
            <v>17390</v>
          </cell>
          <cell r="D2137" t="str">
            <v>7300</v>
          </cell>
          <cell r="E2137" t="str">
            <v>COVERED HANDCUFF CASE BLK SZ1 HOOK-LOOP</v>
          </cell>
          <cell r="F2137" t="str">
            <v>BN-POUCH</v>
          </cell>
          <cell r="G2137" t="str">
            <v>1420-210-FG</v>
          </cell>
          <cell r="H2137" t="str">
            <v>R</v>
          </cell>
          <cell r="I2137" t="str">
            <v>06/11/2024</v>
          </cell>
          <cell r="J2137" t="str">
            <v>06/11/2024</v>
          </cell>
          <cell r="K2137" t="str">
            <v>06/25/2024</v>
          </cell>
          <cell r="L2137">
            <v>75</v>
          </cell>
          <cell r="M2137" t="str">
            <v>6/11/2024 3:15:53 PM</v>
          </cell>
          <cell r="N2137" t="str">
            <v>26</v>
          </cell>
          <cell r="O2137">
            <v>75</v>
          </cell>
          <cell r="P2137">
            <v>16.5</v>
          </cell>
        </row>
        <row r="2138">
          <cell r="A2138" t="str">
            <v>6725962</v>
          </cell>
          <cell r="B2138" t="str">
            <v>1017771</v>
          </cell>
          <cell r="C2138" t="str">
            <v>23817</v>
          </cell>
          <cell r="D2138" t="str">
            <v>7300</v>
          </cell>
          <cell r="E2138" t="str">
            <v>COVERED HANDCUFF CASE BLK SZ3 HIDDEN</v>
          </cell>
          <cell r="F2138" t="str">
            <v>BN-POUCH</v>
          </cell>
          <cell r="G2138" t="str">
            <v>1420-210-FG</v>
          </cell>
          <cell r="H2138" t="str">
            <v>R</v>
          </cell>
          <cell r="I2138" t="str">
            <v>06/07/2024</v>
          </cell>
          <cell r="J2138" t="str">
            <v>06/11/2024</v>
          </cell>
          <cell r="K2138" t="str">
            <v>06/25/2024</v>
          </cell>
          <cell r="L2138">
            <v>50</v>
          </cell>
          <cell r="M2138" t="str">
            <v>6/7/2024 11:27:04 AM</v>
          </cell>
          <cell r="N2138" t="str">
            <v>26</v>
          </cell>
          <cell r="O2138">
            <v>50</v>
          </cell>
          <cell r="P2138">
            <v>9.9499999999999993</v>
          </cell>
        </row>
        <row r="2139">
          <cell r="A2139" t="str">
            <v>6727575</v>
          </cell>
          <cell r="B2139" t="str">
            <v>1017771</v>
          </cell>
          <cell r="C2139" t="str">
            <v>23817</v>
          </cell>
          <cell r="D2139" t="str">
            <v>7300</v>
          </cell>
          <cell r="E2139" t="str">
            <v>COVERED HANDCUFF CASE BLK SZ3 HIDDEN</v>
          </cell>
          <cell r="F2139" t="str">
            <v>BN-POUCH</v>
          </cell>
          <cell r="G2139" t="str">
            <v>1420-210-FG</v>
          </cell>
          <cell r="H2139" t="str">
            <v>R</v>
          </cell>
          <cell r="I2139" t="str">
            <v>06/11/2024</v>
          </cell>
          <cell r="J2139" t="str">
            <v>06/11/2024</v>
          </cell>
          <cell r="K2139" t="str">
            <v>06/25/2024</v>
          </cell>
          <cell r="L2139">
            <v>50</v>
          </cell>
          <cell r="M2139" t="str">
            <v>6/11/2024 2:58:28 PM</v>
          </cell>
          <cell r="N2139" t="str">
            <v>26</v>
          </cell>
          <cell r="O2139">
            <v>50</v>
          </cell>
          <cell r="P2139">
            <v>9.9499999999999993</v>
          </cell>
        </row>
        <row r="2140">
          <cell r="A2140" t="str">
            <v>6728234</v>
          </cell>
          <cell r="B2140" t="str">
            <v>1115753</v>
          </cell>
          <cell r="C2140" t="str">
            <v>290-2PBL</v>
          </cell>
          <cell r="D2140" t="str">
            <v>290</v>
          </cell>
          <cell r="E2140" t="str">
            <v>DBL CUFF POUCHTOP FLAP</v>
          </cell>
          <cell r="F2140" t="str">
            <v>DG-POUCH-F1</v>
          </cell>
          <cell r="G2140" t="str">
            <v>1420-210-FG</v>
          </cell>
          <cell r="H2140" t="str">
            <v>R</v>
          </cell>
          <cell r="I2140" t="str">
            <v>06/11/2024</v>
          </cell>
          <cell r="J2140" t="str">
            <v>06/11/2024</v>
          </cell>
          <cell r="K2140" t="str">
            <v>06/25/2024</v>
          </cell>
          <cell r="L2140">
            <v>1</v>
          </cell>
          <cell r="M2140" t="str">
            <v>6/11/2024 3:18:21 PM</v>
          </cell>
          <cell r="N2140" t="str">
            <v>26</v>
          </cell>
          <cell r="O2140">
            <v>1</v>
          </cell>
          <cell r="P2140">
            <v>0.44</v>
          </cell>
        </row>
        <row r="2141">
          <cell r="A2141" t="str">
            <v>6728836</v>
          </cell>
          <cell r="B2141" t="str">
            <v>1166708</v>
          </cell>
          <cell r="C2141" t="str">
            <v>MH6005-FDE</v>
          </cell>
          <cell r="D2141" t="str">
            <v>MH6005</v>
          </cell>
          <cell r="E2141" t="str">
            <v>DETACHABLE HRNSS /DOUBLE ELSTIC 6005 FDE</v>
          </cell>
          <cell r="F2141" t="str">
            <v>DG-HARNESS</v>
          </cell>
          <cell r="G2141" t="str">
            <v>1420-210-SB</v>
          </cell>
          <cell r="H2141" t="str">
            <v>F</v>
          </cell>
          <cell r="I2141" t="str">
            <v>06/13/2024</v>
          </cell>
          <cell r="J2141" t="str">
            <v>06/13/2024</v>
          </cell>
          <cell r="K2141" t="str">
            <v>06/25/2024</v>
          </cell>
          <cell r="L2141">
            <v>1</v>
          </cell>
          <cell r="M2141" t="str">
            <v/>
          </cell>
          <cell r="N2141" t="str">
            <v>26</v>
          </cell>
          <cell r="O2141">
            <v>1</v>
          </cell>
          <cell r="P2141">
            <v>0.28999999999999998</v>
          </cell>
        </row>
        <row r="2142">
          <cell r="A2142" t="str">
            <v>6727574</v>
          </cell>
          <cell r="B2142" t="str">
            <v>1017533</v>
          </cell>
          <cell r="C2142" t="str">
            <v>22179</v>
          </cell>
          <cell r="D2142" t="str">
            <v>7917</v>
          </cell>
          <cell r="E2142" t="str">
            <v>DOUBLE CUFF CASE BSK BLK-CHROME</v>
          </cell>
          <cell r="F2142" t="str">
            <v>BN-POUCH</v>
          </cell>
          <cell r="G2142" t="str">
            <v>1420-210-FG</v>
          </cell>
          <cell r="H2142" t="str">
            <v>R</v>
          </cell>
          <cell r="I2142" t="str">
            <v>06/11/2024</v>
          </cell>
          <cell r="J2142" t="str">
            <v>06/11/2024</v>
          </cell>
          <cell r="K2142" t="str">
            <v>06/25/2024</v>
          </cell>
          <cell r="L2142">
            <v>40</v>
          </cell>
          <cell r="M2142" t="str">
            <v>6/11/2024 2:58:28 PM</v>
          </cell>
          <cell r="N2142" t="str">
            <v>26</v>
          </cell>
          <cell r="O2142">
            <v>40</v>
          </cell>
          <cell r="P2142">
            <v>7.8</v>
          </cell>
        </row>
        <row r="2143">
          <cell r="A2143" t="str">
            <v>6728026</v>
          </cell>
          <cell r="B2143" t="str">
            <v>1135355</v>
          </cell>
          <cell r="C2143" t="str">
            <v>290H-1-2B</v>
          </cell>
          <cell r="D2143" t="str">
            <v>290H</v>
          </cell>
          <cell r="E2143" t="str">
            <v>DOUBLE HANDCUFF POUCH</v>
          </cell>
          <cell r="F2143" t="str">
            <v>DG-POUCH-F1</v>
          </cell>
          <cell r="G2143" t="str">
            <v>1420-210-FG</v>
          </cell>
          <cell r="H2143" t="str">
            <v>R</v>
          </cell>
          <cell r="I2143" t="str">
            <v>06/11/2024</v>
          </cell>
          <cell r="J2143" t="str">
            <v>06/11/2024</v>
          </cell>
          <cell r="K2143" t="str">
            <v>06/25/2024</v>
          </cell>
          <cell r="L2143">
            <v>1</v>
          </cell>
          <cell r="M2143" t="str">
            <v>6/11/2024 3:25:01 PM</v>
          </cell>
          <cell r="N2143" t="str">
            <v>26</v>
          </cell>
          <cell r="O2143">
            <v>1</v>
          </cell>
          <cell r="P2143">
            <v>0.44</v>
          </cell>
        </row>
        <row r="2144">
          <cell r="A2144" t="str">
            <v>6727789</v>
          </cell>
          <cell r="B2144" t="str">
            <v>1160751</v>
          </cell>
          <cell r="C2144" t="str">
            <v>25333</v>
          </cell>
          <cell r="D2144" t="str">
            <v>7302</v>
          </cell>
          <cell r="E2144" t="str">
            <v>DOUBLE MAG POUCH BLK SZ 2 HIDDEN HR</v>
          </cell>
          <cell r="F2144" t="str">
            <v>BN-POUCH</v>
          </cell>
          <cell r="G2144" t="str">
            <v>1420-210-FG</v>
          </cell>
          <cell r="H2144" t="str">
            <v>R</v>
          </cell>
          <cell r="I2144" t="str">
            <v>06/11/2024</v>
          </cell>
          <cell r="J2144" t="str">
            <v>06/11/2024</v>
          </cell>
          <cell r="K2144" t="str">
            <v>06/25/2024</v>
          </cell>
          <cell r="L2144">
            <v>100</v>
          </cell>
          <cell r="M2144" t="str">
            <v>6/11/2024 3:15:53 PM</v>
          </cell>
          <cell r="N2144" t="str">
            <v>26</v>
          </cell>
          <cell r="O2144">
            <v>100</v>
          </cell>
          <cell r="P2144">
            <v>21.52</v>
          </cell>
        </row>
        <row r="2145">
          <cell r="A2145" t="str">
            <v>6727570</v>
          </cell>
          <cell r="B2145" t="str">
            <v>1016207</v>
          </cell>
          <cell r="C2145" t="str">
            <v>18473</v>
          </cell>
          <cell r="D2145" t="str">
            <v>7302</v>
          </cell>
          <cell r="E2145" t="str">
            <v>DOUBLE MAG POUCH BLK SZ4 HIDDEN</v>
          </cell>
          <cell r="F2145" t="str">
            <v>BN-POUCH</v>
          </cell>
          <cell r="G2145" t="str">
            <v>1420-210-FG</v>
          </cell>
          <cell r="H2145" t="str">
            <v>R</v>
          </cell>
          <cell r="I2145" t="str">
            <v>06/11/2024</v>
          </cell>
          <cell r="J2145" t="str">
            <v>06/11/2024</v>
          </cell>
          <cell r="K2145" t="str">
            <v>06/25/2024</v>
          </cell>
          <cell r="L2145">
            <v>50</v>
          </cell>
          <cell r="M2145" t="str">
            <v>6/11/2024 3:15:53 PM</v>
          </cell>
          <cell r="N2145" t="str">
            <v>26</v>
          </cell>
          <cell r="O2145">
            <v>50</v>
          </cell>
          <cell r="P2145">
            <v>10.95</v>
          </cell>
        </row>
        <row r="2146">
          <cell r="A2146" t="str">
            <v>6727744</v>
          </cell>
          <cell r="B2146" t="str">
            <v>1017369</v>
          </cell>
          <cell r="C2146" t="str">
            <v>22125</v>
          </cell>
          <cell r="D2146" t="str">
            <v>7950</v>
          </cell>
          <cell r="E2146" t="str">
            <v>DUTY BELT BSK BLK MED 34-40</v>
          </cell>
          <cell r="F2146" t="str">
            <v>BN-BELT</v>
          </cell>
          <cell r="G2146" t="str">
            <v>1420-210-FG</v>
          </cell>
          <cell r="H2146" t="str">
            <v>R</v>
          </cell>
          <cell r="I2146" t="str">
            <v>06/11/2024</v>
          </cell>
          <cell r="J2146" t="str">
            <v>06/14/2024</v>
          </cell>
          <cell r="K2146" t="str">
            <v>06/25/2024</v>
          </cell>
          <cell r="L2146">
            <v>100</v>
          </cell>
          <cell r="M2146" t="str">
            <v>6/11/2024 2:36:12 PM</v>
          </cell>
          <cell r="N2146" t="str">
            <v>26</v>
          </cell>
          <cell r="O2146">
            <v>100</v>
          </cell>
          <cell r="P2146">
            <v>15.13</v>
          </cell>
        </row>
        <row r="2147">
          <cell r="A2147" t="str">
            <v>6727745</v>
          </cell>
          <cell r="B2147" t="str">
            <v>1017369</v>
          </cell>
          <cell r="C2147" t="str">
            <v>22125</v>
          </cell>
          <cell r="D2147" t="str">
            <v>7950</v>
          </cell>
          <cell r="E2147" t="str">
            <v>DUTY BELT BSK BLK MED 34-40</v>
          </cell>
          <cell r="F2147" t="str">
            <v>BN-BELT</v>
          </cell>
          <cell r="G2147" t="str">
            <v>1420-210-FG</v>
          </cell>
          <cell r="H2147" t="str">
            <v>R</v>
          </cell>
          <cell r="I2147" t="str">
            <v>06/11/2024</v>
          </cell>
          <cell r="J2147" t="str">
            <v>06/11/2024</v>
          </cell>
          <cell r="K2147" t="str">
            <v>06/25/2024</v>
          </cell>
          <cell r="L2147">
            <v>100</v>
          </cell>
          <cell r="M2147" t="str">
            <v>6/11/2024 2:36:12 PM</v>
          </cell>
          <cell r="N2147" t="str">
            <v>26</v>
          </cell>
          <cell r="O2147">
            <v>100</v>
          </cell>
          <cell r="P2147">
            <v>15.13</v>
          </cell>
        </row>
        <row r="2148">
          <cell r="A2148" t="str">
            <v>6727746</v>
          </cell>
          <cell r="B2148" t="str">
            <v>1017369</v>
          </cell>
          <cell r="C2148" t="str">
            <v>22125</v>
          </cell>
          <cell r="D2148" t="str">
            <v>7950</v>
          </cell>
          <cell r="E2148" t="str">
            <v>DUTY BELT BSK BLK MED 34-40</v>
          </cell>
          <cell r="F2148" t="str">
            <v>BN-BELT</v>
          </cell>
          <cell r="G2148" t="str">
            <v>1420-210-FG</v>
          </cell>
          <cell r="H2148" t="str">
            <v>R</v>
          </cell>
          <cell r="I2148" t="str">
            <v>06/11/2024</v>
          </cell>
          <cell r="J2148" t="str">
            <v>06/11/2024</v>
          </cell>
          <cell r="K2148" t="str">
            <v>06/25/2024</v>
          </cell>
          <cell r="L2148">
            <v>100</v>
          </cell>
          <cell r="M2148" t="str">
            <v>6/11/2024 2:36:12 PM</v>
          </cell>
          <cell r="N2148" t="str">
            <v>26</v>
          </cell>
          <cell r="O2148">
            <v>100</v>
          </cell>
          <cell r="P2148">
            <v>15.13</v>
          </cell>
        </row>
        <row r="2149">
          <cell r="A2149" t="str">
            <v>6727750</v>
          </cell>
          <cell r="B2149" t="str">
            <v>1017657</v>
          </cell>
          <cell r="C2149" t="str">
            <v>23704</v>
          </cell>
          <cell r="D2149" t="str">
            <v>7980</v>
          </cell>
          <cell r="E2149" t="str">
            <v>DUTY BELT BSK BLK MED 34-40</v>
          </cell>
          <cell r="F2149" t="str">
            <v>BN-BELT</v>
          </cell>
          <cell r="G2149" t="str">
            <v>1420-210-FG</v>
          </cell>
          <cell r="H2149" t="str">
            <v>R</v>
          </cell>
          <cell r="I2149" t="str">
            <v>06/11/2024</v>
          </cell>
          <cell r="J2149" t="str">
            <v>06/11/2024</v>
          </cell>
          <cell r="K2149" t="str">
            <v>06/25/2024</v>
          </cell>
          <cell r="L2149">
            <v>100</v>
          </cell>
          <cell r="M2149" t="str">
            <v>6/11/2024 2:36:12 PM</v>
          </cell>
          <cell r="N2149" t="str">
            <v>26</v>
          </cell>
          <cell r="O2149">
            <v>100</v>
          </cell>
          <cell r="P2149">
            <v>15.12</v>
          </cell>
        </row>
        <row r="2150">
          <cell r="A2150" t="str">
            <v>6727751</v>
          </cell>
          <cell r="B2150" t="str">
            <v>1017657</v>
          </cell>
          <cell r="C2150" t="str">
            <v>23704</v>
          </cell>
          <cell r="D2150" t="str">
            <v>7980</v>
          </cell>
          <cell r="E2150" t="str">
            <v>DUTY BELT BSK BLK MED 34-40</v>
          </cell>
          <cell r="F2150" t="str">
            <v>BN-BELT</v>
          </cell>
          <cell r="G2150" t="str">
            <v>1420-210-FG</v>
          </cell>
          <cell r="H2150" t="str">
            <v>R</v>
          </cell>
          <cell r="I2150" t="str">
            <v>06/11/2024</v>
          </cell>
          <cell r="J2150" t="str">
            <v>06/11/2024</v>
          </cell>
          <cell r="K2150" t="str">
            <v>06/25/2024</v>
          </cell>
          <cell r="L2150">
            <v>100</v>
          </cell>
          <cell r="M2150" t="str">
            <v>6/11/2024 2:36:12 PM</v>
          </cell>
          <cell r="N2150" t="str">
            <v>26</v>
          </cell>
          <cell r="O2150">
            <v>100</v>
          </cell>
          <cell r="P2150">
            <v>15.12</v>
          </cell>
        </row>
        <row r="2151">
          <cell r="A2151" t="str">
            <v>6726624</v>
          </cell>
          <cell r="B2151" t="str">
            <v>1017367</v>
          </cell>
          <cell r="C2151" t="str">
            <v>22123</v>
          </cell>
          <cell r="D2151" t="str">
            <v>7950</v>
          </cell>
          <cell r="E2151" t="str">
            <v>DUTY BELT BSK BLK SML 28-34</v>
          </cell>
          <cell r="F2151" t="str">
            <v>BN-BELT</v>
          </cell>
          <cell r="G2151" t="str">
            <v>1420-210-FG</v>
          </cell>
          <cell r="H2151" t="str">
            <v>R</v>
          </cell>
          <cell r="I2151" t="str">
            <v>06/10/2024</v>
          </cell>
          <cell r="J2151" t="str">
            <v>06/11/2024</v>
          </cell>
          <cell r="K2151" t="str">
            <v>06/25/2024</v>
          </cell>
          <cell r="L2151">
            <v>100</v>
          </cell>
          <cell r="M2151" t="str">
            <v>6/11/2024 2:36:12 PM</v>
          </cell>
          <cell r="N2151" t="str">
            <v>26</v>
          </cell>
          <cell r="O2151">
            <v>100</v>
          </cell>
          <cell r="P2151">
            <v>15.13</v>
          </cell>
        </row>
        <row r="2152">
          <cell r="A2152" t="str">
            <v>6726633</v>
          </cell>
          <cell r="B2152" t="str">
            <v>1017372</v>
          </cell>
          <cell r="C2152" t="str">
            <v>22129</v>
          </cell>
          <cell r="D2152" t="str">
            <v>7950</v>
          </cell>
          <cell r="E2152" t="str">
            <v>DUTY BELT BSK BLK XLG 46-52</v>
          </cell>
          <cell r="F2152" t="str">
            <v>BN-BELT</v>
          </cell>
          <cell r="G2152" t="str">
            <v>1420-210-FG</v>
          </cell>
          <cell r="H2152" t="str">
            <v>R</v>
          </cell>
          <cell r="I2152" t="str">
            <v>06/10/2024</v>
          </cell>
          <cell r="J2152" t="str">
            <v>06/11/2024</v>
          </cell>
          <cell r="K2152" t="str">
            <v>06/25/2024</v>
          </cell>
          <cell r="L2152">
            <v>100</v>
          </cell>
          <cell r="M2152" t="str">
            <v>6/11/2024 2:36:12 PM</v>
          </cell>
          <cell r="N2152" t="str">
            <v>26</v>
          </cell>
          <cell r="O2152">
            <v>100</v>
          </cell>
          <cell r="P2152">
            <v>15.13</v>
          </cell>
        </row>
        <row r="2153">
          <cell r="A2153" t="str">
            <v>6727528</v>
          </cell>
          <cell r="B2153" t="str">
            <v>1017659</v>
          </cell>
          <cell r="C2153" t="str">
            <v>23706</v>
          </cell>
          <cell r="D2153" t="str">
            <v>7980</v>
          </cell>
          <cell r="E2153" t="str">
            <v>DUTY BELT BSK BLK XLG 46-52</v>
          </cell>
          <cell r="F2153" t="str">
            <v>BN-BELT</v>
          </cell>
          <cell r="G2153" t="str">
            <v>1420-210-FG</v>
          </cell>
          <cell r="H2153" t="str">
            <v>R</v>
          </cell>
          <cell r="I2153" t="str">
            <v>06/11/2024</v>
          </cell>
          <cell r="J2153" t="str">
            <v>06/11/2024</v>
          </cell>
          <cell r="K2153" t="str">
            <v>06/25/2024</v>
          </cell>
          <cell r="L2153">
            <v>30</v>
          </cell>
          <cell r="M2153" t="str">
            <v>6/11/2024 2:36:12 PM</v>
          </cell>
          <cell r="N2153" t="str">
            <v>26</v>
          </cell>
          <cell r="O2153">
            <v>30</v>
          </cell>
          <cell r="P2153">
            <v>4.53</v>
          </cell>
        </row>
        <row r="2154">
          <cell r="A2154" t="str">
            <v>6726626</v>
          </cell>
          <cell r="B2154" t="str">
            <v>1017368</v>
          </cell>
          <cell r="C2154" t="str">
            <v>22124</v>
          </cell>
          <cell r="D2154" t="str">
            <v>7950</v>
          </cell>
          <cell r="E2154" t="str">
            <v>DUTY BELT PLN BLK MED 34-40</v>
          </cell>
          <cell r="F2154" t="str">
            <v>BN-BELT</v>
          </cell>
          <cell r="G2154" t="str">
            <v>1420-210-FG</v>
          </cell>
          <cell r="H2154" t="str">
            <v>R</v>
          </cell>
          <cell r="I2154" t="str">
            <v>06/10/2024</v>
          </cell>
          <cell r="J2154" t="str">
            <v>06/11/2024</v>
          </cell>
          <cell r="K2154" t="str">
            <v>06/25/2024</v>
          </cell>
          <cell r="L2154">
            <v>100</v>
          </cell>
          <cell r="M2154" t="str">
            <v>6/11/2024 2:36:12 PM</v>
          </cell>
          <cell r="N2154" t="str">
            <v>26</v>
          </cell>
          <cell r="O2154">
            <v>100</v>
          </cell>
          <cell r="P2154">
            <v>15.13</v>
          </cell>
        </row>
        <row r="2155">
          <cell r="A2155" t="str">
            <v>6727517</v>
          </cell>
          <cell r="B2155" t="str">
            <v>1029250</v>
          </cell>
          <cell r="C2155" t="str">
            <v>22128</v>
          </cell>
          <cell r="D2155" t="str">
            <v>7950</v>
          </cell>
          <cell r="E2155" t="str">
            <v>DUTY BELT PLN BLK XLG 46-52</v>
          </cell>
          <cell r="F2155" t="str">
            <v>BN-BELT</v>
          </cell>
          <cell r="G2155" t="str">
            <v>1420-210-FG</v>
          </cell>
          <cell r="H2155" t="str">
            <v>R</v>
          </cell>
          <cell r="I2155" t="str">
            <v>06/11/2024</v>
          </cell>
          <cell r="J2155" t="str">
            <v>06/11/2024</v>
          </cell>
          <cell r="K2155" t="str">
            <v>06/25/2024</v>
          </cell>
          <cell r="L2155">
            <v>75</v>
          </cell>
          <cell r="M2155" t="str">
            <v>6/11/2024 2:36:12 PM</v>
          </cell>
          <cell r="N2155" t="str">
            <v>26</v>
          </cell>
          <cell r="O2155">
            <v>75</v>
          </cell>
          <cell r="P2155">
            <v>11.35</v>
          </cell>
        </row>
        <row r="2156">
          <cell r="A2156" t="str">
            <v>6727849</v>
          </cell>
          <cell r="B2156" t="str">
            <v>1103304</v>
          </cell>
          <cell r="C2156" t="str">
            <v>99-0-4</v>
          </cell>
          <cell r="D2156" t="str">
            <v>99</v>
          </cell>
          <cell r="E2156" t="str">
            <v>DUTY BELTBUCKLELESS</v>
          </cell>
          <cell r="F2156" t="str">
            <v>DG-BELT</v>
          </cell>
          <cell r="G2156" t="str">
            <v>1420-210-FG</v>
          </cell>
          <cell r="H2156" t="str">
            <v>R</v>
          </cell>
          <cell r="I2156" t="str">
            <v>06/11/2024</v>
          </cell>
          <cell r="J2156" t="str">
            <v>06/11/2024</v>
          </cell>
          <cell r="K2156" t="str">
            <v>06/25/2024</v>
          </cell>
          <cell r="L2156">
            <v>5</v>
          </cell>
          <cell r="M2156" t="str">
            <v>6/11/2024 3:02:21 PM</v>
          </cell>
          <cell r="N2156" t="str">
            <v>26</v>
          </cell>
          <cell r="O2156">
            <v>5</v>
          </cell>
          <cell r="P2156">
            <v>1.65</v>
          </cell>
        </row>
        <row r="2157">
          <cell r="A2157" t="str">
            <v>6727596</v>
          </cell>
          <cell r="B2157" t="str">
            <v>1103354</v>
          </cell>
          <cell r="C2157" t="str">
            <v>99-3-4</v>
          </cell>
          <cell r="D2157" t="str">
            <v>99</v>
          </cell>
          <cell r="E2157" t="str">
            <v>DUTY BELTBUCKLELESS</v>
          </cell>
          <cell r="F2157" t="str">
            <v>DG-BELT</v>
          </cell>
          <cell r="G2157" t="str">
            <v>1420-210-FG</v>
          </cell>
          <cell r="H2157" t="str">
            <v>R</v>
          </cell>
          <cell r="I2157" t="str">
            <v>06/11/2024</v>
          </cell>
          <cell r="J2157" t="str">
            <v>06/11/2024</v>
          </cell>
          <cell r="K2157" t="str">
            <v>06/25/2024</v>
          </cell>
          <cell r="L2157">
            <v>100</v>
          </cell>
          <cell r="M2157" t="str">
            <v>6/11/2024 3:09:40 PM</v>
          </cell>
          <cell r="N2157" t="str">
            <v>26</v>
          </cell>
          <cell r="O2157">
            <v>100</v>
          </cell>
          <cell r="P2157">
            <v>32.630000000000003</v>
          </cell>
        </row>
        <row r="2158">
          <cell r="A2158" t="str">
            <v>6728373</v>
          </cell>
          <cell r="B2158" t="str">
            <v>1103363</v>
          </cell>
          <cell r="C2158" t="str">
            <v>99-4-9</v>
          </cell>
          <cell r="D2158" t="str">
            <v>99</v>
          </cell>
          <cell r="E2158" t="str">
            <v>DUTY BELTBUCKLELESS</v>
          </cell>
          <cell r="F2158" t="str">
            <v>DG-BELT</v>
          </cell>
          <cell r="G2158" t="str">
            <v>1420-210-FG</v>
          </cell>
          <cell r="H2158" t="str">
            <v>R</v>
          </cell>
          <cell r="I2158" t="str">
            <v>06/11/2024</v>
          </cell>
          <cell r="J2158" t="str">
            <v>06/11/2024</v>
          </cell>
          <cell r="K2158" t="str">
            <v>06/25/2024</v>
          </cell>
          <cell r="L2158">
            <v>5</v>
          </cell>
          <cell r="M2158" t="str">
            <v>6/11/2024 3:02:21 PM</v>
          </cell>
          <cell r="N2158" t="str">
            <v>26</v>
          </cell>
          <cell r="O2158">
            <v>5</v>
          </cell>
          <cell r="P2158">
            <v>1.76</v>
          </cell>
        </row>
        <row r="2159">
          <cell r="A2159" t="str">
            <v>6728213</v>
          </cell>
          <cell r="B2159" t="str">
            <v>1324584</v>
          </cell>
          <cell r="C2159" t="str">
            <v>307-9-13PBL-NP</v>
          </cell>
          <cell r="D2159" t="str">
            <v>307</v>
          </cell>
          <cell r="E2159" t="str">
            <v>EDW CARTRIDGE HOLDER</v>
          </cell>
          <cell r="F2159" t="str">
            <v>DG-POUCH-F1</v>
          </cell>
          <cell r="G2159" t="str">
            <v>1420-210-FG</v>
          </cell>
          <cell r="H2159" t="str">
            <v>R</v>
          </cell>
          <cell r="I2159" t="str">
            <v>06/11/2024</v>
          </cell>
          <cell r="J2159" t="str">
            <v>06/11/2024</v>
          </cell>
          <cell r="K2159" t="str">
            <v>06/25/2024</v>
          </cell>
          <cell r="L2159">
            <v>1</v>
          </cell>
          <cell r="M2159" t="str">
            <v>6/11/2024 3:18:21 PM</v>
          </cell>
          <cell r="N2159" t="str">
            <v>26</v>
          </cell>
          <cell r="O2159">
            <v>1</v>
          </cell>
          <cell r="P2159">
            <v>0.18</v>
          </cell>
        </row>
        <row r="2160">
          <cell r="A2160" t="str">
            <v>6728103</v>
          </cell>
          <cell r="B2160" t="str">
            <v>1153265</v>
          </cell>
          <cell r="C2160" t="str">
            <v>35-F21-483</v>
          </cell>
          <cell r="D2160" t="str">
            <v>35</v>
          </cell>
          <cell r="E2160" t="str">
            <v>EXPANDLE BATON</v>
          </cell>
          <cell r="F2160" t="str">
            <v>DG-POUCH-F1</v>
          </cell>
          <cell r="G2160" t="str">
            <v>1420-210-FG</v>
          </cell>
          <cell r="H2160" t="str">
            <v>R</v>
          </cell>
          <cell r="I2160" t="str">
            <v>06/11/2024</v>
          </cell>
          <cell r="J2160" t="str">
            <v>06/11/2024</v>
          </cell>
          <cell r="K2160" t="str">
            <v>06/25/2024</v>
          </cell>
          <cell r="L2160">
            <v>1</v>
          </cell>
          <cell r="M2160" t="str">
            <v>6/11/2024 3:18:21 PM</v>
          </cell>
          <cell r="N2160" t="str">
            <v>26</v>
          </cell>
          <cell r="O2160">
            <v>1</v>
          </cell>
          <cell r="P2160">
            <v>0.48</v>
          </cell>
        </row>
        <row r="2161">
          <cell r="A2161" t="str">
            <v>6728105</v>
          </cell>
          <cell r="B2161" t="str">
            <v>1151246</v>
          </cell>
          <cell r="C2161" t="str">
            <v>40-5-13</v>
          </cell>
          <cell r="D2161" t="str">
            <v>40</v>
          </cell>
          <cell r="E2161" t="str">
            <v>FLASH BAND HOLDER</v>
          </cell>
          <cell r="F2161" t="str">
            <v>DG-POUCH-F1</v>
          </cell>
          <cell r="G2161" t="str">
            <v>1420-210-FG</v>
          </cell>
          <cell r="H2161" t="str">
            <v>R</v>
          </cell>
          <cell r="I2161" t="str">
            <v>06/11/2024</v>
          </cell>
          <cell r="J2161" t="str">
            <v>06/11/2024</v>
          </cell>
          <cell r="K2161" t="str">
            <v>06/25/2024</v>
          </cell>
          <cell r="L2161">
            <v>1</v>
          </cell>
          <cell r="M2161" t="str">
            <v>6/11/2024 3:37:44 PM</v>
          </cell>
          <cell r="N2161" t="str">
            <v>26</v>
          </cell>
          <cell r="O2161">
            <v>1</v>
          </cell>
          <cell r="P2161">
            <v>0.33</v>
          </cell>
        </row>
        <row r="2162">
          <cell r="A2162" t="str">
            <v>6727786</v>
          </cell>
          <cell r="B2162" t="str">
            <v>1017911</v>
          </cell>
          <cell r="C2162" t="str">
            <v>22960</v>
          </cell>
          <cell r="D2162" t="str">
            <v>7328</v>
          </cell>
          <cell r="E2162" t="str">
            <v>FLAT GLOVE POUCH BLK-HOOK - LOOP</v>
          </cell>
          <cell r="F2162" t="str">
            <v>BN-POUCH</v>
          </cell>
          <cell r="G2162" t="str">
            <v>1420-210-FG</v>
          </cell>
          <cell r="H2162" t="str">
            <v>R</v>
          </cell>
          <cell r="I2162" t="str">
            <v>06/11/2024</v>
          </cell>
          <cell r="J2162" t="str">
            <v>06/11/2024</v>
          </cell>
          <cell r="K2162" t="str">
            <v>06/25/2024</v>
          </cell>
          <cell r="L2162">
            <v>100</v>
          </cell>
          <cell r="M2162" t="str">
            <v>6/11/2024 3:15:53 PM</v>
          </cell>
          <cell r="N2162" t="str">
            <v>26</v>
          </cell>
          <cell r="O2162">
            <v>100</v>
          </cell>
          <cell r="P2162">
            <v>21</v>
          </cell>
        </row>
        <row r="2163">
          <cell r="A2163" t="str">
            <v>6728467</v>
          </cell>
          <cell r="B2163" t="str">
            <v>1017913</v>
          </cell>
          <cell r="C2163" t="str">
            <v>22961</v>
          </cell>
          <cell r="D2163" t="str">
            <v>7928</v>
          </cell>
          <cell r="E2163" t="str">
            <v xml:space="preserve">FLAT GLOVE POUCH PLN BLK </v>
          </cell>
          <cell r="F2163" t="str">
            <v>BN-POUCH</v>
          </cell>
          <cell r="G2163" t="str">
            <v>1420-210-FG</v>
          </cell>
          <cell r="H2163" t="str">
            <v>R</v>
          </cell>
          <cell r="I2163" t="str">
            <v>06/11/2024</v>
          </cell>
          <cell r="J2163" t="str">
            <v>06/11/2024</v>
          </cell>
          <cell r="K2163" t="str">
            <v>06/25/2024</v>
          </cell>
          <cell r="L2163">
            <v>40</v>
          </cell>
          <cell r="M2163" t="str">
            <v>6/11/2024 3:15:53 PM</v>
          </cell>
          <cell r="N2163" t="str">
            <v>26</v>
          </cell>
          <cell r="O2163">
            <v>40</v>
          </cell>
          <cell r="P2163">
            <v>8.4</v>
          </cell>
        </row>
        <row r="2164">
          <cell r="A2164" t="str">
            <v>6728240</v>
          </cell>
          <cell r="B2164" t="str">
            <v>1100875</v>
          </cell>
          <cell r="C2164" t="str">
            <v>730-2B</v>
          </cell>
          <cell r="D2164" t="str">
            <v>730</v>
          </cell>
          <cell r="E2164" t="str">
            <v>FLSHLIGHT CARRIERHVY DTY</v>
          </cell>
          <cell r="F2164" t="str">
            <v>DG-KEEPER</v>
          </cell>
          <cell r="G2164" t="str">
            <v>1420-210-FG</v>
          </cell>
          <cell r="H2164" t="str">
            <v>R</v>
          </cell>
          <cell r="I2164" t="str">
            <v>06/11/2024</v>
          </cell>
          <cell r="J2164" t="str">
            <v>06/11/2024</v>
          </cell>
          <cell r="K2164" t="str">
            <v>06/25/2024</v>
          </cell>
          <cell r="L2164">
            <v>1</v>
          </cell>
          <cell r="M2164" t="str">
            <v>6/11/2024 3:28:40 PM</v>
          </cell>
          <cell r="N2164" t="str">
            <v>26</v>
          </cell>
          <cell r="O2164">
            <v>1</v>
          </cell>
          <cell r="P2164">
            <v>0.08</v>
          </cell>
        </row>
        <row r="2165">
          <cell r="A2165" t="str">
            <v>6728497</v>
          </cell>
          <cell r="B2165" t="str">
            <v>1196550</v>
          </cell>
          <cell r="C2165" t="str">
            <v>27202</v>
          </cell>
          <cell r="D2165" t="str">
            <v>101</v>
          </cell>
          <cell r="E2165" t="str">
            <v>FOLDAWAY SET RH SZ10/16  BLK WALMART</v>
          </cell>
          <cell r="F2165" t="str">
            <v>BN-LEATHER</v>
          </cell>
          <cell r="G2165" t="str">
            <v>1420-210-FG</v>
          </cell>
          <cell r="H2165" t="str">
            <v>R</v>
          </cell>
          <cell r="I2165" t="str">
            <v>06/11/2024</v>
          </cell>
          <cell r="J2165" t="str">
            <v>06/11/2024</v>
          </cell>
          <cell r="K2165" t="str">
            <v>06/25/2024</v>
          </cell>
          <cell r="L2165">
            <v>60</v>
          </cell>
          <cell r="M2165" t="str">
            <v>6/11/2024 3:35:24 PM</v>
          </cell>
          <cell r="N2165" t="str">
            <v>26</v>
          </cell>
          <cell r="O2165">
            <v>60</v>
          </cell>
          <cell r="P2165">
            <v>17.32</v>
          </cell>
        </row>
        <row r="2166">
          <cell r="A2166" t="str">
            <v>6728498</v>
          </cell>
          <cell r="B2166" t="str">
            <v>1196550</v>
          </cell>
          <cell r="C2166" t="str">
            <v>27202</v>
          </cell>
          <cell r="D2166" t="str">
            <v>101</v>
          </cell>
          <cell r="E2166" t="str">
            <v>FOLDAWAY SET RH SZ10/16  BLK WALMART</v>
          </cell>
          <cell r="F2166" t="str">
            <v>BN-LEATHER</v>
          </cell>
          <cell r="G2166" t="str">
            <v>1420-210-FG</v>
          </cell>
          <cell r="H2166" t="str">
            <v>R</v>
          </cell>
          <cell r="I2166" t="str">
            <v>06/11/2024</v>
          </cell>
          <cell r="J2166" t="str">
            <v>06/11/2024</v>
          </cell>
          <cell r="K2166" t="str">
            <v>06/25/2024</v>
          </cell>
          <cell r="L2166">
            <v>60</v>
          </cell>
          <cell r="M2166" t="str">
            <v>6/11/2024 3:35:24 PM</v>
          </cell>
          <cell r="N2166" t="str">
            <v>26</v>
          </cell>
          <cell r="O2166">
            <v>60</v>
          </cell>
          <cell r="P2166">
            <v>17.32</v>
          </cell>
        </row>
        <row r="2167">
          <cell r="A2167" t="str">
            <v>6728499</v>
          </cell>
          <cell r="B2167" t="str">
            <v>1196550</v>
          </cell>
          <cell r="C2167" t="str">
            <v>27202</v>
          </cell>
          <cell r="D2167" t="str">
            <v>101</v>
          </cell>
          <cell r="E2167" t="str">
            <v>FOLDAWAY SET RH SZ10/16  BLK WALMART</v>
          </cell>
          <cell r="F2167" t="str">
            <v>BN-LEATHER</v>
          </cell>
          <cell r="G2167" t="str">
            <v>1420-210-FG</v>
          </cell>
          <cell r="H2167" t="str">
            <v>R</v>
          </cell>
          <cell r="I2167" t="str">
            <v>06/11/2024</v>
          </cell>
          <cell r="J2167" t="str">
            <v>06/11/2024</v>
          </cell>
          <cell r="K2167" t="str">
            <v>06/25/2024</v>
          </cell>
          <cell r="L2167">
            <v>60</v>
          </cell>
          <cell r="M2167" t="str">
            <v>6/11/2024 3:35:24 PM</v>
          </cell>
          <cell r="N2167" t="str">
            <v>26</v>
          </cell>
          <cell r="O2167">
            <v>60</v>
          </cell>
          <cell r="P2167">
            <v>17.32</v>
          </cell>
        </row>
        <row r="2168">
          <cell r="A2168" t="str">
            <v>6728501</v>
          </cell>
          <cell r="B2168" t="str">
            <v>1196550</v>
          </cell>
          <cell r="C2168" t="str">
            <v>27202</v>
          </cell>
          <cell r="D2168" t="str">
            <v>101</v>
          </cell>
          <cell r="E2168" t="str">
            <v>FOLDAWAY SET RH SZ10/16  BLK WALMART</v>
          </cell>
          <cell r="F2168" t="str">
            <v>BN-LEATHER</v>
          </cell>
          <cell r="G2168" t="str">
            <v>1420-210-FG</v>
          </cell>
          <cell r="H2168" t="str">
            <v>R</v>
          </cell>
          <cell r="I2168" t="str">
            <v>06/11/2024</v>
          </cell>
          <cell r="J2168" t="str">
            <v>06/11/2024</v>
          </cell>
          <cell r="K2168" t="str">
            <v>06/25/2024</v>
          </cell>
          <cell r="L2168">
            <v>60</v>
          </cell>
          <cell r="M2168" t="str">
            <v>6/11/2024 3:35:24 PM</v>
          </cell>
          <cell r="N2168" t="str">
            <v>26</v>
          </cell>
          <cell r="O2168">
            <v>60</v>
          </cell>
          <cell r="P2168">
            <v>17.32</v>
          </cell>
        </row>
        <row r="2169">
          <cell r="A2169" t="str">
            <v>6728502</v>
          </cell>
          <cell r="B2169" t="str">
            <v>1196550</v>
          </cell>
          <cell r="C2169" t="str">
            <v>27202</v>
          </cell>
          <cell r="D2169" t="str">
            <v>101</v>
          </cell>
          <cell r="E2169" t="str">
            <v>FOLDAWAY SET RH SZ10/16  BLK WALMART</v>
          </cell>
          <cell r="F2169" t="str">
            <v>BN-LEATHER</v>
          </cell>
          <cell r="G2169" t="str">
            <v>1420-210-FG</v>
          </cell>
          <cell r="H2169" t="str">
            <v>R</v>
          </cell>
          <cell r="I2169" t="str">
            <v>06/11/2024</v>
          </cell>
          <cell r="J2169" t="str">
            <v>06/11/2024</v>
          </cell>
          <cell r="K2169" t="str">
            <v>06/25/2024</v>
          </cell>
          <cell r="L2169">
            <v>60</v>
          </cell>
          <cell r="M2169" t="str">
            <v>6/11/2024 3:35:24 PM</v>
          </cell>
          <cell r="N2169" t="str">
            <v>26</v>
          </cell>
          <cell r="O2169">
            <v>60</v>
          </cell>
          <cell r="P2169">
            <v>17.32</v>
          </cell>
        </row>
        <row r="2170">
          <cell r="A2170" t="str">
            <v>6728503</v>
          </cell>
          <cell r="B2170" t="str">
            <v>1196550</v>
          </cell>
          <cell r="C2170" t="str">
            <v>27202</v>
          </cell>
          <cell r="D2170" t="str">
            <v>101</v>
          </cell>
          <cell r="E2170" t="str">
            <v>FOLDAWAY SET RH SZ10/16  BLK WALMART</v>
          </cell>
          <cell r="F2170" t="str">
            <v>BN-LEATHER</v>
          </cell>
          <cell r="G2170" t="str">
            <v>1420-210-FG</v>
          </cell>
          <cell r="H2170" t="str">
            <v>R</v>
          </cell>
          <cell r="I2170" t="str">
            <v>06/11/2024</v>
          </cell>
          <cell r="J2170" t="str">
            <v>06/11/2024</v>
          </cell>
          <cell r="K2170" t="str">
            <v>06/25/2024</v>
          </cell>
          <cell r="L2170">
            <v>60</v>
          </cell>
          <cell r="M2170" t="str">
            <v>6/11/2024 3:35:24 PM</v>
          </cell>
          <cell r="N2170" t="str">
            <v>26</v>
          </cell>
          <cell r="O2170">
            <v>60</v>
          </cell>
          <cell r="P2170">
            <v>17.32</v>
          </cell>
        </row>
        <row r="2171">
          <cell r="A2171" t="str">
            <v>6728506</v>
          </cell>
          <cell r="B2171" t="str">
            <v>1196550</v>
          </cell>
          <cell r="C2171" t="str">
            <v>27202</v>
          </cell>
          <cell r="D2171" t="str">
            <v>101</v>
          </cell>
          <cell r="E2171" t="str">
            <v>FOLDAWAY SET RH SZ10/16  BLK WALMART</v>
          </cell>
          <cell r="F2171" t="str">
            <v>BN-LEATHER</v>
          </cell>
          <cell r="G2171" t="str">
            <v>1420-210-FG</v>
          </cell>
          <cell r="H2171" t="str">
            <v>R</v>
          </cell>
          <cell r="I2171" t="str">
            <v>06/11/2024</v>
          </cell>
          <cell r="J2171" t="str">
            <v>06/11/2024</v>
          </cell>
          <cell r="K2171" t="str">
            <v>06/25/2024</v>
          </cell>
          <cell r="L2171">
            <v>60</v>
          </cell>
          <cell r="M2171" t="str">
            <v>6/11/2024 3:35:24 PM</v>
          </cell>
          <cell r="N2171" t="str">
            <v>26</v>
          </cell>
          <cell r="O2171">
            <v>60</v>
          </cell>
          <cell r="P2171">
            <v>17.32</v>
          </cell>
        </row>
        <row r="2172">
          <cell r="A2172" t="str">
            <v>6728507</v>
          </cell>
          <cell r="B2172" t="str">
            <v>1196550</v>
          </cell>
          <cell r="C2172" t="str">
            <v>27202</v>
          </cell>
          <cell r="D2172" t="str">
            <v>101</v>
          </cell>
          <cell r="E2172" t="str">
            <v>FOLDAWAY SET RH SZ10/16  BLK WALMART</v>
          </cell>
          <cell r="F2172" t="str">
            <v>BN-LEATHER</v>
          </cell>
          <cell r="G2172" t="str">
            <v>1420-210-FG</v>
          </cell>
          <cell r="H2172" t="str">
            <v>R</v>
          </cell>
          <cell r="I2172" t="str">
            <v>06/11/2024</v>
          </cell>
          <cell r="J2172" t="str">
            <v>06/11/2024</v>
          </cell>
          <cell r="K2172" t="str">
            <v>06/25/2024</v>
          </cell>
          <cell r="L2172">
            <v>60</v>
          </cell>
          <cell r="M2172" t="str">
            <v>6/11/2024 3:35:24 PM</v>
          </cell>
          <cell r="N2172" t="str">
            <v>26</v>
          </cell>
          <cell r="O2172">
            <v>60</v>
          </cell>
          <cell r="P2172">
            <v>17.32</v>
          </cell>
        </row>
        <row r="2173">
          <cell r="A2173" t="str">
            <v>6728510</v>
          </cell>
          <cell r="B2173" t="str">
            <v>1196550</v>
          </cell>
          <cell r="C2173" t="str">
            <v>27202</v>
          </cell>
          <cell r="D2173" t="str">
            <v>101</v>
          </cell>
          <cell r="E2173" t="str">
            <v>FOLDAWAY SET RH SZ10/16  BLK WALMART</v>
          </cell>
          <cell r="F2173" t="str">
            <v>BN-LEATHER</v>
          </cell>
          <cell r="G2173" t="str">
            <v>1420-210-FG</v>
          </cell>
          <cell r="H2173" t="str">
            <v>R</v>
          </cell>
          <cell r="I2173" t="str">
            <v>06/11/2024</v>
          </cell>
          <cell r="J2173" t="str">
            <v>06/11/2024</v>
          </cell>
          <cell r="K2173" t="str">
            <v>06/25/2024</v>
          </cell>
          <cell r="L2173">
            <v>60</v>
          </cell>
          <cell r="M2173" t="str">
            <v>6/11/2024 3:44:37 PM</v>
          </cell>
          <cell r="N2173" t="str">
            <v>26</v>
          </cell>
          <cell r="O2173">
            <v>60</v>
          </cell>
          <cell r="P2173">
            <v>17.32</v>
          </cell>
        </row>
        <row r="2174">
          <cell r="A2174" t="str">
            <v>6727816</v>
          </cell>
          <cell r="B2174" t="str">
            <v>1100512</v>
          </cell>
          <cell r="C2174" t="str">
            <v>51-40-03</v>
          </cell>
          <cell r="D2174" t="str">
            <v>51</v>
          </cell>
          <cell r="E2174" t="str">
            <v>GARRISON W/ SQUARE BUCKLE</v>
          </cell>
          <cell r="F2174" t="str">
            <v>DG-BELT</v>
          </cell>
          <cell r="G2174" t="str">
            <v>1420-210-FG</v>
          </cell>
          <cell r="H2174" t="str">
            <v>R</v>
          </cell>
          <cell r="I2174" t="str">
            <v>06/11/2024</v>
          </cell>
          <cell r="J2174" t="str">
            <v>06/11/2024</v>
          </cell>
          <cell r="K2174" t="str">
            <v>06/25/2024</v>
          </cell>
          <cell r="L2174">
            <v>1</v>
          </cell>
          <cell r="M2174" t="str">
            <v>6/11/2024 3:02:21 PM</v>
          </cell>
          <cell r="N2174" t="str">
            <v>26</v>
          </cell>
          <cell r="O2174">
            <v>1</v>
          </cell>
          <cell r="P2174">
            <v>0.37</v>
          </cell>
        </row>
        <row r="2175">
          <cell r="A2175" t="str">
            <v>6727818</v>
          </cell>
          <cell r="B2175" t="str">
            <v>1100585</v>
          </cell>
          <cell r="C2175" t="str">
            <v>51-32-4B</v>
          </cell>
          <cell r="D2175" t="str">
            <v>51</v>
          </cell>
          <cell r="E2175" t="str">
            <v>GARRISON W/SQUARE BUCKLE</v>
          </cell>
          <cell r="F2175" t="str">
            <v>DG-BELT</v>
          </cell>
          <cell r="G2175" t="str">
            <v>1420-210-FG</v>
          </cell>
          <cell r="H2175" t="str">
            <v>R</v>
          </cell>
          <cell r="I2175" t="str">
            <v>06/11/2024</v>
          </cell>
          <cell r="J2175" t="str">
            <v>06/11/2024</v>
          </cell>
          <cell r="K2175" t="str">
            <v>06/25/2024</v>
          </cell>
          <cell r="L2175">
            <v>1</v>
          </cell>
          <cell r="M2175" t="str">
            <v>6/11/2024 3:02:21 PM</v>
          </cell>
          <cell r="N2175" t="str">
            <v>26</v>
          </cell>
          <cell r="O2175">
            <v>1</v>
          </cell>
          <cell r="P2175">
            <v>0.37</v>
          </cell>
        </row>
        <row r="2176">
          <cell r="A2176" t="str">
            <v>6727817</v>
          </cell>
          <cell r="B2176" t="str">
            <v>1100521</v>
          </cell>
          <cell r="C2176" t="str">
            <v>51-42-03</v>
          </cell>
          <cell r="D2176" t="str">
            <v>51</v>
          </cell>
          <cell r="E2176" t="str">
            <v>GARRISON W/SQUARE BUCKLE</v>
          </cell>
          <cell r="F2176" t="str">
            <v>DG-BELT</v>
          </cell>
          <cell r="G2176" t="str">
            <v>1420-210-FG</v>
          </cell>
          <cell r="H2176" t="str">
            <v>R</v>
          </cell>
          <cell r="I2176" t="str">
            <v>06/11/2024</v>
          </cell>
          <cell r="J2176" t="str">
            <v>06/11/2024</v>
          </cell>
          <cell r="K2176" t="str">
            <v>06/25/2024</v>
          </cell>
          <cell r="L2176">
            <v>1</v>
          </cell>
          <cell r="M2176" t="str">
            <v>6/11/2024 3:02:21 PM</v>
          </cell>
          <cell r="N2176" t="str">
            <v>26</v>
          </cell>
          <cell r="O2176">
            <v>1</v>
          </cell>
          <cell r="P2176">
            <v>0.37</v>
          </cell>
        </row>
        <row r="2177">
          <cell r="A2177" t="str">
            <v>6726238</v>
          </cell>
          <cell r="B2177" t="str">
            <v>1096956</v>
          </cell>
          <cell r="C2177" t="str">
            <v>190-4</v>
          </cell>
          <cell r="D2177" t="str">
            <v>190</v>
          </cell>
          <cell r="E2177" t="str">
            <v>HANDCUFF POUCH TOP FLAP</v>
          </cell>
          <cell r="F2177" t="str">
            <v>DG-POUCH-F1</v>
          </cell>
          <cell r="G2177" t="str">
            <v>1420-210-FG</v>
          </cell>
          <cell r="H2177" t="str">
            <v>R</v>
          </cell>
          <cell r="I2177" t="str">
            <v>06/07/2024</v>
          </cell>
          <cell r="J2177" t="str">
            <v>06/11/2024</v>
          </cell>
          <cell r="K2177" t="str">
            <v>06/25/2024</v>
          </cell>
          <cell r="L2177">
            <v>20</v>
          </cell>
          <cell r="M2177" t="str">
            <v>6/7/2024 11:51:05 AM</v>
          </cell>
          <cell r="N2177" t="str">
            <v>26</v>
          </cell>
          <cell r="O2177">
            <v>20</v>
          </cell>
          <cell r="P2177">
            <v>7.92</v>
          </cell>
        </row>
        <row r="2178">
          <cell r="A2178" t="str">
            <v>6728109</v>
          </cell>
          <cell r="B2178" t="str">
            <v>1122533</v>
          </cell>
          <cell r="C2178" t="str">
            <v>190-49</v>
          </cell>
          <cell r="D2178" t="str">
            <v>190</v>
          </cell>
          <cell r="E2178" t="str">
            <v>HANDCUFF POUCH TOP FLAP</v>
          </cell>
          <cell r="F2178" t="str">
            <v>DG-POUCH-F1</v>
          </cell>
          <cell r="G2178" t="str">
            <v>1420-210-FG</v>
          </cell>
          <cell r="H2178" t="str">
            <v>R</v>
          </cell>
          <cell r="I2178" t="str">
            <v>06/11/2024</v>
          </cell>
          <cell r="J2178" t="str">
            <v>06/11/2024</v>
          </cell>
          <cell r="K2178" t="str">
            <v>06/25/2024</v>
          </cell>
          <cell r="L2178">
            <v>1</v>
          </cell>
          <cell r="M2178" t="str">
            <v>6/11/2024 3:20:44 PM</v>
          </cell>
          <cell r="N2178" t="str">
            <v>26</v>
          </cell>
          <cell r="O2178">
            <v>1</v>
          </cell>
          <cell r="P2178">
            <v>0.37</v>
          </cell>
        </row>
        <row r="2179">
          <cell r="A2179" t="str">
            <v>6727794</v>
          </cell>
          <cell r="B2179" t="str">
            <v>1017852</v>
          </cell>
          <cell r="C2179" t="str">
            <v>23857</v>
          </cell>
          <cell r="D2179" t="str">
            <v>7918</v>
          </cell>
          <cell r="E2179" t="str">
            <v>HIATTS UL-1 CUFF CASE BSK BLK CHROME</v>
          </cell>
          <cell r="F2179" t="str">
            <v>BN-POUCH</v>
          </cell>
          <cell r="G2179" t="str">
            <v>1420-210-FG</v>
          </cell>
          <cell r="H2179" t="str">
            <v>R</v>
          </cell>
          <cell r="I2179" t="str">
            <v>06/11/2024</v>
          </cell>
          <cell r="J2179" t="str">
            <v>06/11/2024</v>
          </cell>
          <cell r="K2179" t="str">
            <v>06/25/2024</v>
          </cell>
          <cell r="L2179">
            <v>1</v>
          </cell>
          <cell r="M2179" t="str">
            <v>6/11/2024 2:58:28 PM</v>
          </cell>
          <cell r="N2179" t="str">
            <v>26</v>
          </cell>
          <cell r="O2179">
            <v>1</v>
          </cell>
          <cell r="P2179">
            <v>0.51</v>
          </cell>
        </row>
        <row r="2180">
          <cell r="A2180" t="str">
            <v>6728605</v>
          </cell>
          <cell r="B2180" t="str">
            <v>1335575</v>
          </cell>
          <cell r="C2180" t="str">
            <v>INCOG-LGMC-61</v>
          </cell>
          <cell r="D2180" t="str">
            <v>INCOG</v>
          </cell>
          <cell r="E2180" t="str">
            <v>INCOG LARGE MAG CADDY RT</v>
          </cell>
          <cell r="F2180" t="str">
            <v>DG-INCOG POUCH</v>
          </cell>
          <cell r="G2180" t="str">
            <v>1420-210-FG</v>
          </cell>
          <cell r="H2180" t="str">
            <v>F</v>
          </cell>
          <cell r="I2180" t="str">
            <v>06/12/2024</v>
          </cell>
          <cell r="J2180" t="str">
            <v>06/12/2024</v>
          </cell>
          <cell r="K2180" t="str">
            <v>06/25/2024</v>
          </cell>
          <cell r="L2180">
            <v>75</v>
          </cell>
          <cell r="M2180" t="str">
            <v/>
          </cell>
          <cell r="N2180" t="str">
            <v>26</v>
          </cell>
          <cell r="O2180">
            <v>75</v>
          </cell>
          <cell r="P2180">
            <v>15</v>
          </cell>
        </row>
        <row r="2181">
          <cell r="A2181" t="str">
            <v>6728612</v>
          </cell>
          <cell r="B2181" t="str">
            <v>1323588</v>
          </cell>
          <cell r="C2181" t="str">
            <v>6004-10-2-NP</v>
          </cell>
          <cell r="D2181" t="str">
            <v>6004</v>
          </cell>
          <cell r="E2181" t="str">
            <v>LEG SHROUD SML ONE ELASTIC STRAP W/HAR</v>
          </cell>
          <cell r="F2181" t="str">
            <v>DG-HARNESS</v>
          </cell>
          <cell r="G2181" t="str">
            <v>1420-210-FG</v>
          </cell>
          <cell r="H2181" t="str">
            <v>R</v>
          </cell>
          <cell r="I2181" t="str">
            <v>06/12/2024</v>
          </cell>
          <cell r="J2181" t="str">
            <v>06/12/2024</v>
          </cell>
          <cell r="K2181" t="str">
            <v>06/25/2024</v>
          </cell>
          <cell r="L2181">
            <v>50</v>
          </cell>
          <cell r="M2181" t="str">
            <v>6/13/2024 8:15:32 AM</v>
          </cell>
          <cell r="N2181" t="str">
            <v>26</v>
          </cell>
          <cell r="O2181">
            <v>50</v>
          </cell>
          <cell r="P2181">
            <v>2.94</v>
          </cell>
        </row>
        <row r="2182">
          <cell r="A2182" t="str">
            <v>6728613</v>
          </cell>
          <cell r="B2182" t="str">
            <v>1323588</v>
          </cell>
          <cell r="C2182" t="str">
            <v>6004-10-2-NP</v>
          </cell>
          <cell r="D2182" t="str">
            <v>6004</v>
          </cell>
          <cell r="E2182" t="str">
            <v>LEG SHROUD SML ONE ELASTIC STRAP W/HAR</v>
          </cell>
          <cell r="F2182" t="str">
            <v>DG-HARNESS</v>
          </cell>
          <cell r="G2182" t="str">
            <v>1420-210-FG</v>
          </cell>
          <cell r="H2182" t="str">
            <v>R</v>
          </cell>
          <cell r="I2182" t="str">
            <v>06/12/2024</v>
          </cell>
          <cell r="J2182" t="str">
            <v>06/12/2024</v>
          </cell>
          <cell r="K2182" t="str">
            <v>06/25/2024</v>
          </cell>
          <cell r="L2182">
            <v>50</v>
          </cell>
          <cell r="M2182" t="str">
            <v>6/13/2024 8:15:32 AM</v>
          </cell>
          <cell r="N2182" t="str">
            <v>26</v>
          </cell>
          <cell r="O2182">
            <v>50</v>
          </cell>
          <cell r="P2182">
            <v>2.94</v>
          </cell>
        </row>
        <row r="2183">
          <cell r="A2183" t="str">
            <v>6728614</v>
          </cell>
          <cell r="B2183" t="str">
            <v>1323588</v>
          </cell>
          <cell r="C2183" t="str">
            <v>6004-10-2-NP</v>
          </cell>
          <cell r="D2183" t="str">
            <v>6004</v>
          </cell>
          <cell r="E2183" t="str">
            <v>LEG SHROUD SML ONE ELASTIC STRAP W/HAR</v>
          </cell>
          <cell r="F2183" t="str">
            <v>DG-HARNESS</v>
          </cell>
          <cell r="G2183" t="str">
            <v>1420-210-FG</v>
          </cell>
          <cell r="H2183" t="str">
            <v>R</v>
          </cell>
          <cell r="I2183" t="str">
            <v>06/12/2024</v>
          </cell>
          <cell r="J2183" t="str">
            <v>06/12/2024</v>
          </cell>
          <cell r="K2183" t="str">
            <v>06/25/2024</v>
          </cell>
          <cell r="L2183">
            <v>50</v>
          </cell>
          <cell r="M2183" t="str">
            <v>6/13/2024 8:15:32 AM</v>
          </cell>
          <cell r="N2183" t="str">
            <v>26</v>
          </cell>
          <cell r="O2183">
            <v>50</v>
          </cell>
          <cell r="P2183">
            <v>2.94</v>
          </cell>
        </row>
        <row r="2184">
          <cell r="A2184" t="str">
            <v>6728615</v>
          </cell>
          <cell r="B2184" t="str">
            <v>1323588</v>
          </cell>
          <cell r="C2184" t="str">
            <v>6004-10-2-NP</v>
          </cell>
          <cell r="D2184" t="str">
            <v>6004</v>
          </cell>
          <cell r="E2184" t="str">
            <v>LEG SHROUD SML ONE ELASTIC STRAP W/HAR</v>
          </cell>
          <cell r="F2184" t="str">
            <v>DG-HARNESS</v>
          </cell>
          <cell r="G2184" t="str">
            <v>1420-210-FG</v>
          </cell>
          <cell r="H2184" t="str">
            <v>R</v>
          </cell>
          <cell r="I2184" t="str">
            <v>06/12/2024</v>
          </cell>
          <cell r="J2184" t="str">
            <v>06/12/2024</v>
          </cell>
          <cell r="K2184" t="str">
            <v>06/25/2024</v>
          </cell>
          <cell r="L2184">
            <v>50</v>
          </cell>
          <cell r="M2184" t="str">
            <v>6/13/2024 8:15:32 AM</v>
          </cell>
          <cell r="N2184" t="str">
            <v>26</v>
          </cell>
          <cell r="O2184">
            <v>50</v>
          </cell>
          <cell r="P2184">
            <v>2.94</v>
          </cell>
        </row>
        <row r="2185">
          <cell r="A2185" t="str">
            <v>6728616</v>
          </cell>
          <cell r="B2185" t="str">
            <v>1323588</v>
          </cell>
          <cell r="C2185" t="str">
            <v>6004-10-2-NP</v>
          </cell>
          <cell r="D2185" t="str">
            <v>6004</v>
          </cell>
          <cell r="E2185" t="str">
            <v>LEG SHROUD SML ONE ELASTIC STRAP W/HAR</v>
          </cell>
          <cell r="F2185" t="str">
            <v>DG-HARNESS</v>
          </cell>
          <cell r="G2185" t="str">
            <v>1420-210-FG</v>
          </cell>
          <cell r="H2185" t="str">
            <v>R</v>
          </cell>
          <cell r="I2185" t="str">
            <v>06/12/2024</v>
          </cell>
          <cell r="J2185" t="str">
            <v>06/12/2024</v>
          </cell>
          <cell r="K2185" t="str">
            <v>06/25/2024</v>
          </cell>
          <cell r="L2185">
            <v>50</v>
          </cell>
          <cell r="M2185" t="str">
            <v>6/13/2024 8:15:32 AM</v>
          </cell>
          <cell r="N2185" t="str">
            <v>26</v>
          </cell>
          <cell r="O2185">
            <v>50</v>
          </cell>
          <cell r="P2185">
            <v>2.94</v>
          </cell>
        </row>
        <row r="2186">
          <cell r="A2186" t="str">
            <v>6728617</v>
          </cell>
          <cell r="B2186" t="str">
            <v>1323588</v>
          </cell>
          <cell r="C2186" t="str">
            <v>6004-10-2-NP</v>
          </cell>
          <cell r="D2186" t="str">
            <v>6004</v>
          </cell>
          <cell r="E2186" t="str">
            <v>LEG SHROUD SML ONE ELASTIC STRAP W/HAR</v>
          </cell>
          <cell r="F2186" t="str">
            <v>DG-HARNESS</v>
          </cell>
          <cell r="G2186" t="str">
            <v>1420-210-FG</v>
          </cell>
          <cell r="H2186" t="str">
            <v>R</v>
          </cell>
          <cell r="I2186" t="str">
            <v>06/12/2024</v>
          </cell>
          <cell r="J2186" t="str">
            <v>06/12/2024</v>
          </cell>
          <cell r="K2186" t="str">
            <v>06/25/2024</v>
          </cell>
          <cell r="L2186">
            <v>50</v>
          </cell>
          <cell r="M2186" t="str">
            <v>6/13/2024 8:15:32 AM</v>
          </cell>
          <cell r="N2186" t="str">
            <v>26</v>
          </cell>
          <cell r="O2186">
            <v>50</v>
          </cell>
          <cell r="P2186">
            <v>2.94</v>
          </cell>
        </row>
        <row r="2187">
          <cell r="A2187" t="str">
            <v>6728618</v>
          </cell>
          <cell r="B2187" t="str">
            <v>1323588</v>
          </cell>
          <cell r="C2187" t="str">
            <v>6004-10-2-NP</v>
          </cell>
          <cell r="D2187" t="str">
            <v>6004</v>
          </cell>
          <cell r="E2187" t="str">
            <v>LEG SHROUD SML ONE ELASTIC STRAP W/HAR</v>
          </cell>
          <cell r="F2187" t="str">
            <v>DG-HARNESS</v>
          </cell>
          <cell r="G2187" t="str">
            <v>1420-210-FG</v>
          </cell>
          <cell r="H2187" t="str">
            <v>R</v>
          </cell>
          <cell r="I2187" t="str">
            <v>06/12/2024</v>
          </cell>
          <cell r="J2187" t="str">
            <v>06/12/2024</v>
          </cell>
          <cell r="K2187" t="str">
            <v>06/25/2024</v>
          </cell>
          <cell r="L2187">
            <v>50</v>
          </cell>
          <cell r="M2187" t="str">
            <v>6/13/2024 8:15:32 AM</v>
          </cell>
          <cell r="N2187" t="str">
            <v>26</v>
          </cell>
          <cell r="O2187">
            <v>50</v>
          </cell>
          <cell r="P2187">
            <v>2.94</v>
          </cell>
        </row>
        <row r="2188">
          <cell r="A2188" t="str">
            <v>6728619</v>
          </cell>
          <cell r="B2188" t="str">
            <v>1323588</v>
          </cell>
          <cell r="C2188" t="str">
            <v>6004-10-2-NP</v>
          </cell>
          <cell r="D2188" t="str">
            <v>6004</v>
          </cell>
          <cell r="E2188" t="str">
            <v>LEG SHROUD SML ONE ELASTIC STRAP W/HAR</v>
          </cell>
          <cell r="F2188" t="str">
            <v>DG-HARNESS</v>
          </cell>
          <cell r="G2188" t="str">
            <v>1420-210-FG</v>
          </cell>
          <cell r="H2188" t="str">
            <v>R</v>
          </cell>
          <cell r="I2188" t="str">
            <v>06/12/2024</v>
          </cell>
          <cell r="J2188" t="str">
            <v>06/12/2024</v>
          </cell>
          <cell r="K2188" t="str">
            <v>06/25/2024</v>
          </cell>
          <cell r="L2188">
            <v>50</v>
          </cell>
          <cell r="M2188" t="str">
            <v>6/13/2024 8:15:32 AM</v>
          </cell>
          <cell r="N2188" t="str">
            <v>26</v>
          </cell>
          <cell r="O2188">
            <v>50</v>
          </cell>
          <cell r="P2188">
            <v>2.94</v>
          </cell>
        </row>
        <row r="2189">
          <cell r="A2189" t="str">
            <v>6728620</v>
          </cell>
          <cell r="B2189" t="str">
            <v>1323588</v>
          </cell>
          <cell r="C2189" t="str">
            <v>6004-10-2-NP</v>
          </cell>
          <cell r="D2189" t="str">
            <v>6004</v>
          </cell>
          <cell r="E2189" t="str">
            <v>LEG SHROUD SML ONE ELASTIC STRAP W/HAR</v>
          </cell>
          <cell r="F2189" t="str">
            <v>DG-HARNESS</v>
          </cell>
          <cell r="G2189" t="str">
            <v>1420-210-FG</v>
          </cell>
          <cell r="H2189" t="str">
            <v>R</v>
          </cell>
          <cell r="I2189" t="str">
            <v>06/12/2024</v>
          </cell>
          <cell r="J2189" t="str">
            <v>06/12/2024</v>
          </cell>
          <cell r="K2189" t="str">
            <v>06/25/2024</v>
          </cell>
          <cell r="L2189">
            <v>50</v>
          </cell>
          <cell r="M2189" t="str">
            <v>6/13/2024 8:15:32 AM</v>
          </cell>
          <cell r="N2189" t="str">
            <v>26</v>
          </cell>
          <cell r="O2189">
            <v>50</v>
          </cell>
          <cell r="P2189">
            <v>2.94</v>
          </cell>
        </row>
        <row r="2190">
          <cell r="A2190" t="str">
            <v>6728621</v>
          </cell>
          <cell r="B2190" t="str">
            <v>1323588</v>
          </cell>
          <cell r="C2190" t="str">
            <v>6004-10-2-NP</v>
          </cell>
          <cell r="D2190" t="str">
            <v>6004</v>
          </cell>
          <cell r="E2190" t="str">
            <v>LEG SHROUD SML ONE ELASTIC STRAP W/HAR</v>
          </cell>
          <cell r="F2190" t="str">
            <v>DG-HARNESS</v>
          </cell>
          <cell r="G2190" t="str">
            <v>1420-210-FG</v>
          </cell>
          <cell r="H2190" t="str">
            <v>R</v>
          </cell>
          <cell r="I2190" t="str">
            <v>06/12/2024</v>
          </cell>
          <cell r="J2190" t="str">
            <v>06/12/2024</v>
          </cell>
          <cell r="K2190" t="str">
            <v>06/25/2024</v>
          </cell>
          <cell r="L2190">
            <v>25</v>
          </cell>
          <cell r="M2190" t="str">
            <v>6/13/2024 8:15:32 AM</v>
          </cell>
          <cell r="N2190" t="str">
            <v>26</v>
          </cell>
          <cell r="O2190">
            <v>25</v>
          </cell>
          <cell r="P2190">
            <v>1.47</v>
          </cell>
        </row>
        <row r="2191">
          <cell r="A2191" t="str">
            <v>6727753</v>
          </cell>
          <cell r="B2191" t="str">
            <v>1029850</v>
          </cell>
          <cell r="C2191" t="str">
            <v>31329</v>
          </cell>
          <cell r="D2191" t="str">
            <v>8105</v>
          </cell>
          <cell r="E2191" t="str">
            <v>LINER BELT 1.5IN  BLK SZ LRG 40-46 HOOK</v>
          </cell>
          <cell r="F2191" t="str">
            <v>BN-BELT</v>
          </cell>
          <cell r="G2191" t="str">
            <v>1420-210-FG</v>
          </cell>
          <cell r="H2191" t="str">
            <v>F</v>
          </cell>
          <cell r="I2191" t="str">
            <v>06/11/2024</v>
          </cell>
          <cell r="J2191" t="str">
            <v>06/11/2024</v>
          </cell>
          <cell r="K2191" t="str">
            <v>06/25/2024</v>
          </cell>
          <cell r="L2191">
            <v>25</v>
          </cell>
          <cell r="M2191" t="str">
            <v/>
          </cell>
          <cell r="N2191" t="str">
            <v>26</v>
          </cell>
          <cell r="O2191">
            <v>25</v>
          </cell>
          <cell r="P2191">
            <v>2.06</v>
          </cell>
        </row>
        <row r="2192">
          <cell r="A2192" t="str">
            <v>6727754</v>
          </cell>
          <cell r="B2192" t="str">
            <v>1029850</v>
          </cell>
          <cell r="C2192" t="str">
            <v>31329</v>
          </cell>
          <cell r="D2192" t="str">
            <v>8105</v>
          </cell>
          <cell r="E2192" t="str">
            <v>LINER BELT 1.5IN  BLK SZ LRG 40-46 HOOK</v>
          </cell>
          <cell r="F2192" t="str">
            <v>BN-BELT</v>
          </cell>
          <cell r="G2192" t="str">
            <v>1420-210-FG</v>
          </cell>
          <cell r="H2192" t="str">
            <v>F</v>
          </cell>
          <cell r="I2192" t="str">
            <v>06/11/2024</v>
          </cell>
          <cell r="J2192" t="str">
            <v>06/11/2024</v>
          </cell>
          <cell r="K2192" t="str">
            <v>06/25/2024</v>
          </cell>
          <cell r="L2192">
            <v>25</v>
          </cell>
          <cell r="M2192" t="str">
            <v/>
          </cell>
          <cell r="N2192" t="str">
            <v>26</v>
          </cell>
          <cell r="O2192">
            <v>25</v>
          </cell>
          <cell r="P2192">
            <v>2.06</v>
          </cell>
        </row>
        <row r="2193">
          <cell r="A2193" t="str">
            <v>6728422</v>
          </cell>
          <cell r="B2193" t="str">
            <v>1029850</v>
          </cell>
          <cell r="C2193" t="str">
            <v>31329</v>
          </cell>
          <cell r="D2193" t="str">
            <v>8105</v>
          </cell>
          <cell r="E2193" t="str">
            <v>LINER BELT 1.5IN  BLK SZ LRG 40-46 HOOK</v>
          </cell>
          <cell r="F2193" t="str">
            <v>BN-BELT</v>
          </cell>
          <cell r="G2193" t="str">
            <v>1420-210-FG</v>
          </cell>
          <cell r="H2193" t="str">
            <v>F</v>
          </cell>
          <cell r="I2193" t="str">
            <v>06/11/2024</v>
          </cell>
          <cell r="J2193" t="str">
            <v>06/11/2024</v>
          </cell>
          <cell r="K2193" t="str">
            <v>06/25/2024</v>
          </cell>
          <cell r="L2193">
            <v>25</v>
          </cell>
          <cell r="M2193" t="str">
            <v/>
          </cell>
          <cell r="N2193" t="str">
            <v>26</v>
          </cell>
          <cell r="O2193">
            <v>25</v>
          </cell>
          <cell r="P2193">
            <v>2.06</v>
          </cell>
        </row>
        <row r="2194">
          <cell r="A2194" t="str">
            <v>6728423</v>
          </cell>
          <cell r="B2194" t="str">
            <v>1029850</v>
          </cell>
          <cell r="C2194" t="str">
            <v>31329</v>
          </cell>
          <cell r="D2194" t="str">
            <v>8105</v>
          </cell>
          <cell r="E2194" t="str">
            <v>LINER BELT 1.5IN  BLK SZ LRG 40-46 HOOK</v>
          </cell>
          <cell r="F2194" t="str">
            <v>BN-BELT</v>
          </cell>
          <cell r="G2194" t="str">
            <v>1420-210-FG</v>
          </cell>
          <cell r="H2194" t="str">
            <v>F</v>
          </cell>
          <cell r="I2194" t="str">
            <v>06/11/2024</v>
          </cell>
          <cell r="J2194" t="str">
            <v>06/11/2024</v>
          </cell>
          <cell r="K2194" t="str">
            <v>06/25/2024</v>
          </cell>
          <cell r="L2194">
            <v>25</v>
          </cell>
          <cell r="M2194" t="str">
            <v/>
          </cell>
          <cell r="N2194" t="str">
            <v>26</v>
          </cell>
          <cell r="O2194">
            <v>25</v>
          </cell>
          <cell r="P2194">
            <v>2.06</v>
          </cell>
        </row>
        <row r="2195">
          <cell r="A2195" t="str">
            <v>6728424</v>
          </cell>
          <cell r="B2195" t="str">
            <v>1029850</v>
          </cell>
          <cell r="C2195" t="str">
            <v>31329</v>
          </cell>
          <cell r="D2195" t="str">
            <v>8105</v>
          </cell>
          <cell r="E2195" t="str">
            <v>LINER BELT 1.5IN  BLK SZ LRG 40-46 HOOK</v>
          </cell>
          <cell r="F2195" t="str">
            <v>BN-BELT</v>
          </cell>
          <cell r="G2195" t="str">
            <v>1420-210-FG</v>
          </cell>
          <cell r="H2195" t="str">
            <v>F</v>
          </cell>
          <cell r="I2195" t="str">
            <v>06/11/2024</v>
          </cell>
          <cell r="J2195" t="str">
            <v>06/11/2024</v>
          </cell>
          <cell r="K2195" t="str">
            <v>06/25/2024</v>
          </cell>
          <cell r="L2195">
            <v>25</v>
          </cell>
          <cell r="M2195" t="str">
            <v/>
          </cell>
          <cell r="N2195" t="str">
            <v>26</v>
          </cell>
          <cell r="O2195">
            <v>25</v>
          </cell>
          <cell r="P2195">
            <v>2.06</v>
          </cell>
        </row>
        <row r="2196">
          <cell r="A2196" t="str">
            <v>6728319</v>
          </cell>
          <cell r="B2196" t="str">
            <v>1098750</v>
          </cell>
          <cell r="C2196" t="str">
            <v>38-2</v>
          </cell>
          <cell r="D2196" t="str">
            <v>38</v>
          </cell>
          <cell r="E2196" t="str">
            <v>MACE HOLDERTOP FLAP</v>
          </cell>
          <cell r="F2196" t="str">
            <v>DG-POUCH-F1</v>
          </cell>
          <cell r="G2196" t="str">
            <v>1420-210-FG</v>
          </cell>
          <cell r="H2196" t="str">
            <v>F</v>
          </cell>
          <cell r="I2196" t="str">
            <v>06/11/2024</v>
          </cell>
          <cell r="J2196" t="str">
            <v>06/11/2024</v>
          </cell>
          <cell r="K2196" t="str">
            <v>06/25/2024</v>
          </cell>
          <cell r="L2196">
            <v>5</v>
          </cell>
          <cell r="M2196" t="str">
            <v/>
          </cell>
          <cell r="N2196" t="str">
            <v>26</v>
          </cell>
          <cell r="O2196">
            <v>5</v>
          </cell>
          <cell r="P2196">
            <v>1.44</v>
          </cell>
        </row>
        <row r="2197">
          <cell r="A2197" t="str">
            <v>6726200</v>
          </cell>
          <cell r="B2197" t="str">
            <v>1098765</v>
          </cell>
          <cell r="C2197" t="str">
            <v>38-2-4</v>
          </cell>
          <cell r="D2197" t="str">
            <v>38</v>
          </cell>
          <cell r="E2197" t="str">
            <v>MACE HOLDERTOP FLAP</v>
          </cell>
          <cell r="F2197" t="str">
            <v>DG-POUCH-F1</v>
          </cell>
          <cell r="G2197" t="str">
            <v>1420-210-FG</v>
          </cell>
          <cell r="H2197" t="str">
            <v>R</v>
          </cell>
          <cell r="I2197" t="str">
            <v>06/07/2024</v>
          </cell>
          <cell r="J2197" t="str">
            <v>06/11/2024</v>
          </cell>
          <cell r="K2197" t="str">
            <v>06/25/2024</v>
          </cell>
          <cell r="L2197">
            <v>10</v>
          </cell>
          <cell r="M2197" t="str">
            <v>6/7/2024 11:51:05 AM</v>
          </cell>
          <cell r="N2197" t="str">
            <v>26</v>
          </cell>
          <cell r="O2197">
            <v>10</v>
          </cell>
          <cell r="P2197">
            <v>3.23</v>
          </cell>
        </row>
        <row r="2198">
          <cell r="A2198" t="str">
            <v>6728435</v>
          </cell>
          <cell r="B2198" t="str">
            <v>1134716</v>
          </cell>
          <cell r="C2198" t="str">
            <v>38-2-49</v>
          </cell>
          <cell r="D2198" t="str">
            <v>38</v>
          </cell>
          <cell r="E2198" t="str">
            <v>MACE HOLDERTOP FLAP</v>
          </cell>
          <cell r="F2198" t="str">
            <v>DG-POUCH-F1</v>
          </cell>
          <cell r="G2198" t="str">
            <v>1420-210-FG</v>
          </cell>
          <cell r="H2198" t="str">
            <v>R</v>
          </cell>
          <cell r="I2198" t="str">
            <v>06/11/2024</v>
          </cell>
          <cell r="J2198" t="str">
            <v>06/11/2024</v>
          </cell>
          <cell r="K2198" t="str">
            <v>06/25/2024</v>
          </cell>
          <cell r="L2198">
            <v>25</v>
          </cell>
          <cell r="M2198" t="str">
            <v>6/11/2024 3:28:28 PM</v>
          </cell>
          <cell r="N2198" t="str">
            <v>26</v>
          </cell>
          <cell r="O2198">
            <v>25</v>
          </cell>
          <cell r="P2198">
            <v>7.95</v>
          </cell>
        </row>
        <row r="2199">
          <cell r="A2199" t="str">
            <v>6728436</v>
          </cell>
          <cell r="B2199" t="str">
            <v>1134716</v>
          </cell>
          <cell r="C2199" t="str">
            <v>38-2-49</v>
          </cell>
          <cell r="D2199" t="str">
            <v>38</v>
          </cell>
          <cell r="E2199" t="str">
            <v>MACE HOLDERTOP FLAP</v>
          </cell>
          <cell r="F2199" t="str">
            <v>DG-POUCH-F1</v>
          </cell>
          <cell r="G2199" t="str">
            <v>1420-210-FG</v>
          </cell>
          <cell r="H2199" t="str">
            <v>F</v>
          </cell>
          <cell r="I2199" t="str">
            <v>06/11/2024</v>
          </cell>
          <cell r="J2199" t="str">
            <v>06/11/2024</v>
          </cell>
          <cell r="K2199" t="str">
            <v>06/25/2024</v>
          </cell>
          <cell r="L2199">
            <v>25</v>
          </cell>
          <cell r="M2199" t="str">
            <v/>
          </cell>
          <cell r="N2199" t="str">
            <v>26</v>
          </cell>
          <cell r="O2199">
            <v>25</v>
          </cell>
          <cell r="P2199">
            <v>7.95</v>
          </cell>
        </row>
        <row r="2200">
          <cell r="A2200" t="str">
            <v>6728437</v>
          </cell>
          <cell r="B2200" t="str">
            <v>1134716</v>
          </cell>
          <cell r="C2200" t="str">
            <v>38-2-49</v>
          </cell>
          <cell r="D2200" t="str">
            <v>38</v>
          </cell>
          <cell r="E2200" t="str">
            <v>MACE HOLDERTOP FLAP</v>
          </cell>
          <cell r="F2200" t="str">
            <v>DG-POUCH-F1</v>
          </cell>
          <cell r="G2200" t="str">
            <v>1420-210-FG</v>
          </cell>
          <cell r="H2200" t="str">
            <v>F</v>
          </cell>
          <cell r="I2200" t="str">
            <v>06/11/2024</v>
          </cell>
          <cell r="J2200" t="str">
            <v>06/11/2024</v>
          </cell>
          <cell r="K2200" t="str">
            <v>06/25/2024</v>
          </cell>
          <cell r="L2200">
            <v>25</v>
          </cell>
          <cell r="M2200" t="str">
            <v/>
          </cell>
          <cell r="N2200" t="str">
            <v>26</v>
          </cell>
          <cell r="O2200">
            <v>25</v>
          </cell>
          <cell r="P2200">
            <v>7.95</v>
          </cell>
        </row>
        <row r="2201">
          <cell r="A2201" t="str">
            <v>6728438</v>
          </cell>
          <cell r="B2201" t="str">
            <v>1134716</v>
          </cell>
          <cell r="C2201" t="str">
            <v>38-2-49</v>
          </cell>
          <cell r="D2201" t="str">
            <v>38</v>
          </cell>
          <cell r="E2201" t="str">
            <v>MACE HOLDERTOP FLAP</v>
          </cell>
          <cell r="F2201" t="str">
            <v>DG-POUCH-F1</v>
          </cell>
          <cell r="G2201" t="str">
            <v>1420-210-FG</v>
          </cell>
          <cell r="H2201" t="str">
            <v>R</v>
          </cell>
          <cell r="I2201" t="str">
            <v>06/11/2024</v>
          </cell>
          <cell r="J2201" t="str">
            <v>06/11/2024</v>
          </cell>
          <cell r="K2201" t="str">
            <v>06/25/2024</v>
          </cell>
          <cell r="L2201">
            <v>25</v>
          </cell>
          <cell r="M2201" t="str">
            <v>6/11/2024 3:28:28 PM</v>
          </cell>
          <cell r="N2201" t="str">
            <v>26</v>
          </cell>
          <cell r="O2201">
            <v>25</v>
          </cell>
          <cell r="P2201">
            <v>7.95</v>
          </cell>
        </row>
        <row r="2202">
          <cell r="A2202" t="str">
            <v>6728348</v>
          </cell>
          <cell r="B2202" t="str">
            <v>1098928</v>
          </cell>
          <cell r="C2202" t="str">
            <v>38-4-13PBL</v>
          </cell>
          <cell r="D2202" t="str">
            <v>38</v>
          </cell>
          <cell r="E2202" t="str">
            <v>MACE HOLDERTOP FLAP</v>
          </cell>
          <cell r="F2202" t="str">
            <v>DG-POUCH-F1</v>
          </cell>
          <cell r="G2202" t="str">
            <v>1420-210-FG</v>
          </cell>
          <cell r="H2202" t="str">
            <v>F</v>
          </cell>
          <cell r="I2202" t="str">
            <v>06/11/2024</v>
          </cell>
          <cell r="J2202" t="str">
            <v>06/11/2024</v>
          </cell>
          <cell r="K2202" t="str">
            <v>06/25/2024</v>
          </cell>
          <cell r="L2202">
            <v>100</v>
          </cell>
          <cell r="M2202" t="str">
            <v/>
          </cell>
          <cell r="N2202" t="str">
            <v>26</v>
          </cell>
          <cell r="O2202">
            <v>100</v>
          </cell>
          <cell r="P2202">
            <v>28.62</v>
          </cell>
        </row>
        <row r="2203">
          <cell r="A2203" t="str">
            <v>6728349</v>
          </cell>
          <cell r="B2203" t="str">
            <v>1098928</v>
          </cell>
          <cell r="C2203" t="str">
            <v>38-4-13PBL</v>
          </cell>
          <cell r="D2203" t="str">
            <v>38</v>
          </cell>
          <cell r="E2203" t="str">
            <v>MACE HOLDERTOP FLAP</v>
          </cell>
          <cell r="F2203" t="str">
            <v>DG-POUCH-F1</v>
          </cell>
          <cell r="G2203" t="str">
            <v>1420-210-FG</v>
          </cell>
          <cell r="H2203" t="str">
            <v>F</v>
          </cell>
          <cell r="I2203" t="str">
            <v>06/11/2024</v>
          </cell>
          <cell r="J2203" t="str">
            <v>06/11/2024</v>
          </cell>
          <cell r="K2203" t="str">
            <v>06/25/2024</v>
          </cell>
          <cell r="L2203">
            <v>100</v>
          </cell>
          <cell r="M2203" t="str">
            <v/>
          </cell>
          <cell r="N2203" t="str">
            <v>26</v>
          </cell>
          <cell r="O2203">
            <v>100</v>
          </cell>
          <cell r="P2203">
            <v>28.62</v>
          </cell>
        </row>
        <row r="2204">
          <cell r="A2204" t="str">
            <v>6728357</v>
          </cell>
          <cell r="B2204" t="str">
            <v>1121447</v>
          </cell>
          <cell r="C2204" t="str">
            <v>38-4-41</v>
          </cell>
          <cell r="D2204" t="str">
            <v>38</v>
          </cell>
          <cell r="E2204" t="str">
            <v>MACE HOLDERTOP FLAP</v>
          </cell>
          <cell r="F2204" t="str">
            <v>DG-POUCH-F1</v>
          </cell>
          <cell r="G2204" t="str">
            <v>1420-210-FG</v>
          </cell>
          <cell r="H2204" t="str">
            <v>R</v>
          </cell>
          <cell r="I2204" t="str">
            <v>06/11/2024</v>
          </cell>
          <cell r="J2204" t="str">
            <v>06/11/2024</v>
          </cell>
          <cell r="K2204" t="str">
            <v>06/25/2024</v>
          </cell>
          <cell r="L2204">
            <v>98</v>
          </cell>
          <cell r="M2204" t="str">
            <v>6/11/2024 3:28:28 PM</v>
          </cell>
          <cell r="N2204" t="str">
            <v>26</v>
          </cell>
          <cell r="O2204">
            <v>98</v>
          </cell>
          <cell r="P2204">
            <v>28.05</v>
          </cell>
        </row>
        <row r="2205">
          <cell r="A2205" t="str">
            <v>6728352</v>
          </cell>
          <cell r="B2205" t="str">
            <v>1098938</v>
          </cell>
          <cell r="C2205" t="str">
            <v>38-4-4HS</v>
          </cell>
          <cell r="D2205" t="str">
            <v>38</v>
          </cell>
          <cell r="E2205" t="str">
            <v>MACE HOLDERTOP FLAP</v>
          </cell>
          <cell r="F2205" t="str">
            <v>DG-POUCH-F1</v>
          </cell>
          <cell r="G2205" t="str">
            <v>1420-210-FG</v>
          </cell>
          <cell r="H2205" t="str">
            <v>F</v>
          </cell>
          <cell r="I2205" t="str">
            <v>06/11/2024</v>
          </cell>
          <cell r="J2205" t="str">
            <v>06/11/2024</v>
          </cell>
          <cell r="K2205" t="str">
            <v>06/25/2024</v>
          </cell>
          <cell r="L2205">
            <v>100</v>
          </cell>
          <cell r="M2205" t="str">
            <v/>
          </cell>
          <cell r="N2205" t="str">
            <v>26</v>
          </cell>
          <cell r="O2205">
            <v>100</v>
          </cell>
          <cell r="P2205">
            <v>32.299999999999997</v>
          </cell>
        </row>
        <row r="2206">
          <cell r="A2206" t="str">
            <v>6728420</v>
          </cell>
          <cell r="B2206" t="str">
            <v>1098938</v>
          </cell>
          <cell r="C2206" t="str">
            <v>38-4-4HS</v>
          </cell>
          <cell r="D2206" t="str">
            <v>38</v>
          </cell>
          <cell r="E2206" t="str">
            <v>MACE HOLDERTOP FLAP</v>
          </cell>
          <cell r="F2206" t="str">
            <v>DG-POUCH-F1</v>
          </cell>
          <cell r="G2206" t="str">
            <v>1420-210-FG</v>
          </cell>
          <cell r="H2206" t="str">
            <v>R</v>
          </cell>
          <cell r="I2206" t="str">
            <v>06/11/2024</v>
          </cell>
          <cell r="J2206" t="str">
            <v>06/11/2024</v>
          </cell>
          <cell r="K2206" t="str">
            <v>06/25/2024</v>
          </cell>
          <cell r="L2206">
            <v>50</v>
          </cell>
          <cell r="M2206" t="str">
            <v>6/11/2024 3:28:28 PM</v>
          </cell>
          <cell r="N2206" t="str">
            <v>26</v>
          </cell>
          <cell r="O2206">
            <v>50</v>
          </cell>
          <cell r="P2206">
            <v>16.16</v>
          </cell>
        </row>
        <row r="2207">
          <cell r="A2207" t="str">
            <v>6728333</v>
          </cell>
          <cell r="B2207" t="str">
            <v>1127962</v>
          </cell>
          <cell r="C2207" t="str">
            <v>38-41</v>
          </cell>
          <cell r="D2207" t="str">
            <v>38</v>
          </cell>
          <cell r="E2207" t="str">
            <v>MACE HOLDERTOP FLAP</v>
          </cell>
          <cell r="F2207" t="str">
            <v>DG-POUCH-F1</v>
          </cell>
          <cell r="G2207" t="str">
            <v>1420-210-FG</v>
          </cell>
          <cell r="H2207" t="str">
            <v>R</v>
          </cell>
          <cell r="I2207" t="str">
            <v>06/11/2024</v>
          </cell>
          <cell r="J2207" t="str">
            <v>06/11/2024</v>
          </cell>
          <cell r="K2207" t="str">
            <v>06/25/2024</v>
          </cell>
          <cell r="L2207">
            <v>5</v>
          </cell>
          <cell r="M2207" t="str">
            <v>6/11/2024 3:18:21 PM</v>
          </cell>
          <cell r="N2207" t="str">
            <v>26</v>
          </cell>
          <cell r="O2207">
            <v>5</v>
          </cell>
          <cell r="P2207">
            <v>1.44</v>
          </cell>
        </row>
        <row r="2208">
          <cell r="A2208" t="str">
            <v>6727691</v>
          </cell>
          <cell r="B2208" t="str">
            <v>1101915</v>
          </cell>
          <cell r="C2208" t="str">
            <v>77-53-2HS</v>
          </cell>
          <cell r="D2208" t="str">
            <v>77</v>
          </cell>
          <cell r="E2208" t="str">
            <v>MAGAZINE HOLDER DOUBLE</v>
          </cell>
          <cell r="F2208" t="str">
            <v>DG-POUCH-F1</v>
          </cell>
          <cell r="G2208" t="str">
            <v>1420-210-FG</v>
          </cell>
          <cell r="H2208" t="str">
            <v>R</v>
          </cell>
          <cell r="I2208" t="str">
            <v>06/11/2024</v>
          </cell>
          <cell r="J2208" t="str">
            <v>06/11/2024</v>
          </cell>
          <cell r="K2208" t="str">
            <v>06/25/2024</v>
          </cell>
          <cell r="L2208">
            <v>25</v>
          </cell>
          <cell r="M2208" t="str">
            <v>6/11/2024 3:28:28 PM</v>
          </cell>
          <cell r="N2208" t="str">
            <v>26</v>
          </cell>
          <cell r="O2208">
            <v>25</v>
          </cell>
          <cell r="P2208">
            <v>12.63</v>
          </cell>
        </row>
        <row r="2209">
          <cell r="A2209" t="str">
            <v>6728370</v>
          </cell>
          <cell r="B2209" t="str">
            <v>1101986</v>
          </cell>
          <cell r="C2209" t="str">
            <v>77-53-9B</v>
          </cell>
          <cell r="D2209" t="str">
            <v>77</v>
          </cell>
          <cell r="E2209" t="str">
            <v>MAGAZINE HOLDER DOUBLE</v>
          </cell>
          <cell r="F2209" t="str">
            <v>DG-POUCH-F1</v>
          </cell>
          <cell r="G2209" t="str">
            <v>1420-210-FG</v>
          </cell>
          <cell r="H2209" t="str">
            <v>R</v>
          </cell>
          <cell r="I2209" t="str">
            <v>06/11/2024</v>
          </cell>
          <cell r="J2209" t="str">
            <v>06/11/2024</v>
          </cell>
          <cell r="K2209" t="str">
            <v>06/25/2024</v>
          </cell>
          <cell r="L2209">
            <v>3</v>
          </cell>
          <cell r="M2209" t="str">
            <v>6/11/2024 3:28:28 PM</v>
          </cell>
          <cell r="N2209" t="str">
            <v>26</v>
          </cell>
          <cell r="O2209">
            <v>3</v>
          </cell>
          <cell r="P2209">
            <v>1.29</v>
          </cell>
        </row>
        <row r="2210">
          <cell r="A2210" t="str">
            <v>6728016</v>
          </cell>
          <cell r="B2210" t="str">
            <v>1101987</v>
          </cell>
          <cell r="C2210" t="str">
            <v>77-53-9HS</v>
          </cell>
          <cell r="D2210" t="str">
            <v>77</v>
          </cell>
          <cell r="E2210" t="str">
            <v>MAGAZINE HOLDER DOUBLE</v>
          </cell>
          <cell r="F2210" t="str">
            <v>DG-POUCH-F1</v>
          </cell>
          <cell r="G2210" t="str">
            <v>1420-210-FG</v>
          </cell>
          <cell r="H2210" t="str">
            <v>R</v>
          </cell>
          <cell r="I2210" t="str">
            <v>06/11/2024</v>
          </cell>
          <cell r="J2210" t="str">
            <v>06/11/2024</v>
          </cell>
          <cell r="K2210" t="str">
            <v>06/25/2024</v>
          </cell>
          <cell r="L2210">
            <v>1</v>
          </cell>
          <cell r="M2210" t="str">
            <v>6/11/2024 3:28:28 PM</v>
          </cell>
          <cell r="N2210" t="str">
            <v>26</v>
          </cell>
          <cell r="O2210">
            <v>1</v>
          </cell>
          <cell r="P2210">
            <v>0.55000000000000004</v>
          </cell>
        </row>
        <row r="2211">
          <cell r="A2211" t="str">
            <v>6728104</v>
          </cell>
          <cell r="B2211" t="str">
            <v>1016566</v>
          </cell>
          <cell r="C2211" t="str">
            <v>19495</v>
          </cell>
          <cell r="D2211" t="str">
            <v>105</v>
          </cell>
          <cell r="E2211" t="str">
            <v>MINIMALIST WITH SLOT BLK LH SZ 9</v>
          </cell>
          <cell r="F2211" t="str">
            <v>BN-LEATHER</v>
          </cell>
          <cell r="G2211" t="str">
            <v>1420-210-FG</v>
          </cell>
          <cell r="H2211" t="str">
            <v>R</v>
          </cell>
          <cell r="I2211" t="str">
            <v>06/11/2024</v>
          </cell>
          <cell r="J2211" t="str">
            <v>06/11/2024</v>
          </cell>
          <cell r="K2211" t="str">
            <v>06/25/2024</v>
          </cell>
          <cell r="L2211">
            <v>1</v>
          </cell>
          <cell r="M2211" t="str">
            <v>6/11/2024 2:54:07 PM</v>
          </cell>
          <cell r="N2211" t="str">
            <v>26</v>
          </cell>
          <cell r="O2211">
            <v>1</v>
          </cell>
          <cell r="P2211">
            <v>0.56000000000000005</v>
          </cell>
        </row>
        <row r="2212">
          <cell r="A2212" t="str">
            <v>6727790</v>
          </cell>
          <cell r="B2212" t="str">
            <v>1016107</v>
          </cell>
          <cell r="C2212" t="str">
            <v>17382</v>
          </cell>
          <cell r="D2212" t="str">
            <v>7200</v>
          </cell>
          <cell r="E2212" t="str">
            <v>NYLON DUTY BELT BLK SZ LRG 40-46</v>
          </cell>
          <cell r="F2212" t="str">
            <v>BN-BELT</v>
          </cell>
          <cell r="G2212" t="str">
            <v>1420-210-FG</v>
          </cell>
          <cell r="H2212" t="str">
            <v>R</v>
          </cell>
          <cell r="I2212" t="str">
            <v>06/11/2024</v>
          </cell>
          <cell r="J2212" t="str">
            <v>06/11/2024</v>
          </cell>
          <cell r="K2212" t="str">
            <v>06/25/2024</v>
          </cell>
          <cell r="L2212">
            <v>100</v>
          </cell>
          <cell r="M2212" t="str">
            <v>6/11/2024 2:36:12 PM</v>
          </cell>
          <cell r="N2212" t="str">
            <v>26</v>
          </cell>
          <cell r="O2212">
            <v>100</v>
          </cell>
          <cell r="P2212">
            <v>17.010000000000002</v>
          </cell>
        </row>
        <row r="2213">
          <cell r="A2213" t="str">
            <v>6726593</v>
          </cell>
          <cell r="B2213" t="str">
            <v>1016105</v>
          </cell>
          <cell r="C2213" t="str">
            <v>17381</v>
          </cell>
          <cell r="D2213" t="str">
            <v>7200</v>
          </cell>
          <cell r="E2213" t="str">
            <v>NYLON DUTY BELT BLK SZ MED 34-40</v>
          </cell>
          <cell r="F2213" t="str">
            <v>BN-BELT</v>
          </cell>
          <cell r="G2213" t="str">
            <v>1420-210-FG</v>
          </cell>
          <cell r="H2213" t="str">
            <v>R</v>
          </cell>
          <cell r="I2213" t="str">
            <v>06/10/2024</v>
          </cell>
          <cell r="J2213" t="str">
            <v>06/11/2024</v>
          </cell>
          <cell r="K2213" t="str">
            <v>06/25/2024</v>
          </cell>
          <cell r="L2213">
            <v>100</v>
          </cell>
          <cell r="M2213" t="str">
            <v>6/11/2024 2:36:12 PM</v>
          </cell>
          <cell r="N2213" t="str">
            <v>26</v>
          </cell>
          <cell r="O2213">
            <v>100</v>
          </cell>
          <cell r="P2213">
            <v>15.18</v>
          </cell>
        </row>
        <row r="2214">
          <cell r="A2214" t="str">
            <v>6726594</v>
          </cell>
          <cell r="B2214" t="str">
            <v>1016105</v>
          </cell>
          <cell r="C2214" t="str">
            <v>17381</v>
          </cell>
          <cell r="D2214" t="str">
            <v>7200</v>
          </cell>
          <cell r="E2214" t="str">
            <v>NYLON DUTY BELT BLK SZ MED 34-40</v>
          </cell>
          <cell r="F2214" t="str">
            <v>BN-BELT</v>
          </cell>
          <cell r="G2214" t="str">
            <v>1420-210-FG</v>
          </cell>
          <cell r="H2214" t="str">
            <v>R</v>
          </cell>
          <cell r="I2214" t="str">
            <v>06/10/2024</v>
          </cell>
          <cell r="J2214" t="str">
            <v>06/11/2024</v>
          </cell>
          <cell r="K2214" t="str">
            <v>06/25/2024</v>
          </cell>
          <cell r="L2214">
            <v>100</v>
          </cell>
          <cell r="M2214" t="str">
            <v>6/11/2024 2:36:12 PM</v>
          </cell>
          <cell r="N2214" t="str">
            <v>26</v>
          </cell>
          <cell r="O2214">
            <v>100</v>
          </cell>
          <cell r="P2214">
            <v>15.18</v>
          </cell>
        </row>
        <row r="2215">
          <cell r="A2215" t="str">
            <v>6726595</v>
          </cell>
          <cell r="B2215" t="str">
            <v>1016105</v>
          </cell>
          <cell r="C2215" t="str">
            <v>17381</v>
          </cell>
          <cell r="D2215" t="str">
            <v>7200</v>
          </cell>
          <cell r="E2215" t="str">
            <v>NYLON DUTY BELT BLK SZ MED 34-40</v>
          </cell>
          <cell r="F2215" t="str">
            <v>BN-BELT</v>
          </cell>
          <cell r="G2215" t="str">
            <v>1420-210-FG</v>
          </cell>
          <cell r="H2215" t="str">
            <v>R</v>
          </cell>
          <cell r="I2215" t="str">
            <v>06/10/2024</v>
          </cell>
          <cell r="J2215" t="str">
            <v>06/11/2024</v>
          </cell>
          <cell r="K2215" t="str">
            <v>06/25/2024</v>
          </cell>
          <cell r="L2215">
            <v>100</v>
          </cell>
          <cell r="M2215" t="str">
            <v>6/11/2024 2:36:12 PM</v>
          </cell>
          <cell r="N2215" t="str">
            <v>26</v>
          </cell>
          <cell r="O2215">
            <v>100</v>
          </cell>
          <cell r="P2215">
            <v>15.18</v>
          </cell>
        </row>
        <row r="2216">
          <cell r="A2216" t="str">
            <v>6726596</v>
          </cell>
          <cell r="B2216" t="str">
            <v>1016105</v>
          </cell>
          <cell r="C2216" t="str">
            <v>17381</v>
          </cell>
          <cell r="D2216" t="str">
            <v>7200</v>
          </cell>
          <cell r="E2216" t="str">
            <v>NYLON DUTY BELT BLK SZ MED 34-40</v>
          </cell>
          <cell r="F2216" t="str">
            <v>BN-BELT</v>
          </cell>
          <cell r="G2216" t="str">
            <v>1420-210-FG</v>
          </cell>
          <cell r="H2216" t="str">
            <v>R</v>
          </cell>
          <cell r="I2216" t="str">
            <v>06/10/2024</v>
          </cell>
          <cell r="J2216" t="str">
            <v>06/11/2024</v>
          </cell>
          <cell r="K2216" t="str">
            <v>06/25/2024</v>
          </cell>
          <cell r="L2216">
            <v>100</v>
          </cell>
          <cell r="M2216" t="str">
            <v>6/11/2024 2:36:12 PM</v>
          </cell>
          <cell r="N2216" t="str">
            <v>26</v>
          </cell>
          <cell r="O2216">
            <v>100</v>
          </cell>
          <cell r="P2216">
            <v>15.18</v>
          </cell>
        </row>
        <row r="2217">
          <cell r="A2217" t="str">
            <v>6726597</v>
          </cell>
          <cell r="B2217" t="str">
            <v>1016105</v>
          </cell>
          <cell r="C2217" t="str">
            <v>17381</v>
          </cell>
          <cell r="D2217" t="str">
            <v>7200</v>
          </cell>
          <cell r="E2217" t="str">
            <v>NYLON DUTY BELT BLK SZ MED 34-40</v>
          </cell>
          <cell r="F2217" t="str">
            <v>BN-BELT</v>
          </cell>
          <cell r="G2217" t="str">
            <v>1420-210-FG</v>
          </cell>
          <cell r="H2217" t="str">
            <v>R</v>
          </cell>
          <cell r="I2217" t="str">
            <v>06/10/2024</v>
          </cell>
          <cell r="J2217" t="str">
            <v>06/11/2024</v>
          </cell>
          <cell r="K2217" t="str">
            <v>06/25/2024</v>
          </cell>
          <cell r="L2217">
            <v>100</v>
          </cell>
          <cell r="M2217" t="str">
            <v>6/11/2024 2:36:12 PM</v>
          </cell>
          <cell r="N2217" t="str">
            <v>26</v>
          </cell>
          <cell r="O2217">
            <v>100</v>
          </cell>
          <cell r="P2217">
            <v>15.18</v>
          </cell>
        </row>
        <row r="2218">
          <cell r="A2218" t="str">
            <v>6726598</v>
          </cell>
          <cell r="B2218" t="str">
            <v>1016105</v>
          </cell>
          <cell r="C2218" t="str">
            <v>17381</v>
          </cell>
          <cell r="D2218" t="str">
            <v>7200</v>
          </cell>
          <cell r="E2218" t="str">
            <v>NYLON DUTY BELT BLK SZ MED 34-40</v>
          </cell>
          <cell r="F2218" t="str">
            <v>BN-BELT</v>
          </cell>
          <cell r="G2218" t="str">
            <v>1420-210-FG</v>
          </cell>
          <cell r="H2218" t="str">
            <v>R</v>
          </cell>
          <cell r="I2218" t="str">
            <v>06/10/2024</v>
          </cell>
          <cell r="J2218" t="str">
            <v>06/11/2024</v>
          </cell>
          <cell r="K2218" t="str">
            <v>06/25/2024</v>
          </cell>
          <cell r="L2218">
            <v>100</v>
          </cell>
          <cell r="M2218" t="str">
            <v>6/11/2024 2:36:12 PM</v>
          </cell>
          <cell r="N2218" t="str">
            <v>26</v>
          </cell>
          <cell r="O2218">
            <v>100</v>
          </cell>
          <cell r="P2218">
            <v>15.18</v>
          </cell>
        </row>
        <row r="2219">
          <cell r="A2219" t="str">
            <v>6726622</v>
          </cell>
          <cell r="B2219" t="str">
            <v>1016503</v>
          </cell>
          <cell r="C2219" t="str">
            <v>19094</v>
          </cell>
          <cell r="D2219" t="str">
            <v>7200</v>
          </cell>
          <cell r="E2219" t="str">
            <v>NYLON DUTY BELT BLK SZ XXL 52-58</v>
          </cell>
          <cell r="F2219" t="str">
            <v>BN-BELT</v>
          </cell>
          <cell r="G2219" t="str">
            <v>1420-210-FG</v>
          </cell>
          <cell r="H2219" t="str">
            <v>R</v>
          </cell>
          <cell r="I2219" t="str">
            <v>06/10/2024</v>
          </cell>
          <cell r="J2219" t="str">
            <v>06/11/2024</v>
          </cell>
          <cell r="K2219" t="str">
            <v>06/25/2024</v>
          </cell>
          <cell r="L2219">
            <v>100</v>
          </cell>
          <cell r="M2219" t="str">
            <v>6/11/2024 2:36:12 PM</v>
          </cell>
          <cell r="N2219" t="str">
            <v>26</v>
          </cell>
          <cell r="O2219">
            <v>100</v>
          </cell>
          <cell r="P2219">
            <v>7.8</v>
          </cell>
        </row>
        <row r="2220">
          <cell r="A2220" t="str">
            <v>6727529</v>
          </cell>
          <cell r="B2220" t="str">
            <v>1166958</v>
          </cell>
          <cell r="C2220" t="str">
            <v>26041</v>
          </cell>
          <cell r="D2220" t="str">
            <v>7203</v>
          </cell>
          <cell r="E2220" t="str">
            <v>NYLON DUTY BELT SZ SML 28-34 HOOK</v>
          </cell>
          <cell r="F2220" t="str">
            <v>BN-BELT</v>
          </cell>
          <cell r="G2220" t="str">
            <v>1420-210-FG</v>
          </cell>
          <cell r="H2220" t="str">
            <v>F</v>
          </cell>
          <cell r="I2220" t="str">
            <v>06/11/2024</v>
          </cell>
          <cell r="J2220" t="str">
            <v>06/11/2024</v>
          </cell>
          <cell r="K2220" t="str">
            <v>06/25/2024</v>
          </cell>
          <cell r="L2220">
            <v>5</v>
          </cell>
          <cell r="M2220" t="str">
            <v/>
          </cell>
          <cell r="N2220" t="str">
            <v>26</v>
          </cell>
          <cell r="O2220">
            <v>5</v>
          </cell>
          <cell r="P2220">
            <v>0.8</v>
          </cell>
        </row>
        <row r="2221">
          <cell r="A2221" t="str">
            <v>6727730</v>
          </cell>
          <cell r="B2221" t="str">
            <v>1166957</v>
          </cell>
          <cell r="C2221" t="str">
            <v>26040</v>
          </cell>
          <cell r="D2221" t="str">
            <v>7203</v>
          </cell>
          <cell r="E2221" t="str">
            <v>NYLON DUTY BELT SZ XSM 24-28 HOOK</v>
          </cell>
          <cell r="F2221" t="str">
            <v>BN-BELT</v>
          </cell>
          <cell r="G2221" t="str">
            <v>1420-210-FG</v>
          </cell>
          <cell r="H2221" t="str">
            <v>F</v>
          </cell>
          <cell r="I2221" t="str">
            <v>06/11/2024</v>
          </cell>
          <cell r="J2221" t="str">
            <v>06/11/2024</v>
          </cell>
          <cell r="K2221" t="str">
            <v>06/25/2024</v>
          </cell>
          <cell r="L2221">
            <v>1</v>
          </cell>
          <cell r="M2221" t="str">
            <v/>
          </cell>
          <cell r="N2221" t="str">
            <v>26</v>
          </cell>
          <cell r="O2221">
            <v>1</v>
          </cell>
          <cell r="P2221">
            <v>0.16</v>
          </cell>
        </row>
        <row r="2222">
          <cell r="A2222" t="str">
            <v>6726620</v>
          </cell>
          <cell r="B2222" t="str">
            <v>1016365</v>
          </cell>
          <cell r="C2222" t="str">
            <v>17708</v>
          </cell>
          <cell r="D2222" t="str">
            <v>7205</v>
          </cell>
          <cell r="E2222" t="str">
            <v>NYLON LINER BELT BLK 1.5IN  SZ LRG 40-46</v>
          </cell>
          <cell r="F2222" t="str">
            <v>BN-BELT</v>
          </cell>
          <cell r="G2222" t="str">
            <v>1420-210-FG</v>
          </cell>
          <cell r="H2222" t="str">
            <v>F</v>
          </cell>
          <cell r="I2222" t="str">
            <v>06/10/2024</v>
          </cell>
          <cell r="J2222" t="str">
            <v>06/11/2024</v>
          </cell>
          <cell r="K2222" t="str">
            <v>06/25/2024</v>
          </cell>
          <cell r="L2222">
            <v>100</v>
          </cell>
          <cell r="M2222" t="str">
            <v/>
          </cell>
          <cell r="N2222" t="str">
            <v>26</v>
          </cell>
          <cell r="O2222">
            <v>100</v>
          </cell>
          <cell r="P2222">
            <v>11.32</v>
          </cell>
        </row>
        <row r="2223">
          <cell r="A2223" t="str">
            <v>6726607</v>
          </cell>
          <cell r="B2223" t="str">
            <v>1016364</v>
          </cell>
          <cell r="C2223" t="str">
            <v>17707</v>
          </cell>
          <cell r="D2223" t="str">
            <v>7205</v>
          </cell>
          <cell r="E2223" t="str">
            <v>NYLON LINER BELT BLK 1.5IN  SZ MED 34-40</v>
          </cell>
          <cell r="F2223" t="str">
            <v>BN-BELT</v>
          </cell>
          <cell r="G2223" t="str">
            <v>1420-210-FG</v>
          </cell>
          <cell r="H2223" t="str">
            <v>F</v>
          </cell>
          <cell r="I2223" t="str">
            <v>06/10/2024</v>
          </cell>
          <cell r="J2223" t="str">
            <v>06/11/2024</v>
          </cell>
          <cell r="K2223" t="str">
            <v>06/25/2024</v>
          </cell>
          <cell r="L2223">
            <v>100</v>
          </cell>
          <cell r="M2223" t="str">
            <v/>
          </cell>
          <cell r="N2223" t="str">
            <v>26</v>
          </cell>
          <cell r="O2223">
            <v>100</v>
          </cell>
          <cell r="P2223">
            <v>11.32</v>
          </cell>
        </row>
        <row r="2224">
          <cell r="A2224" t="str">
            <v>6726608</v>
          </cell>
          <cell r="B2224" t="str">
            <v>1016364</v>
          </cell>
          <cell r="C2224" t="str">
            <v>17707</v>
          </cell>
          <cell r="D2224" t="str">
            <v>7205</v>
          </cell>
          <cell r="E2224" t="str">
            <v>NYLON LINER BELT BLK 1.5IN  SZ MED 34-40</v>
          </cell>
          <cell r="F2224" t="str">
            <v>BN-BELT</v>
          </cell>
          <cell r="G2224" t="str">
            <v>1420-210-FG</v>
          </cell>
          <cell r="H2224" t="str">
            <v>F</v>
          </cell>
          <cell r="I2224" t="str">
            <v>06/10/2024</v>
          </cell>
          <cell r="J2224" t="str">
            <v>06/11/2024</v>
          </cell>
          <cell r="K2224" t="str">
            <v>06/25/2024</v>
          </cell>
          <cell r="L2224">
            <v>100</v>
          </cell>
          <cell r="M2224" t="str">
            <v/>
          </cell>
          <cell r="N2224" t="str">
            <v>26</v>
          </cell>
          <cell r="O2224">
            <v>100</v>
          </cell>
          <cell r="P2224">
            <v>11.32</v>
          </cell>
        </row>
        <row r="2225">
          <cell r="A2225" t="str">
            <v>6727737</v>
          </cell>
          <cell r="B2225" t="str">
            <v>1016363</v>
          </cell>
          <cell r="C2225" t="str">
            <v>17706</v>
          </cell>
          <cell r="D2225" t="str">
            <v>7205</v>
          </cell>
          <cell r="E2225" t="str">
            <v>NYLON LINER BELT BLK 1.5IN  SZ SML 28-34</v>
          </cell>
          <cell r="F2225" t="str">
            <v>BN-BELT</v>
          </cell>
          <cell r="G2225" t="str">
            <v>1420-210-FG</v>
          </cell>
          <cell r="H2225" t="str">
            <v>F</v>
          </cell>
          <cell r="I2225" t="str">
            <v>06/11/2024</v>
          </cell>
          <cell r="J2225" t="str">
            <v>06/11/2024</v>
          </cell>
          <cell r="K2225" t="str">
            <v>06/25/2024</v>
          </cell>
          <cell r="L2225">
            <v>100</v>
          </cell>
          <cell r="M2225" t="str">
            <v/>
          </cell>
          <cell r="N2225" t="str">
            <v>26</v>
          </cell>
          <cell r="O2225">
            <v>100</v>
          </cell>
          <cell r="P2225">
            <v>11.32</v>
          </cell>
        </row>
        <row r="2226">
          <cell r="A2226" t="str">
            <v>6728451</v>
          </cell>
          <cell r="B2226" t="str">
            <v>1016341</v>
          </cell>
          <cell r="C2226" t="str">
            <v>17705</v>
          </cell>
          <cell r="D2226" t="str">
            <v>7205</v>
          </cell>
          <cell r="E2226" t="str">
            <v>NYLON LINER BELT BLK 1.5IN  SZ XSM 24-28</v>
          </cell>
          <cell r="F2226" t="str">
            <v>BN-BELT</v>
          </cell>
          <cell r="G2226" t="str">
            <v>1420-210-FG</v>
          </cell>
          <cell r="H2226" t="str">
            <v>F</v>
          </cell>
          <cell r="I2226" t="str">
            <v>06/11/2024</v>
          </cell>
          <cell r="J2226" t="str">
            <v>06/11/2024</v>
          </cell>
          <cell r="K2226" t="str">
            <v>06/25/2024</v>
          </cell>
          <cell r="L2226">
            <v>40</v>
          </cell>
          <cell r="M2226" t="str">
            <v/>
          </cell>
          <cell r="N2226" t="str">
            <v>26</v>
          </cell>
          <cell r="O2226">
            <v>40</v>
          </cell>
          <cell r="P2226">
            <v>4.4000000000000004</v>
          </cell>
        </row>
        <row r="2227">
          <cell r="A2227" t="str">
            <v>6727518</v>
          </cell>
          <cell r="B2227" t="str">
            <v>1329802</v>
          </cell>
          <cell r="C2227" t="str">
            <v>24055</v>
          </cell>
          <cell r="D2227" t="str">
            <v>7206</v>
          </cell>
          <cell r="E2227" t="str">
            <v>NYLON LINER BELT BLK SZ LRG 40-46IN LOOP</v>
          </cell>
          <cell r="F2227" t="str">
            <v>BN-BELT</v>
          </cell>
          <cell r="G2227" t="str">
            <v>1420-210-FG</v>
          </cell>
          <cell r="H2227" t="str">
            <v>F</v>
          </cell>
          <cell r="I2227" t="str">
            <v>06/11/2024</v>
          </cell>
          <cell r="J2227" t="str">
            <v>06/11/2024</v>
          </cell>
          <cell r="K2227" t="str">
            <v>06/25/2024</v>
          </cell>
          <cell r="L2227">
            <v>25</v>
          </cell>
          <cell r="M2227" t="str">
            <v/>
          </cell>
          <cell r="N2227" t="str">
            <v>26</v>
          </cell>
          <cell r="O2227">
            <v>25</v>
          </cell>
          <cell r="P2227">
            <v>2.79</v>
          </cell>
        </row>
        <row r="2228">
          <cell r="A2228" t="str">
            <v>6727757</v>
          </cell>
          <cell r="B2228" t="str">
            <v>1329801</v>
          </cell>
          <cell r="C2228" t="str">
            <v>24054</v>
          </cell>
          <cell r="D2228" t="str">
            <v>7206</v>
          </cell>
          <cell r="E2228" t="str">
            <v>NYLON LINER BELT BLK SZ MED 34-40IN LOOP</v>
          </cell>
          <cell r="F2228" t="str">
            <v>BN-BELT</v>
          </cell>
          <cell r="G2228" t="str">
            <v>1420-210-FG</v>
          </cell>
          <cell r="H2228" t="str">
            <v>F</v>
          </cell>
          <cell r="I2228" t="str">
            <v>06/11/2024</v>
          </cell>
          <cell r="J2228" t="str">
            <v>06/11/2024</v>
          </cell>
          <cell r="K2228" t="str">
            <v>06/25/2024</v>
          </cell>
          <cell r="L2228">
            <v>40</v>
          </cell>
          <cell r="M2228" t="str">
            <v/>
          </cell>
          <cell r="N2228" t="str">
            <v>26</v>
          </cell>
          <cell r="O2228">
            <v>40</v>
          </cell>
          <cell r="P2228">
            <v>4.8</v>
          </cell>
        </row>
        <row r="2229">
          <cell r="A2229" t="str">
            <v>6727519</v>
          </cell>
          <cell r="B2229" t="str">
            <v>1329803</v>
          </cell>
          <cell r="C2229" t="str">
            <v>24056</v>
          </cell>
          <cell r="D2229" t="str">
            <v>7206</v>
          </cell>
          <cell r="E2229" t="str">
            <v>NYLON LINER BELT BLK SZ XLG 46-52IN LOOP</v>
          </cell>
          <cell r="F2229" t="str">
            <v>BN-BELT</v>
          </cell>
          <cell r="G2229" t="str">
            <v>1420-210-FG</v>
          </cell>
          <cell r="H2229" t="str">
            <v>R</v>
          </cell>
          <cell r="I2229" t="str">
            <v>06/11/2024</v>
          </cell>
          <cell r="J2229" t="str">
            <v>06/11/2024</v>
          </cell>
          <cell r="K2229" t="str">
            <v>06/25/2024</v>
          </cell>
          <cell r="L2229">
            <v>20</v>
          </cell>
          <cell r="M2229" t="str">
            <v>6/11/2024 3:24:45 PM</v>
          </cell>
          <cell r="N2229" t="str">
            <v>26</v>
          </cell>
          <cell r="O2229">
            <v>20</v>
          </cell>
          <cell r="P2229">
            <v>2.4</v>
          </cell>
        </row>
        <row r="2230">
          <cell r="A2230" t="str">
            <v>6727733</v>
          </cell>
          <cell r="B2230" t="str">
            <v>1170706</v>
          </cell>
          <cell r="C2230" t="str">
            <v>25283</v>
          </cell>
          <cell r="D2230" t="str">
            <v>7216</v>
          </cell>
          <cell r="E2230" t="str">
            <v>NYLON WEB BELT 2IN BLK LG W/DRAG LOOP</v>
          </cell>
          <cell r="F2230" t="str">
            <v>BN-BELT</v>
          </cell>
          <cell r="G2230" t="str">
            <v>1420-210-FG</v>
          </cell>
          <cell r="H2230" t="str">
            <v>R</v>
          </cell>
          <cell r="I2230" t="str">
            <v>06/11/2024</v>
          </cell>
          <cell r="J2230" t="str">
            <v>06/11/2024</v>
          </cell>
          <cell r="K2230" t="str">
            <v>06/25/2024</v>
          </cell>
          <cell r="L2230">
            <v>5</v>
          </cell>
          <cell r="M2230" t="str">
            <v>6/11/2024 2:36:12 PM</v>
          </cell>
          <cell r="N2230" t="str">
            <v>26</v>
          </cell>
          <cell r="O2230">
            <v>5</v>
          </cell>
          <cell r="P2230">
            <v>2.1</v>
          </cell>
        </row>
        <row r="2231">
          <cell r="A2231" t="str">
            <v>6727572</v>
          </cell>
          <cell r="B2231" t="str">
            <v>1017306</v>
          </cell>
          <cell r="C2231" t="str">
            <v>22105</v>
          </cell>
          <cell r="D2231" t="str">
            <v>7907</v>
          </cell>
          <cell r="E2231" t="str">
            <v>OC/MACE SPRAY POUCH BSK BLK SML CHROME</v>
          </cell>
          <cell r="F2231" t="str">
            <v>BN-POUCH</v>
          </cell>
          <cell r="G2231" t="str">
            <v>1420-210-FG</v>
          </cell>
          <cell r="H2231" t="str">
            <v>R</v>
          </cell>
          <cell r="I2231" t="str">
            <v>06/11/2024</v>
          </cell>
          <cell r="J2231" t="str">
            <v>06/11/2024</v>
          </cell>
          <cell r="K2231" t="str">
            <v>06/25/2024</v>
          </cell>
          <cell r="L2231">
            <v>32</v>
          </cell>
          <cell r="M2231" t="str">
            <v>6/11/2024 3:15:53 PM</v>
          </cell>
          <cell r="N2231" t="str">
            <v>26</v>
          </cell>
          <cell r="O2231">
            <v>32</v>
          </cell>
          <cell r="P2231">
            <v>4.01</v>
          </cell>
        </row>
        <row r="2232">
          <cell r="A2232" t="str">
            <v>6728458</v>
          </cell>
          <cell r="B2232" t="str">
            <v>1017306</v>
          </cell>
          <cell r="C2232" t="str">
            <v>22105</v>
          </cell>
          <cell r="D2232" t="str">
            <v>7907</v>
          </cell>
          <cell r="E2232" t="str">
            <v>OC/MACE SPRAY POUCH BSK BLK SML CHROME</v>
          </cell>
          <cell r="F2232" t="str">
            <v>BN-POUCH</v>
          </cell>
          <cell r="G2232" t="str">
            <v>1420-210-FG</v>
          </cell>
          <cell r="H2232" t="str">
            <v>R</v>
          </cell>
          <cell r="I2232" t="str">
            <v>06/11/2024</v>
          </cell>
          <cell r="J2232" t="str">
            <v>06/11/2024</v>
          </cell>
          <cell r="K2232" t="str">
            <v>06/25/2024</v>
          </cell>
          <cell r="L2232">
            <v>30</v>
          </cell>
          <cell r="M2232" t="str">
            <v>6/11/2024 3:15:53 PM</v>
          </cell>
          <cell r="N2232" t="str">
            <v>26</v>
          </cell>
          <cell r="O2232">
            <v>30</v>
          </cell>
          <cell r="P2232">
            <v>3.76</v>
          </cell>
        </row>
        <row r="2233">
          <cell r="A2233" t="str">
            <v>6727571</v>
          </cell>
          <cell r="B2233" t="str">
            <v>1017304</v>
          </cell>
          <cell r="C2233" t="str">
            <v>22103</v>
          </cell>
          <cell r="D2233" t="str">
            <v>7907</v>
          </cell>
          <cell r="E2233" t="str">
            <v>OC/MACE SPRAY POUCH BSK BLK SML HIDDEN</v>
          </cell>
          <cell r="F2233" t="str">
            <v>BN-POUCH</v>
          </cell>
          <cell r="G2233" t="str">
            <v>1420-210-FG</v>
          </cell>
          <cell r="H2233" t="str">
            <v>R</v>
          </cell>
          <cell r="I2233" t="str">
            <v>06/11/2024</v>
          </cell>
          <cell r="J2233" t="str">
            <v>06/11/2024</v>
          </cell>
          <cell r="K2233" t="str">
            <v>06/25/2024</v>
          </cell>
          <cell r="L2233">
            <v>100</v>
          </cell>
          <cell r="M2233" t="str">
            <v>6/11/2024 3:15:53 PM</v>
          </cell>
          <cell r="N2233" t="str">
            <v>26</v>
          </cell>
          <cell r="O2233">
            <v>100</v>
          </cell>
          <cell r="P2233">
            <v>12.52</v>
          </cell>
        </row>
        <row r="2234">
          <cell r="A2234" t="str">
            <v>6727787</v>
          </cell>
          <cell r="B2234" t="str">
            <v>1017918</v>
          </cell>
          <cell r="C2234" t="str">
            <v>22966</v>
          </cell>
          <cell r="D2234" t="str">
            <v>7934</v>
          </cell>
          <cell r="E2234" t="str">
            <v xml:space="preserve">OPEN CUFF CASE BSK BLK </v>
          </cell>
          <cell r="F2234" t="str">
            <v>BN-POUCH</v>
          </cell>
          <cell r="G2234" t="str">
            <v>1420-210-FG</v>
          </cell>
          <cell r="H2234" t="str">
            <v>R</v>
          </cell>
          <cell r="I2234" t="str">
            <v>06/11/2024</v>
          </cell>
          <cell r="J2234" t="str">
            <v>06/11/2024</v>
          </cell>
          <cell r="K2234" t="str">
            <v>06/25/2024</v>
          </cell>
          <cell r="L2234">
            <v>100</v>
          </cell>
          <cell r="M2234" t="str">
            <v>6/11/2024 3:15:53 PM</v>
          </cell>
          <cell r="N2234" t="str">
            <v>26</v>
          </cell>
          <cell r="O2234">
            <v>100</v>
          </cell>
          <cell r="P2234">
            <v>10.17</v>
          </cell>
        </row>
        <row r="2235">
          <cell r="A2235" t="str">
            <v>6727576</v>
          </cell>
          <cell r="B2235" t="str">
            <v>1017917</v>
          </cell>
          <cell r="C2235" t="str">
            <v>22965</v>
          </cell>
          <cell r="D2235" t="str">
            <v>7934</v>
          </cell>
          <cell r="E2235" t="str">
            <v xml:space="preserve">OPEN CUFF CASE PLN BLK </v>
          </cell>
          <cell r="F2235" t="str">
            <v>BN-POUCH</v>
          </cell>
          <cell r="G2235" t="str">
            <v>1420-210-FG</v>
          </cell>
          <cell r="H2235" t="str">
            <v>R</v>
          </cell>
          <cell r="I2235" t="str">
            <v>06/11/2024</v>
          </cell>
          <cell r="J2235" t="str">
            <v>06/11/2024</v>
          </cell>
          <cell r="K2235" t="str">
            <v>06/25/2024</v>
          </cell>
          <cell r="L2235">
            <v>100</v>
          </cell>
          <cell r="M2235" t="str">
            <v>6/11/2024 3:15:53 PM</v>
          </cell>
          <cell r="N2235" t="str">
            <v>26</v>
          </cell>
          <cell r="O2235">
            <v>100</v>
          </cell>
          <cell r="P2235">
            <v>11.02</v>
          </cell>
        </row>
        <row r="2236">
          <cell r="A2236" t="str">
            <v>6727577</v>
          </cell>
          <cell r="B2236" t="str">
            <v>1018351</v>
          </cell>
          <cell r="C2236" t="str">
            <v>31403</v>
          </cell>
          <cell r="D2236" t="str">
            <v>8034</v>
          </cell>
          <cell r="E2236" t="str">
            <v>OPEN HANDCUFF CASE BLK</v>
          </cell>
          <cell r="F2236" t="str">
            <v>BN-POUCH</v>
          </cell>
          <cell r="G2236" t="str">
            <v>1420-210-FG</v>
          </cell>
          <cell r="H2236" t="str">
            <v>R</v>
          </cell>
          <cell r="I2236" t="str">
            <v>06/11/2024</v>
          </cell>
          <cell r="J2236" t="str">
            <v>06/11/2024</v>
          </cell>
          <cell r="K2236" t="str">
            <v>06/25/2024</v>
          </cell>
          <cell r="L2236">
            <v>25</v>
          </cell>
          <cell r="M2236" t="str">
            <v>6/11/2024 3:15:53 PM</v>
          </cell>
          <cell r="N2236" t="str">
            <v>26</v>
          </cell>
          <cell r="O2236">
            <v>25</v>
          </cell>
          <cell r="P2236">
            <v>2.46</v>
          </cell>
        </row>
        <row r="2237">
          <cell r="A2237" t="str">
            <v>6727578</v>
          </cell>
          <cell r="B2237" t="str">
            <v>1018351</v>
          </cell>
          <cell r="C2237" t="str">
            <v>31403</v>
          </cell>
          <cell r="D2237" t="str">
            <v>8034</v>
          </cell>
          <cell r="E2237" t="str">
            <v>OPEN HANDCUFF CASE BLK</v>
          </cell>
          <cell r="F2237" t="str">
            <v>BN-POUCH</v>
          </cell>
          <cell r="G2237" t="str">
            <v>1420-210-FG</v>
          </cell>
          <cell r="H2237" t="str">
            <v>R</v>
          </cell>
          <cell r="I2237" t="str">
            <v>06/11/2024</v>
          </cell>
          <cell r="J2237" t="str">
            <v>06/11/2024</v>
          </cell>
          <cell r="K2237" t="str">
            <v>06/25/2024</v>
          </cell>
          <cell r="L2237">
            <v>25</v>
          </cell>
          <cell r="M2237" t="str">
            <v>6/11/2024 3:15:53 PM</v>
          </cell>
          <cell r="N2237" t="str">
            <v>26</v>
          </cell>
          <cell r="O2237">
            <v>25</v>
          </cell>
          <cell r="P2237">
            <v>2.46</v>
          </cell>
        </row>
        <row r="2238">
          <cell r="A2238" t="str">
            <v>6727791</v>
          </cell>
          <cell r="B2238" t="str">
            <v>1323449</v>
          </cell>
          <cell r="C2238" t="str">
            <v>31403-NP</v>
          </cell>
          <cell r="D2238" t="str">
            <v>8034</v>
          </cell>
          <cell r="E2238" t="str">
            <v>OPEN HANDCUFF CASE BLK</v>
          </cell>
          <cell r="F2238" t="str">
            <v>BN-POUCH</v>
          </cell>
          <cell r="G2238" t="str">
            <v>1420-210-FG</v>
          </cell>
          <cell r="H2238" t="str">
            <v>R</v>
          </cell>
          <cell r="I2238" t="str">
            <v>06/11/2024</v>
          </cell>
          <cell r="J2238" t="str">
            <v>06/11/2024</v>
          </cell>
          <cell r="K2238" t="str">
            <v>06/25/2024</v>
          </cell>
          <cell r="L2238">
            <v>25</v>
          </cell>
          <cell r="M2238" t="str">
            <v>6/11/2024 3:15:53 PM</v>
          </cell>
          <cell r="N2238" t="str">
            <v>26</v>
          </cell>
          <cell r="O2238">
            <v>25</v>
          </cell>
          <cell r="P2238">
            <v>2.46</v>
          </cell>
        </row>
        <row r="2239">
          <cell r="A2239" t="str">
            <v>6727798</v>
          </cell>
          <cell r="B2239" t="str">
            <v>1323449</v>
          </cell>
          <cell r="C2239" t="str">
            <v>31403-NP</v>
          </cell>
          <cell r="D2239" t="str">
            <v>8034</v>
          </cell>
          <cell r="E2239" t="str">
            <v>OPEN HANDCUFF CASE BLK</v>
          </cell>
          <cell r="F2239" t="str">
            <v>BN-POUCH</v>
          </cell>
          <cell r="G2239" t="str">
            <v>1420-210-FG</v>
          </cell>
          <cell r="H2239" t="str">
            <v>R</v>
          </cell>
          <cell r="I2239" t="str">
            <v>06/11/2024</v>
          </cell>
          <cell r="J2239" t="str">
            <v>06/11/2024</v>
          </cell>
          <cell r="K2239" t="str">
            <v>06/25/2024</v>
          </cell>
          <cell r="L2239">
            <v>5</v>
          </cell>
          <cell r="M2239" t="str">
            <v>6/11/2024 3:15:53 PM</v>
          </cell>
          <cell r="N2239" t="str">
            <v>26</v>
          </cell>
          <cell r="O2239">
            <v>5</v>
          </cell>
          <cell r="P2239">
            <v>0.49</v>
          </cell>
        </row>
        <row r="2240">
          <cell r="A2240" t="str">
            <v>6728029</v>
          </cell>
          <cell r="B2240" t="str">
            <v>1332271</v>
          </cell>
          <cell r="C2240" t="str">
            <v>27482</v>
          </cell>
          <cell r="D2240" t="str">
            <v>58</v>
          </cell>
          <cell r="E2240" t="str">
            <v>P.I. HOLSTER WEATHERED RH SZ 15</v>
          </cell>
          <cell r="F2240" t="str">
            <v>BN-LEATHER</v>
          </cell>
          <cell r="G2240" t="str">
            <v>1420-210-FG</v>
          </cell>
          <cell r="H2240" t="str">
            <v>R</v>
          </cell>
          <cell r="I2240" t="str">
            <v>06/11/2024</v>
          </cell>
          <cell r="J2240" t="str">
            <v>06/11/2024</v>
          </cell>
          <cell r="K2240" t="str">
            <v>06/25/2024</v>
          </cell>
          <cell r="L2240">
            <v>1</v>
          </cell>
          <cell r="M2240" t="str">
            <v>6/11/2024 2:54:07 PM</v>
          </cell>
          <cell r="N2240" t="str">
            <v>26</v>
          </cell>
          <cell r="O2240">
            <v>1</v>
          </cell>
          <cell r="P2240">
            <v>0.28999999999999998</v>
          </cell>
        </row>
        <row r="2241">
          <cell r="A2241" t="str">
            <v>6728267</v>
          </cell>
          <cell r="B2241" t="str">
            <v>1330981</v>
          </cell>
          <cell r="C2241" t="str">
            <v>27461</v>
          </cell>
          <cell r="D2241" t="str">
            <v>100</v>
          </cell>
          <cell r="E2241" t="str">
            <v>PROFESSIONAL WEATHERED TAN LH SZ 10A</v>
          </cell>
          <cell r="F2241" t="str">
            <v>BN-LEATHER</v>
          </cell>
          <cell r="G2241" t="str">
            <v>1420-210-FG</v>
          </cell>
          <cell r="H2241" t="str">
            <v>R</v>
          </cell>
          <cell r="I2241" t="str">
            <v>06/11/2024</v>
          </cell>
          <cell r="J2241" t="str">
            <v>06/11/2024</v>
          </cell>
          <cell r="K2241" t="str">
            <v>06/25/2024</v>
          </cell>
          <cell r="L2241">
            <v>1</v>
          </cell>
          <cell r="M2241" t="str">
            <v>6/11/2024 2:54:07 PM</v>
          </cell>
          <cell r="N2241" t="str">
            <v>26</v>
          </cell>
          <cell r="O2241">
            <v>1</v>
          </cell>
          <cell r="P2241">
            <v>0.4</v>
          </cell>
        </row>
        <row r="2242">
          <cell r="A2242" t="str">
            <v>6728371</v>
          </cell>
          <cell r="B2242" t="str">
            <v>1330954</v>
          </cell>
          <cell r="C2242" t="str">
            <v>27434</v>
          </cell>
          <cell r="D2242" t="str">
            <v>100</v>
          </cell>
          <cell r="E2242" t="str">
            <v>PROFESSIONAL WEATHERED TAN RH SZ 9</v>
          </cell>
          <cell r="F2242" t="str">
            <v>BN-LEATHER</v>
          </cell>
          <cell r="G2242" t="str">
            <v>1420-210-FG</v>
          </cell>
          <cell r="H2242" t="str">
            <v>R</v>
          </cell>
          <cell r="I2242" t="str">
            <v>06/11/2024</v>
          </cell>
          <cell r="J2242" t="str">
            <v>06/11/2024</v>
          </cell>
          <cell r="K2242" t="str">
            <v>06/25/2024</v>
          </cell>
          <cell r="L2242">
            <v>5</v>
          </cell>
          <cell r="M2242" t="str">
            <v>6/11/2024 2:54:07 PM</v>
          </cell>
          <cell r="N2242" t="str">
            <v>26</v>
          </cell>
          <cell r="O2242">
            <v>5</v>
          </cell>
          <cell r="P2242">
            <v>1.99</v>
          </cell>
        </row>
        <row r="2243">
          <cell r="A2243" t="str">
            <v>6728219</v>
          </cell>
          <cell r="B2243" t="str">
            <v>1102561</v>
          </cell>
          <cell r="C2243" t="str">
            <v>761-5-03</v>
          </cell>
          <cell r="D2243" t="str">
            <v>761</v>
          </cell>
          <cell r="E2243" t="str">
            <v>RADIO CARRIER FORMED PCH ADJ</v>
          </cell>
          <cell r="F2243" t="str">
            <v>DG-POUCH-F1</v>
          </cell>
          <cell r="G2243" t="str">
            <v>1420-210-FG</v>
          </cell>
          <cell r="H2243" t="str">
            <v>R</v>
          </cell>
          <cell r="I2243" t="str">
            <v>06/11/2024</v>
          </cell>
          <cell r="J2243" t="str">
            <v>06/11/2024</v>
          </cell>
          <cell r="K2243" t="str">
            <v>06/25/2024</v>
          </cell>
          <cell r="L2243">
            <v>1</v>
          </cell>
          <cell r="M2243" t="str">
            <v>6/11/2024 3:18:21 PM</v>
          </cell>
          <cell r="N2243" t="str">
            <v>26</v>
          </cell>
          <cell r="O2243">
            <v>1</v>
          </cell>
          <cell r="P2243">
            <v>0.38</v>
          </cell>
        </row>
        <row r="2244">
          <cell r="A2244" t="str">
            <v>6728323</v>
          </cell>
          <cell r="B2244" t="str">
            <v>1121716</v>
          </cell>
          <cell r="C2244" t="str">
            <v>761-5-41</v>
          </cell>
          <cell r="D2244" t="str">
            <v>761</v>
          </cell>
          <cell r="E2244" t="str">
            <v>RADIO CARRIER FORMED PCH ADJ</v>
          </cell>
          <cell r="F2244" t="str">
            <v>DG-POUCH-F1</v>
          </cell>
          <cell r="G2244" t="str">
            <v>1420-210-FG</v>
          </cell>
          <cell r="H2244" t="str">
            <v>R</v>
          </cell>
          <cell r="I2244" t="str">
            <v>06/11/2024</v>
          </cell>
          <cell r="J2244" t="str">
            <v>06/11/2024</v>
          </cell>
          <cell r="K2244" t="str">
            <v>06/25/2024</v>
          </cell>
          <cell r="L2244">
            <v>2</v>
          </cell>
          <cell r="M2244" t="str">
            <v>6/11/2024 3:25:01 PM</v>
          </cell>
          <cell r="N2244" t="str">
            <v>26</v>
          </cell>
          <cell r="O2244">
            <v>2</v>
          </cell>
          <cell r="P2244">
            <v>0.76</v>
          </cell>
        </row>
        <row r="2245">
          <cell r="A2245" t="str">
            <v>6728328</v>
          </cell>
          <cell r="B2245" t="str">
            <v>1119358</v>
          </cell>
          <cell r="C2245" t="str">
            <v>761-5-48</v>
          </cell>
          <cell r="D2245" t="str">
            <v>761</v>
          </cell>
          <cell r="E2245" t="str">
            <v>RADIO CARRIER FORMED PCH ADJ</v>
          </cell>
          <cell r="F2245" t="str">
            <v>DG-POUCH-F1</v>
          </cell>
          <cell r="G2245" t="str">
            <v>1420-210-FG</v>
          </cell>
          <cell r="H2245" t="str">
            <v>F</v>
          </cell>
          <cell r="I2245" t="str">
            <v>06/11/2024</v>
          </cell>
          <cell r="J2245" t="str">
            <v>06/11/2024</v>
          </cell>
          <cell r="K2245" t="str">
            <v>06/25/2024</v>
          </cell>
          <cell r="L2245">
            <v>5</v>
          </cell>
          <cell r="M2245" t="str">
            <v/>
          </cell>
          <cell r="N2245" t="str">
            <v>26</v>
          </cell>
          <cell r="O2245">
            <v>5</v>
          </cell>
          <cell r="P2245">
            <v>2</v>
          </cell>
        </row>
        <row r="2246">
          <cell r="A2246" t="str">
            <v>6727752</v>
          </cell>
          <cell r="B2246" t="str">
            <v>1029091</v>
          </cell>
          <cell r="C2246" t="str">
            <v>22221</v>
          </cell>
          <cell r="D2246" t="str">
            <v>7960</v>
          </cell>
          <cell r="E2246" t="str">
            <v>SAM BROWNE BELT BSK BLK SZ 36 CHROME</v>
          </cell>
          <cell r="F2246" t="str">
            <v>BN-BELT</v>
          </cell>
          <cell r="G2246" t="str">
            <v>1420-210-FG</v>
          </cell>
          <cell r="H2246" t="str">
            <v>R</v>
          </cell>
          <cell r="I2246" t="str">
            <v>06/11/2024</v>
          </cell>
          <cell r="J2246" t="str">
            <v>06/11/2024</v>
          </cell>
          <cell r="K2246" t="str">
            <v>06/25/2024</v>
          </cell>
          <cell r="L2246">
            <v>30</v>
          </cell>
          <cell r="M2246" t="str">
            <v>6/11/2024 2:36:12 PM</v>
          </cell>
          <cell r="N2246" t="str">
            <v>26</v>
          </cell>
          <cell r="O2246">
            <v>30</v>
          </cell>
          <cell r="P2246">
            <v>5.72</v>
          </cell>
        </row>
        <row r="2247">
          <cell r="A2247" t="str">
            <v>6727525</v>
          </cell>
          <cell r="B2247" t="str">
            <v>1016980</v>
          </cell>
          <cell r="C2247" t="str">
            <v>22229</v>
          </cell>
          <cell r="D2247" t="str">
            <v>7960</v>
          </cell>
          <cell r="E2247" t="str">
            <v>SAM BROWNE BELT BSK BLK SZ 44 CHROME</v>
          </cell>
          <cell r="F2247" t="str">
            <v>BN-BELT</v>
          </cell>
          <cell r="G2247" t="str">
            <v>1420-210-FG</v>
          </cell>
          <cell r="H2247" t="str">
            <v>R</v>
          </cell>
          <cell r="I2247" t="str">
            <v>06/11/2024</v>
          </cell>
          <cell r="J2247" t="str">
            <v>06/11/2024</v>
          </cell>
          <cell r="K2247" t="str">
            <v>06/25/2024</v>
          </cell>
          <cell r="L2247">
            <v>10</v>
          </cell>
          <cell r="M2247" t="str">
            <v>6/11/2024 2:36:12 PM</v>
          </cell>
          <cell r="N2247" t="str">
            <v>26</v>
          </cell>
          <cell r="O2247">
            <v>10</v>
          </cell>
          <cell r="P2247">
            <v>1.91</v>
          </cell>
        </row>
        <row r="2248">
          <cell r="A2248" t="str">
            <v>6727716</v>
          </cell>
          <cell r="B2248" t="str">
            <v>1016997</v>
          </cell>
          <cell r="C2248" t="str">
            <v>22237</v>
          </cell>
          <cell r="D2248" t="str">
            <v>7960</v>
          </cell>
          <cell r="E2248" t="str">
            <v>SAM BROWNE BELT BSK BLK SZ 48 BRASS</v>
          </cell>
          <cell r="F2248" t="str">
            <v>BN-BELT</v>
          </cell>
          <cell r="G2248" t="str">
            <v>1420-210-FG</v>
          </cell>
          <cell r="H2248" t="str">
            <v>R</v>
          </cell>
          <cell r="I2248" t="str">
            <v>06/11/2024</v>
          </cell>
          <cell r="J2248" t="str">
            <v>06/11/2024</v>
          </cell>
          <cell r="K2248" t="str">
            <v>06/25/2024</v>
          </cell>
          <cell r="L2248">
            <v>5</v>
          </cell>
          <cell r="M2248" t="str">
            <v>6/11/2024 2:36:12 PM</v>
          </cell>
          <cell r="N2248" t="str">
            <v>26</v>
          </cell>
          <cell r="O2248">
            <v>5</v>
          </cell>
          <cell r="P2248">
            <v>0.95</v>
          </cell>
        </row>
        <row r="2249">
          <cell r="A2249" t="str">
            <v>6728372</v>
          </cell>
          <cell r="B2249" t="str">
            <v>1016969</v>
          </cell>
          <cell r="C2249" t="str">
            <v>22216</v>
          </cell>
          <cell r="D2249" t="str">
            <v>7960</v>
          </cell>
          <cell r="E2249" t="str">
            <v>SAM BROWNE BELT PLN BLK SZ 32 CHROME</v>
          </cell>
          <cell r="F2249" t="str">
            <v>BN-BELT</v>
          </cell>
          <cell r="G2249" t="str">
            <v>1420-210-FG</v>
          </cell>
          <cell r="H2249" t="str">
            <v>R</v>
          </cell>
          <cell r="I2249" t="str">
            <v>06/11/2024</v>
          </cell>
          <cell r="J2249" t="str">
            <v>06/11/2024</v>
          </cell>
          <cell r="K2249" t="str">
            <v>06/25/2024</v>
          </cell>
          <cell r="L2249">
            <v>5</v>
          </cell>
          <cell r="M2249" t="str">
            <v>6/11/2024 2:36:12 PM</v>
          </cell>
          <cell r="N2249" t="str">
            <v>26</v>
          </cell>
          <cell r="O2249">
            <v>5</v>
          </cell>
          <cell r="P2249">
            <v>0.95</v>
          </cell>
        </row>
        <row r="2250">
          <cell r="A2250" t="str">
            <v>6727718</v>
          </cell>
          <cell r="B2250" t="str">
            <v>1017047</v>
          </cell>
          <cell r="C2250" t="str">
            <v>22272</v>
          </cell>
          <cell r="D2250" t="str">
            <v>7960</v>
          </cell>
          <cell r="E2250" t="str">
            <v>SAM BROWNE BELT PLN BLK SZ 40 BRASS</v>
          </cell>
          <cell r="F2250" t="str">
            <v>BN-BELT</v>
          </cell>
          <cell r="G2250" t="str">
            <v>1420-210-FG</v>
          </cell>
          <cell r="H2250" t="str">
            <v>R</v>
          </cell>
          <cell r="I2250" t="str">
            <v>06/11/2024</v>
          </cell>
          <cell r="J2250" t="str">
            <v>06/11/2024</v>
          </cell>
          <cell r="K2250" t="str">
            <v>06/25/2024</v>
          </cell>
          <cell r="L2250">
            <v>1</v>
          </cell>
          <cell r="M2250" t="str">
            <v>6/11/2024 2:36:12 PM</v>
          </cell>
          <cell r="N2250" t="str">
            <v>26</v>
          </cell>
          <cell r="O2250">
            <v>1</v>
          </cell>
          <cell r="P2250">
            <v>0.19</v>
          </cell>
        </row>
        <row r="2251">
          <cell r="A2251" t="str">
            <v>6728112</v>
          </cell>
          <cell r="B2251" t="str">
            <v>1017048</v>
          </cell>
          <cell r="C2251" t="str">
            <v>22273</v>
          </cell>
          <cell r="D2251" t="str">
            <v>7960</v>
          </cell>
          <cell r="E2251" t="str">
            <v>SAM BROWNE BELT PLN BLK SZ 42 BRASS</v>
          </cell>
          <cell r="F2251" t="str">
            <v>BN-BELT</v>
          </cell>
          <cell r="G2251" t="str">
            <v>1420-210-FG</v>
          </cell>
          <cell r="H2251" t="str">
            <v>R</v>
          </cell>
          <cell r="I2251" t="str">
            <v>06/11/2024</v>
          </cell>
          <cell r="J2251" t="str">
            <v>06/11/2024</v>
          </cell>
          <cell r="K2251" t="str">
            <v>06/25/2024</v>
          </cell>
          <cell r="L2251">
            <v>1</v>
          </cell>
          <cell r="M2251" t="str">
            <v>6/11/2024 2:36:12 PM</v>
          </cell>
          <cell r="N2251" t="str">
            <v>26</v>
          </cell>
          <cell r="O2251">
            <v>1</v>
          </cell>
          <cell r="P2251">
            <v>0.19</v>
          </cell>
        </row>
        <row r="2252">
          <cell r="A2252" t="str">
            <v>6728307</v>
          </cell>
          <cell r="B2252" t="str">
            <v>1097442</v>
          </cell>
          <cell r="C2252" t="str">
            <v>080-12</v>
          </cell>
          <cell r="D2252" t="str">
            <v>080</v>
          </cell>
          <cell r="E2252" t="str">
            <v>SHOT SHELL HLDR12-GAUGE</v>
          </cell>
          <cell r="F2252" t="str">
            <v>DG-MISC</v>
          </cell>
          <cell r="G2252" t="str">
            <v>1420-210-FG</v>
          </cell>
          <cell r="H2252" t="str">
            <v>R</v>
          </cell>
          <cell r="I2252" t="str">
            <v>06/11/2024</v>
          </cell>
          <cell r="J2252" t="str">
            <v>06/11/2024</v>
          </cell>
          <cell r="K2252" t="str">
            <v>06/25/2024</v>
          </cell>
          <cell r="L2252">
            <v>75</v>
          </cell>
          <cell r="M2252" t="str">
            <v>6/12/2024 11:49:41 AM</v>
          </cell>
          <cell r="N2252" t="str">
            <v>26</v>
          </cell>
          <cell r="O2252">
            <v>75</v>
          </cell>
          <cell r="P2252">
            <v>1.25</v>
          </cell>
        </row>
        <row r="2253">
          <cell r="A2253" t="str">
            <v>6727773</v>
          </cell>
          <cell r="B2253" t="str">
            <v>1016578</v>
          </cell>
          <cell r="C2253" t="str">
            <v>18766</v>
          </cell>
          <cell r="D2253" t="str">
            <v>7316</v>
          </cell>
          <cell r="E2253" t="str">
            <v xml:space="preserve">SILENT KEY HOLDER BLK </v>
          </cell>
          <cell r="F2253" t="str">
            <v>BN-POUCH</v>
          </cell>
          <cell r="G2253" t="str">
            <v>1420-210-FG</v>
          </cell>
          <cell r="H2253" t="str">
            <v>R</v>
          </cell>
          <cell r="I2253" t="str">
            <v>06/11/2024</v>
          </cell>
          <cell r="J2253" t="str">
            <v>06/11/2024</v>
          </cell>
          <cell r="K2253" t="str">
            <v>06/25/2024</v>
          </cell>
          <cell r="L2253">
            <v>100</v>
          </cell>
          <cell r="M2253" t="str">
            <v>6/11/2024 3:15:53 PM</v>
          </cell>
          <cell r="N2253" t="str">
            <v>26</v>
          </cell>
          <cell r="O2253">
            <v>100</v>
          </cell>
          <cell r="P2253">
            <v>17.079999999999998</v>
          </cell>
        </row>
        <row r="2254">
          <cell r="A2254" t="str">
            <v>6727607</v>
          </cell>
          <cell r="B2254" t="str">
            <v>1120807</v>
          </cell>
          <cell r="C2254" t="str">
            <v>6004-27-2</v>
          </cell>
          <cell r="D2254" t="str">
            <v>6004</v>
          </cell>
          <cell r="E2254" t="str">
            <v>SMALL TACTICAL PLATE W/DFA QLS RECEIVER</v>
          </cell>
          <cell r="F2254" t="str">
            <v>DG-HARNESS-DTC</v>
          </cell>
          <cell r="G2254" t="str">
            <v>1420-210-FG</v>
          </cell>
          <cell r="H2254" t="str">
            <v>F</v>
          </cell>
          <cell r="I2254" t="str">
            <v>06/11/2024</v>
          </cell>
          <cell r="J2254" t="str">
            <v>06/11/2024</v>
          </cell>
          <cell r="K2254" t="str">
            <v>06/25/2024</v>
          </cell>
          <cell r="L2254">
            <v>100</v>
          </cell>
          <cell r="M2254" t="str">
            <v/>
          </cell>
          <cell r="N2254" t="str">
            <v>26</v>
          </cell>
          <cell r="O2254">
            <v>100</v>
          </cell>
          <cell r="P2254">
            <v>5.71</v>
          </cell>
        </row>
        <row r="2255">
          <cell r="A2255" t="str">
            <v>6727612</v>
          </cell>
          <cell r="B2255" t="str">
            <v>1134082</v>
          </cell>
          <cell r="C2255" t="str">
            <v>6004-27-54</v>
          </cell>
          <cell r="D2255" t="str">
            <v>6004</v>
          </cell>
          <cell r="E2255" t="str">
            <v>SMALL TACTICAL PLATE W/DFA QLS RECEIVER</v>
          </cell>
          <cell r="F2255" t="str">
            <v>DG-HARNESS-DTC</v>
          </cell>
          <cell r="G2255" t="str">
            <v>1420-210-FG</v>
          </cell>
          <cell r="H2255" t="str">
            <v>F</v>
          </cell>
          <cell r="I2255" t="str">
            <v>06/11/2024</v>
          </cell>
          <cell r="J2255" t="str">
            <v>06/11/2024</v>
          </cell>
          <cell r="K2255" t="str">
            <v>06/25/2024</v>
          </cell>
          <cell r="L2255">
            <v>10</v>
          </cell>
          <cell r="M2255" t="str">
            <v/>
          </cell>
          <cell r="N2255" t="str">
            <v>26</v>
          </cell>
          <cell r="O2255">
            <v>10</v>
          </cell>
          <cell r="P2255">
            <v>0.97</v>
          </cell>
        </row>
        <row r="2256">
          <cell r="A2256" t="str">
            <v>6728305</v>
          </cell>
          <cell r="B2256" t="str">
            <v>1014010</v>
          </cell>
          <cell r="C2256" t="str">
            <v>20054</v>
          </cell>
          <cell r="D2256" t="str">
            <v>580</v>
          </cell>
          <cell r="E2256" t="str">
            <v>SPEED STRIP PAIR .38/.357</v>
          </cell>
          <cell r="F2256" t="str">
            <v>DG-MISC</v>
          </cell>
          <cell r="G2256" t="str">
            <v>1420-210-FG</v>
          </cell>
          <cell r="H2256" t="str">
            <v>F</v>
          </cell>
          <cell r="I2256" t="str">
            <v>06/11/2024</v>
          </cell>
          <cell r="J2256" t="str">
            <v>06/11/2024</v>
          </cell>
          <cell r="K2256" t="str">
            <v>06/25/2024</v>
          </cell>
          <cell r="L2256">
            <v>100</v>
          </cell>
          <cell r="M2256" t="str">
            <v/>
          </cell>
          <cell r="N2256" t="str">
            <v>26</v>
          </cell>
          <cell r="O2256">
            <v>100</v>
          </cell>
          <cell r="P2256">
            <v>0.73</v>
          </cell>
        </row>
        <row r="2257">
          <cell r="A2257" t="str">
            <v>6727506</v>
          </cell>
          <cell r="B2257" t="str">
            <v>1098987</v>
          </cell>
          <cell r="C2257" t="str">
            <v>333-2-2-175</v>
          </cell>
          <cell r="D2257" t="str">
            <v>333</v>
          </cell>
          <cell r="E2257" t="str">
            <v>SPEEDLOADER HOLDER</v>
          </cell>
          <cell r="F2257" t="str">
            <v>DG-POUCH-F2-F3</v>
          </cell>
          <cell r="G2257" t="str">
            <v>1420-210-FG</v>
          </cell>
          <cell r="H2257" t="str">
            <v>R</v>
          </cell>
          <cell r="I2257" t="str">
            <v>06/11/2024</v>
          </cell>
          <cell r="J2257" t="str">
            <v>06/11/2024</v>
          </cell>
          <cell r="K2257" t="str">
            <v>06/25/2024</v>
          </cell>
          <cell r="L2257">
            <v>10</v>
          </cell>
          <cell r="M2257" t="str">
            <v>6/12/2024 11:50:12 AM</v>
          </cell>
          <cell r="N2257" t="str">
            <v>26</v>
          </cell>
          <cell r="O2257">
            <v>10</v>
          </cell>
          <cell r="P2257">
            <v>3.19</v>
          </cell>
        </row>
        <row r="2258">
          <cell r="A2258" t="str">
            <v>6727527</v>
          </cell>
          <cell r="B2258" t="str">
            <v>1098980</v>
          </cell>
          <cell r="C2258" t="str">
            <v>33-3-22V</v>
          </cell>
          <cell r="D2258" t="str">
            <v>33</v>
          </cell>
          <cell r="E2258" t="str">
            <v>SURGICAL GLOVE POUCH</v>
          </cell>
          <cell r="F2258" t="str">
            <v>DG-POUCH-F2-F3</v>
          </cell>
          <cell r="G2258" t="str">
            <v>1420-210-FG</v>
          </cell>
          <cell r="H2258" t="str">
            <v>R</v>
          </cell>
          <cell r="I2258" t="str">
            <v>06/11/2024</v>
          </cell>
          <cell r="J2258" t="str">
            <v>06/11/2024</v>
          </cell>
          <cell r="K2258" t="str">
            <v>06/25/2024</v>
          </cell>
          <cell r="L2258">
            <v>20</v>
          </cell>
          <cell r="M2258" t="str">
            <v>6/11/2024 3:35:22 PM</v>
          </cell>
          <cell r="N2258" t="str">
            <v>26</v>
          </cell>
          <cell r="O2258">
            <v>20</v>
          </cell>
          <cell r="P2258">
            <v>5.81</v>
          </cell>
        </row>
        <row r="2259">
          <cell r="A2259" t="str">
            <v>6727774</v>
          </cell>
          <cell r="B2259" t="str">
            <v>1016629</v>
          </cell>
          <cell r="C2259" t="str">
            <v>18797</v>
          </cell>
          <cell r="D2259" t="str">
            <v>7320</v>
          </cell>
          <cell r="E2259" t="str">
            <v xml:space="preserve">TRIPLE THREAT II BLK SZ 2 </v>
          </cell>
          <cell r="F2259" t="str">
            <v>BN-POUCH</v>
          </cell>
          <cell r="G2259" t="str">
            <v>1420-210-FG</v>
          </cell>
          <cell r="H2259" t="str">
            <v>R</v>
          </cell>
          <cell r="I2259" t="str">
            <v>06/11/2024</v>
          </cell>
          <cell r="J2259" t="str">
            <v>06/11/2024</v>
          </cell>
          <cell r="K2259" t="str">
            <v>06/25/2024</v>
          </cell>
          <cell r="L2259">
            <v>100</v>
          </cell>
          <cell r="M2259" t="str">
            <v>6/11/2024 2:58:28 PM</v>
          </cell>
          <cell r="N2259" t="str">
            <v>26</v>
          </cell>
          <cell r="O2259">
            <v>100</v>
          </cell>
          <cell r="P2259">
            <v>11.82</v>
          </cell>
        </row>
        <row r="2260">
          <cell r="A2260" t="str">
            <v>6727775</v>
          </cell>
          <cell r="B2260" t="str">
            <v>1016629</v>
          </cell>
          <cell r="C2260" t="str">
            <v>18797</v>
          </cell>
          <cell r="D2260" t="str">
            <v>7320</v>
          </cell>
          <cell r="E2260" t="str">
            <v xml:space="preserve">TRIPLE THREAT II BLK SZ 2 </v>
          </cell>
          <cell r="F2260" t="str">
            <v>BN-POUCH</v>
          </cell>
          <cell r="G2260" t="str">
            <v>1420-210-FG</v>
          </cell>
          <cell r="H2260" t="str">
            <v>R</v>
          </cell>
          <cell r="I2260" t="str">
            <v>06/11/2024</v>
          </cell>
          <cell r="J2260" t="str">
            <v>06/11/2024</v>
          </cell>
          <cell r="K2260" t="str">
            <v>06/25/2024</v>
          </cell>
          <cell r="L2260">
            <v>100</v>
          </cell>
          <cell r="M2260" t="str">
            <v>6/11/2024 2:58:28 PM</v>
          </cell>
          <cell r="N2260" t="str">
            <v>26</v>
          </cell>
          <cell r="O2260">
            <v>100</v>
          </cell>
          <cell r="P2260">
            <v>11.82</v>
          </cell>
        </row>
        <row r="2261">
          <cell r="A2261" t="str">
            <v>6727776</v>
          </cell>
          <cell r="B2261" t="str">
            <v>1016629</v>
          </cell>
          <cell r="C2261" t="str">
            <v>18797</v>
          </cell>
          <cell r="D2261" t="str">
            <v>7320</v>
          </cell>
          <cell r="E2261" t="str">
            <v xml:space="preserve">TRIPLE THREAT II BLK SZ 2 </v>
          </cell>
          <cell r="F2261" t="str">
            <v>BN-POUCH</v>
          </cell>
          <cell r="G2261" t="str">
            <v>1420-210-FG</v>
          </cell>
          <cell r="H2261" t="str">
            <v>R</v>
          </cell>
          <cell r="I2261" t="str">
            <v>06/11/2024</v>
          </cell>
          <cell r="J2261" t="str">
            <v>06/11/2024</v>
          </cell>
          <cell r="K2261" t="str">
            <v>06/25/2024</v>
          </cell>
          <cell r="L2261">
            <v>100</v>
          </cell>
          <cell r="M2261" t="str">
            <v>6/11/2024 2:58:28 PM</v>
          </cell>
          <cell r="N2261" t="str">
            <v>26</v>
          </cell>
          <cell r="O2261">
            <v>100</v>
          </cell>
          <cell r="P2261">
            <v>11.82</v>
          </cell>
        </row>
        <row r="2262">
          <cell r="A2262" t="str">
            <v>6727808</v>
          </cell>
          <cell r="B2262" t="str">
            <v>1018244</v>
          </cell>
          <cell r="C2262" t="str">
            <v>31311</v>
          </cell>
          <cell r="D2262" t="str">
            <v>8014S</v>
          </cell>
          <cell r="E2262" t="str">
            <v>UNIVERSAL RADIO CASE BLK W/SWIVEL</v>
          </cell>
          <cell r="F2262" t="str">
            <v>BN-POUCH</v>
          </cell>
          <cell r="G2262" t="str">
            <v>1420-210-FG</v>
          </cell>
          <cell r="H2262" t="str">
            <v>R</v>
          </cell>
          <cell r="I2262" t="str">
            <v>06/11/2024</v>
          </cell>
          <cell r="J2262" t="str">
            <v>06/11/2024</v>
          </cell>
          <cell r="K2262" t="str">
            <v>06/25/2024</v>
          </cell>
          <cell r="L2262">
            <v>25</v>
          </cell>
          <cell r="M2262" t="str">
            <v>6/11/2024 2:58:28 PM</v>
          </cell>
          <cell r="N2262" t="str">
            <v>26</v>
          </cell>
          <cell r="O2262">
            <v>25</v>
          </cell>
          <cell r="P2262">
            <v>8.01</v>
          </cell>
        </row>
        <row r="2263">
          <cell r="A2263" t="str">
            <v>6727825</v>
          </cell>
          <cell r="B2263" t="str">
            <v>1018244</v>
          </cell>
          <cell r="C2263" t="str">
            <v>31311</v>
          </cell>
          <cell r="D2263" t="str">
            <v>8014S</v>
          </cell>
          <cell r="E2263" t="str">
            <v>UNIVERSAL RADIO CASE BLK W/SWIVEL</v>
          </cell>
          <cell r="F2263" t="str">
            <v>BN-POUCH</v>
          </cell>
          <cell r="G2263" t="str">
            <v>1420-210-FG</v>
          </cell>
          <cell r="H2263" t="str">
            <v>R</v>
          </cell>
          <cell r="I2263" t="str">
            <v>06/11/2024</v>
          </cell>
          <cell r="J2263" t="str">
            <v>06/11/2024</v>
          </cell>
          <cell r="K2263" t="str">
            <v>06/25/2024</v>
          </cell>
          <cell r="L2263">
            <v>25</v>
          </cell>
          <cell r="M2263" t="str">
            <v>6/11/2024 2:58:28 PM</v>
          </cell>
          <cell r="N2263" t="str">
            <v>26</v>
          </cell>
          <cell r="O2263">
            <v>25</v>
          </cell>
          <cell r="P2263">
            <v>8.01</v>
          </cell>
        </row>
        <row r="2264">
          <cell r="A2264" t="str">
            <v>6727838</v>
          </cell>
          <cell r="B2264" t="str">
            <v>1018244</v>
          </cell>
          <cell r="C2264" t="str">
            <v>31311</v>
          </cell>
          <cell r="D2264" t="str">
            <v>8014S</v>
          </cell>
          <cell r="E2264" t="str">
            <v>UNIVERSAL RADIO CASE BLK W/SWIVEL</v>
          </cell>
          <cell r="F2264" t="str">
            <v>BN-POUCH</v>
          </cell>
          <cell r="G2264" t="str">
            <v>1420-210-FG</v>
          </cell>
          <cell r="H2264" t="str">
            <v>R</v>
          </cell>
          <cell r="I2264" t="str">
            <v>06/11/2024</v>
          </cell>
          <cell r="J2264" t="str">
            <v>06/11/2024</v>
          </cell>
          <cell r="K2264" t="str">
            <v>06/25/2024</v>
          </cell>
          <cell r="L2264">
            <v>25</v>
          </cell>
          <cell r="M2264" t="str">
            <v>6/11/2024 2:58:28 PM</v>
          </cell>
          <cell r="N2264" t="str">
            <v>26</v>
          </cell>
          <cell r="O2264">
            <v>25</v>
          </cell>
          <cell r="P2264">
            <v>8.01</v>
          </cell>
        </row>
        <row r="2265">
          <cell r="A2265" t="str">
            <v>6727871</v>
          </cell>
          <cell r="B2265" t="str">
            <v>1018244</v>
          </cell>
          <cell r="C2265" t="str">
            <v>31311</v>
          </cell>
          <cell r="D2265" t="str">
            <v>8014S</v>
          </cell>
          <cell r="E2265" t="str">
            <v>UNIVERSAL RADIO CASE BLK W/SWIVEL</v>
          </cell>
          <cell r="F2265" t="str">
            <v>BN-POUCH</v>
          </cell>
          <cell r="G2265" t="str">
            <v>1420-210-FG</v>
          </cell>
          <cell r="H2265" t="str">
            <v>R</v>
          </cell>
          <cell r="I2265" t="str">
            <v>06/11/2024</v>
          </cell>
          <cell r="J2265" t="str">
            <v>06/11/2024</v>
          </cell>
          <cell r="K2265" t="str">
            <v>06/25/2024</v>
          </cell>
          <cell r="L2265">
            <v>25</v>
          </cell>
          <cell r="M2265" t="str">
            <v>6/11/2024 2:58:28 PM</v>
          </cell>
          <cell r="N2265" t="str">
            <v>26</v>
          </cell>
          <cell r="O2265">
            <v>25</v>
          </cell>
          <cell r="P2265">
            <v>8.01</v>
          </cell>
        </row>
        <row r="2266">
          <cell r="A2266" t="str">
            <v>6727873</v>
          </cell>
          <cell r="B2266" t="str">
            <v>1018244</v>
          </cell>
          <cell r="C2266" t="str">
            <v>31311</v>
          </cell>
          <cell r="D2266" t="str">
            <v>8014S</v>
          </cell>
          <cell r="E2266" t="str">
            <v>UNIVERSAL RADIO CASE BLK W/SWIVEL</v>
          </cell>
          <cell r="F2266" t="str">
            <v>BN-POUCH</v>
          </cell>
          <cell r="G2266" t="str">
            <v>1420-210-FG</v>
          </cell>
          <cell r="H2266" t="str">
            <v>R</v>
          </cell>
          <cell r="I2266" t="str">
            <v>06/11/2024</v>
          </cell>
          <cell r="J2266" t="str">
            <v>06/11/2024</v>
          </cell>
          <cell r="K2266" t="str">
            <v>06/25/2024</v>
          </cell>
          <cell r="L2266">
            <v>25</v>
          </cell>
          <cell r="M2266" t="str">
            <v>6/11/2024 2:58:28 PM</v>
          </cell>
          <cell r="N2266" t="str">
            <v>26</v>
          </cell>
          <cell r="O2266">
            <v>25</v>
          </cell>
          <cell r="P2266">
            <v>8.01</v>
          </cell>
        </row>
        <row r="2267">
          <cell r="A2267" t="str">
            <v>6727877</v>
          </cell>
          <cell r="B2267" t="str">
            <v>1018244</v>
          </cell>
          <cell r="C2267" t="str">
            <v>31311</v>
          </cell>
          <cell r="D2267" t="str">
            <v>8014S</v>
          </cell>
          <cell r="E2267" t="str">
            <v>UNIVERSAL RADIO CASE BLK W/SWIVEL</v>
          </cell>
          <cell r="F2267" t="str">
            <v>BN-POUCH</v>
          </cell>
          <cell r="G2267" t="str">
            <v>1420-210-FG</v>
          </cell>
          <cell r="H2267" t="str">
            <v>R</v>
          </cell>
          <cell r="I2267" t="str">
            <v>06/11/2024</v>
          </cell>
          <cell r="J2267" t="str">
            <v>06/11/2024</v>
          </cell>
          <cell r="K2267" t="str">
            <v>06/25/2024</v>
          </cell>
          <cell r="L2267">
            <v>25</v>
          </cell>
          <cell r="M2267" t="str">
            <v>6/11/2024 2:58:28 PM</v>
          </cell>
          <cell r="N2267" t="str">
            <v>26</v>
          </cell>
          <cell r="O2267">
            <v>25</v>
          </cell>
          <cell r="P2267">
            <v>8.01</v>
          </cell>
        </row>
        <row r="2268">
          <cell r="A2268" t="str">
            <v>6727881</v>
          </cell>
          <cell r="B2268" t="str">
            <v>1018244</v>
          </cell>
          <cell r="C2268" t="str">
            <v>31311</v>
          </cell>
          <cell r="D2268" t="str">
            <v>8014S</v>
          </cell>
          <cell r="E2268" t="str">
            <v>UNIVERSAL RADIO CASE BLK W/SWIVEL</v>
          </cell>
          <cell r="F2268" t="str">
            <v>BN-POUCH</v>
          </cell>
          <cell r="G2268" t="str">
            <v>1420-210-FG</v>
          </cell>
          <cell r="H2268" t="str">
            <v>R</v>
          </cell>
          <cell r="I2268" t="str">
            <v>06/11/2024</v>
          </cell>
          <cell r="J2268" t="str">
            <v>06/11/2024</v>
          </cell>
          <cell r="K2268" t="str">
            <v>06/25/2024</v>
          </cell>
          <cell r="L2268">
            <v>25</v>
          </cell>
          <cell r="M2268" t="str">
            <v>6/11/2024 2:58:28 PM</v>
          </cell>
          <cell r="N2268" t="str">
            <v>26</v>
          </cell>
          <cell r="O2268">
            <v>25</v>
          </cell>
          <cell r="P2268">
            <v>8.01</v>
          </cell>
        </row>
        <row r="2269">
          <cell r="A2269" t="str">
            <v>6727882</v>
          </cell>
          <cell r="B2269" t="str">
            <v>1018244</v>
          </cell>
          <cell r="C2269" t="str">
            <v>31311</v>
          </cell>
          <cell r="D2269" t="str">
            <v>8014S</v>
          </cell>
          <cell r="E2269" t="str">
            <v>UNIVERSAL RADIO CASE BLK W/SWIVEL</v>
          </cell>
          <cell r="F2269" t="str">
            <v>BN-POUCH</v>
          </cell>
          <cell r="G2269" t="str">
            <v>1420-210-FG</v>
          </cell>
          <cell r="H2269" t="str">
            <v>R</v>
          </cell>
          <cell r="I2269" t="str">
            <v>06/11/2024</v>
          </cell>
          <cell r="J2269" t="str">
            <v>06/11/2024</v>
          </cell>
          <cell r="K2269" t="str">
            <v>06/25/2024</v>
          </cell>
          <cell r="L2269">
            <v>25</v>
          </cell>
          <cell r="M2269" t="str">
            <v>6/11/2024 2:58:28 PM</v>
          </cell>
          <cell r="N2269" t="str">
            <v>26</v>
          </cell>
          <cell r="O2269">
            <v>25</v>
          </cell>
          <cell r="P2269">
            <v>8.01</v>
          </cell>
        </row>
        <row r="2270">
          <cell r="A2270" t="str">
            <v>6727891</v>
          </cell>
          <cell r="B2270" t="str">
            <v>1018244</v>
          </cell>
          <cell r="C2270" t="str">
            <v>31311</v>
          </cell>
          <cell r="D2270" t="str">
            <v>8014S</v>
          </cell>
          <cell r="E2270" t="str">
            <v>UNIVERSAL RADIO CASE BLK W/SWIVEL</v>
          </cell>
          <cell r="F2270" t="str">
            <v>BN-POUCH</v>
          </cell>
          <cell r="G2270" t="str">
            <v>1420-210-FG</v>
          </cell>
          <cell r="H2270" t="str">
            <v>R</v>
          </cell>
          <cell r="I2270" t="str">
            <v>06/11/2024</v>
          </cell>
          <cell r="J2270" t="str">
            <v>06/11/2024</v>
          </cell>
          <cell r="K2270" t="str">
            <v>06/25/2024</v>
          </cell>
          <cell r="L2270">
            <v>25</v>
          </cell>
          <cell r="M2270" t="str">
            <v>6/11/2024 2:58:28 PM</v>
          </cell>
          <cell r="N2270" t="str">
            <v>26</v>
          </cell>
          <cell r="O2270">
            <v>25</v>
          </cell>
          <cell r="P2270">
            <v>8.01</v>
          </cell>
        </row>
        <row r="2271">
          <cell r="A2271" t="str">
            <v>6727906</v>
          </cell>
          <cell r="B2271" t="str">
            <v>1018244</v>
          </cell>
          <cell r="C2271" t="str">
            <v>31311</v>
          </cell>
          <cell r="D2271" t="str">
            <v>8014S</v>
          </cell>
          <cell r="E2271" t="str">
            <v>UNIVERSAL RADIO CASE BLK W/SWIVEL</v>
          </cell>
          <cell r="F2271" t="str">
            <v>BN-POUCH</v>
          </cell>
          <cell r="G2271" t="str">
            <v>1420-210-FG</v>
          </cell>
          <cell r="H2271" t="str">
            <v>R</v>
          </cell>
          <cell r="I2271" t="str">
            <v>06/11/2024</v>
          </cell>
          <cell r="J2271" t="str">
            <v>06/11/2024</v>
          </cell>
          <cell r="K2271" t="str">
            <v>06/25/2024</v>
          </cell>
          <cell r="L2271">
            <v>25</v>
          </cell>
          <cell r="M2271" t="str">
            <v>6/11/2024 2:58:28 PM</v>
          </cell>
          <cell r="N2271" t="str">
            <v>26</v>
          </cell>
          <cell r="O2271">
            <v>25</v>
          </cell>
          <cell r="P2271">
            <v>8.01</v>
          </cell>
        </row>
        <row r="2272">
          <cell r="A2272" t="str">
            <v>6727907</v>
          </cell>
          <cell r="B2272" t="str">
            <v>1018244</v>
          </cell>
          <cell r="C2272" t="str">
            <v>31311</v>
          </cell>
          <cell r="D2272" t="str">
            <v>8014S</v>
          </cell>
          <cell r="E2272" t="str">
            <v>UNIVERSAL RADIO CASE BLK W/SWIVEL</v>
          </cell>
          <cell r="F2272" t="str">
            <v>BN-POUCH</v>
          </cell>
          <cell r="G2272" t="str">
            <v>1420-210-FG</v>
          </cell>
          <cell r="H2272" t="str">
            <v>R</v>
          </cell>
          <cell r="I2272" t="str">
            <v>06/11/2024</v>
          </cell>
          <cell r="J2272" t="str">
            <v>06/11/2024</v>
          </cell>
          <cell r="K2272" t="str">
            <v>06/25/2024</v>
          </cell>
          <cell r="L2272">
            <v>25</v>
          </cell>
          <cell r="M2272" t="str">
            <v>6/11/2024 2:58:28 PM</v>
          </cell>
          <cell r="N2272" t="str">
            <v>26</v>
          </cell>
          <cell r="O2272">
            <v>25</v>
          </cell>
          <cell r="P2272">
            <v>8.01</v>
          </cell>
        </row>
        <row r="2273">
          <cell r="A2273" t="str">
            <v>6727911</v>
          </cell>
          <cell r="B2273" t="str">
            <v>1018244</v>
          </cell>
          <cell r="C2273" t="str">
            <v>31311</v>
          </cell>
          <cell r="D2273" t="str">
            <v>8014S</v>
          </cell>
          <cell r="E2273" t="str">
            <v>UNIVERSAL RADIO CASE BLK W/SWIVEL</v>
          </cell>
          <cell r="F2273" t="str">
            <v>BN-POUCH</v>
          </cell>
          <cell r="G2273" t="str">
            <v>1420-210-FG</v>
          </cell>
          <cell r="H2273" t="str">
            <v>R</v>
          </cell>
          <cell r="I2273" t="str">
            <v>06/11/2024</v>
          </cell>
          <cell r="J2273" t="str">
            <v>06/11/2024</v>
          </cell>
          <cell r="K2273" t="str">
            <v>06/25/2024</v>
          </cell>
          <cell r="L2273">
            <v>25</v>
          </cell>
          <cell r="M2273" t="str">
            <v>6/11/2024 2:58:28 PM</v>
          </cell>
          <cell r="N2273" t="str">
            <v>26</v>
          </cell>
          <cell r="O2273">
            <v>25</v>
          </cell>
          <cell r="P2273">
            <v>8.01</v>
          </cell>
        </row>
        <row r="2274">
          <cell r="A2274" t="str">
            <v>6727918</v>
          </cell>
          <cell r="B2274" t="str">
            <v>1018244</v>
          </cell>
          <cell r="C2274" t="str">
            <v>31311</v>
          </cell>
          <cell r="D2274" t="str">
            <v>8014S</v>
          </cell>
          <cell r="E2274" t="str">
            <v>UNIVERSAL RADIO CASE BLK W/SWIVEL</v>
          </cell>
          <cell r="F2274" t="str">
            <v>BN-POUCH</v>
          </cell>
          <cell r="G2274" t="str">
            <v>1420-210-FG</v>
          </cell>
          <cell r="H2274" t="str">
            <v>R</v>
          </cell>
          <cell r="I2274" t="str">
            <v>06/11/2024</v>
          </cell>
          <cell r="J2274" t="str">
            <v>06/11/2024</v>
          </cell>
          <cell r="K2274" t="str">
            <v>06/25/2024</v>
          </cell>
          <cell r="L2274">
            <v>25</v>
          </cell>
          <cell r="M2274" t="str">
            <v>6/11/2024 2:58:28 PM</v>
          </cell>
          <cell r="N2274" t="str">
            <v>26</v>
          </cell>
          <cell r="O2274">
            <v>25</v>
          </cell>
          <cell r="P2274">
            <v>8.01</v>
          </cell>
        </row>
        <row r="2275">
          <cell r="A2275" t="str">
            <v>6727919</v>
          </cell>
          <cell r="B2275" t="str">
            <v>1018244</v>
          </cell>
          <cell r="C2275" t="str">
            <v>31311</v>
          </cell>
          <cell r="D2275" t="str">
            <v>8014S</v>
          </cell>
          <cell r="E2275" t="str">
            <v>UNIVERSAL RADIO CASE BLK W/SWIVEL</v>
          </cell>
          <cell r="F2275" t="str">
            <v>BN-POUCH</v>
          </cell>
          <cell r="G2275" t="str">
            <v>1420-210-FG</v>
          </cell>
          <cell r="H2275" t="str">
            <v>R</v>
          </cell>
          <cell r="I2275" t="str">
            <v>06/11/2024</v>
          </cell>
          <cell r="J2275" t="str">
            <v>06/11/2024</v>
          </cell>
          <cell r="K2275" t="str">
            <v>06/25/2024</v>
          </cell>
          <cell r="L2275">
            <v>25</v>
          </cell>
          <cell r="M2275" t="str">
            <v>6/11/2024 2:58:28 PM</v>
          </cell>
          <cell r="N2275" t="str">
            <v>26</v>
          </cell>
          <cell r="O2275">
            <v>25</v>
          </cell>
          <cell r="P2275">
            <v>8.01</v>
          </cell>
        </row>
        <row r="2276">
          <cell r="A2276" t="str">
            <v>6727920</v>
          </cell>
          <cell r="B2276" t="str">
            <v>1018244</v>
          </cell>
          <cell r="C2276" t="str">
            <v>31311</v>
          </cell>
          <cell r="D2276" t="str">
            <v>8014S</v>
          </cell>
          <cell r="E2276" t="str">
            <v>UNIVERSAL RADIO CASE BLK W/SWIVEL</v>
          </cell>
          <cell r="F2276" t="str">
            <v>BN-POUCH</v>
          </cell>
          <cell r="G2276" t="str">
            <v>1420-210-FG</v>
          </cell>
          <cell r="H2276" t="str">
            <v>R</v>
          </cell>
          <cell r="I2276" t="str">
            <v>06/11/2024</v>
          </cell>
          <cell r="J2276" t="str">
            <v>06/11/2024</v>
          </cell>
          <cell r="K2276" t="str">
            <v>06/25/2024</v>
          </cell>
          <cell r="L2276">
            <v>25</v>
          </cell>
          <cell r="M2276" t="str">
            <v>6/11/2024 2:58:28 PM</v>
          </cell>
          <cell r="N2276" t="str">
            <v>26</v>
          </cell>
          <cell r="O2276">
            <v>25</v>
          </cell>
          <cell r="P2276">
            <v>8.01</v>
          </cell>
        </row>
        <row r="2277">
          <cell r="A2277" t="str">
            <v>6727921</v>
          </cell>
          <cell r="B2277" t="str">
            <v>1018244</v>
          </cell>
          <cell r="C2277" t="str">
            <v>31311</v>
          </cell>
          <cell r="D2277" t="str">
            <v>8014S</v>
          </cell>
          <cell r="E2277" t="str">
            <v>UNIVERSAL RADIO CASE BLK W/SWIVEL</v>
          </cell>
          <cell r="F2277" t="str">
            <v>BN-POUCH</v>
          </cell>
          <cell r="G2277" t="str">
            <v>1420-210-FG</v>
          </cell>
          <cell r="H2277" t="str">
            <v>R</v>
          </cell>
          <cell r="I2277" t="str">
            <v>06/11/2024</v>
          </cell>
          <cell r="J2277" t="str">
            <v>06/11/2024</v>
          </cell>
          <cell r="K2277" t="str">
            <v>06/25/2024</v>
          </cell>
          <cell r="L2277">
            <v>25</v>
          </cell>
          <cell r="M2277" t="str">
            <v>6/11/2024 2:58:28 PM</v>
          </cell>
          <cell r="N2277" t="str">
            <v>26</v>
          </cell>
          <cell r="O2277">
            <v>25</v>
          </cell>
          <cell r="P2277">
            <v>8.01</v>
          </cell>
        </row>
        <row r="2278">
          <cell r="A2278" t="str">
            <v>6727929</v>
          </cell>
          <cell r="B2278" t="str">
            <v>1018244</v>
          </cell>
          <cell r="C2278" t="str">
            <v>31311</v>
          </cell>
          <cell r="D2278" t="str">
            <v>8014S</v>
          </cell>
          <cell r="E2278" t="str">
            <v>UNIVERSAL RADIO CASE BLK W/SWIVEL</v>
          </cell>
          <cell r="F2278" t="str">
            <v>BN-POUCH</v>
          </cell>
          <cell r="G2278" t="str">
            <v>1420-210-FG</v>
          </cell>
          <cell r="H2278" t="str">
            <v>R</v>
          </cell>
          <cell r="I2278" t="str">
            <v>06/11/2024</v>
          </cell>
          <cell r="J2278" t="str">
            <v>06/11/2024</v>
          </cell>
          <cell r="K2278" t="str">
            <v>06/25/2024</v>
          </cell>
          <cell r="L2278">
            <v>25</v>
          </cell>
          <cell r="M2278" t="str">
            <v>6/11/2024 2:58:28 PM</v>
          </cell>
          <cell r="N2278" t="str">
            <v>26</v>
          </cell>
          <cell r="O2278">
            <v>25</v>
          </cell>
          <cell r="P2278">
            <v>8.01</v>
          </cell>
        </row>
        <row r="2279">
          <cell r="A2279" t="str">
            <v>6727939</v>
          </cell>
          <cell r="B2279" t="str">
            <v>1018244</v>
          </cell>
          <cell r="C2279" t="str">
            <v>31311</v>
          </cell>
          <cell r="D2279" t="str">
            <v>8014S</v>
          </cell>
          <cell r="E2279" t="str">
            <v>UNIVERSAL RADIO CASE BLK W/SWIVEL</v>
          </cell>
          <cell r="F2279" t="str">
            <v>BN-POUCH</v>
          </cell>
          <cell r="G2279" t="str">
            <v>1420-210-FG</v>
          </cell>
          <cell r="H2279" t="str">
            <v>R</v>
          </cell>
          <cell r="I2279" t="str">
            <v>06/11/2024</v>
          </cell>
          <cell r="J2279" t="str">
            <v>06/11/2024</v>
          </cell>
          <cell r="K2279" t="str">
            <v>06/25/2024</v>
          </cell>
          <cell r="L2279">
            <v>25</v>
          </cell>
          <cell r="M2279" t="str">
            <v>6/11/2024 2:58:28 PM</v>
          </cell>
          <cell r="N2279" t="str">
            <v>26</v>
          </cell>
          <cell r="O2279">
            <v>25</v>
          </cell>
          <cell r="P2279">
            <v>8.01</v>
          </cell>
        </row>
        <row r="2280">
          <cell r="A2280" t="str">
            <v>6727944</v>
          </cell>
          <cell r="B2280" t="str">
            <v>1018244</v>
          </cell>
          <cell r="C2280" t="str">
            <v>31311</v>
          </cell>
          <cell r="D2280" t="str">
            <v>8014S</v>
          </cell>
          <cell r="E2280" t="str">
            <v>UNIVERSAL RADIO CASE BLK W/SWIVEL</v>
          </cell>
          <cell r="F2280" t="str">
            <v>BN-POUCH</v>
          </cell>
          <cell r="G2280" t="str">
            <v>1420-210-FG</v>
          </cell>
          <cell r="H2280" t="str">
            <v>R</v>
          </cell>
          <cell r="I2280" t="str">
            <v>06/11/2024</v>
          </cell>
          <cell r="J2280" t="str">
            <v>06/11/2024</v>
          </cell>
          <cell r="K2280" t="str">
            <v>06/25/2024</v>
          </cell>
          <cell r="L2280">
            <v>25</v>
          </cell>
          <cell r="M2280" t="str">
            <v>6/11/2024 2:58:28 PM</v>
          </cell>
          <cell r="N2280" t="str">
            <v>26</v>
          </cell>
          <cell r="O2280">
            <v>25</v>
          </cell>
          <cell r="P2280">
            <v>8.01</v>
          </cell>
        </row>
        <row r="2281">
          <cell r="A2281" t="str">
            <v>6727951</v>
          </cell>
          <cell r="B2281" t="str">
            <v>1018244</v>
          </cell>
          <cell r="C2281" t="str">
            <v>31311</v>
          </cell>
          <cell r="D2281" t="str">
            <v>8014S</v>
          </cell>
          <cell r="E2281" t="str">
            <v>UNIVERSAL RADIO CASE BLK W/SWIVEL</v>
          </cell>
          <cell r="F2281" t="str">
            <v>BN-POUCH</v>
          </cell>
          <cell r="G2281" t="str">
            <v>1420-210-FG</v>
          </cell>
          <cell r="H2281" t="str">
            <v>R</v>
          </cell>
          <cell r="I2281" t="str">
            <v>06/11/2024</v>
          </cell>
          <cell r="J2281" t="str">
            <v>06/11/2024</v>
          </cell>
          <cell r="K2281" t="str">
            <v>06/25/2024</v>
          </cell>
          <cell r="L2281">
            <v>25</v>
          </cell>
          <cell r="M2281" t="str">
            <v>6/11/2024 2:58:28 PM</v>
          </cell>
          <cell r="N2281" t="str">
            <v>26</v>
          </cell>
          <cell r="O2281">
            <v>25</v>
          </cell>
          <cell r="P2281">
            <v>8.01</v>
          </cell>
        </row>
        <row r="2282">
          <cell r="A2282" t="str">
            <v>6727957</v>
          </cell>
          <cell r="B2282" t="str">
            <v>1018244</v>
          </cell>
          <cell r="C2282" t="str">
            <v>31311</v>
          </cell>
          <cell r="D2282" t="str">
            <v>8014S</v>
          </cell>
          <cell r="E2282" t="str">
            <v>UNIVERSAL RADIO CASE BLK W/SWIVEL</v>
          </cell>
          <cell r="F2282" t="str">
            <v>BN-POUCH</v>
          </cell>
          <cell r="G2282" t="str">
            <v>1420-210-FG</v>
          </cell>
          <cell r="H2282" t="str">
            <v>R</v>
          </cell>
          <cell r="I2282" t="str">
            <v>06/11/2024</v>
          </cell>
          <cell r="J2282" t="str">
            <v>06/11/2024</v>
          </cell>
          <cell r="K2282" t="str">
            <v>06/25/2024</v>
          </cell>
          <cell r="L2282">
            <v>25</v>
          </cell>
          <cell r="M2282" t="str">
            <v>6/11/2024 2:58:28 PM</v>
          </cell>
          <cell r="N2282" t="str">
            <v>26</v>
          </cell>
          <cell r="O2282">
            <v>25</v>
          </cell>
          <cell r="P2282">
            <v>8.01</v>
          </cell>
        </row>
        <row r="2283">
          <cell r="A2283" t="str">
            <v>6727770</v>
          </cell>
          <cell r="B2283" t="str">
            <v>1016230</v>
          </cell>
          <cell r="C2283" t="str">
            <v>18521</v>
          </cell>
          <cell r="D2283" t="str">
            <v>7314S</v>
          </cell>
          <cell r="E2283" t="str">
            <v>UNIVERSAL RADIO HOLDER WITH SWIVEL BLK</v>
          </cell>
          <cell r="F2283" t="str">
            <v>BN-POUCH</v>
          </cell>
          <cell r="G2283" t="str">
            <v>1420-210-FG</v>
          </cell>
          <cell r="H2283" t="str">
            <v>R</v>
          </cell>
          <cell r="I2283" t="str">
            <v>06/11/2024</v>
          </cell>
          <cell r="J2283" t="str">
            <v>06/11/2024</v>
          </cell>
          <cell r="K2283" t="str">
            <v>06/25/2024</v>
          </cell>
          <cell r="L2283">
            <v>100</v>
          </cell>
          <cell r="M2283" t="str">
            <v>6/11/2024 2:58:28 PM</v>
          </cell>
          <cell r="N2283" t="str">
            <v>26</v>
          </cell>
          <cell r="O2283">
            <v>100</v>
          </cell>
          <cell r="P2283">
            <v>32</v>
          </cell>
        </row>
        <row r="2284">
          <cell r="A2284" t="str">
            <v>6727771</v>
          </cell>
          <cell r="B2284" t="str">
            <v>1016230</v>
          </cell>
          <cell r="C2284" t="str">
            <v>18521</v>
          </cell>
          <cell r="D2284" t="str">
            <v>7314S</v>
          </cell>
          <cell r="E2284" t="str">
            <v>UNIVERSAL RADIO HOLDER WITH SWIVEL BLK</v>
          </cell>
          <cell r="F2284" t="str">
            <v>BN-POUCH</v>
          </cell>
          <cell r="G2284" t="str">
            <v>1420-210-FG</v>
          </cell>
          <cell r="H2284" t="str">
            <v>R</v>
          </cell>
          <cell r="I2284" t="str">
            <v>06/11/2024</v>
          </cell>
          <cell r="J2284" t="str">
            <v>06/11/2024</v>
          </cell>
          <cell r="K2284" t="str">
            <v>06/25/2024</v>
          </cell>
          <cell r="L2284">
            <v>100</v>
          </cell>
          <cell r="M2284" t="str">
            <v>6/11/2024 2:58:28 PM</v>
          </cell>
          <cell r="N2284" t="str">
            <v>26</v>
          </cell>
          <cell r="O2284">
            <v>100</v>
          </cell>
          <cell r="P2284">
            <v>32</v>
          </cell>
        </row>
        <row r="2285">
          <cell r="A2285" t="str">
            <v>6727772</v>
          </cell>
          <cell r="B2285" t="str">
            <v>1016230</v>
          </cell>
          <cell r="C2285" t="str">
            <v>18521</v>
          </cell>
          <cell r="D2285" t="str">
            <v>7314S</v>
          </cell>
          <cell r="E2285" t="str">
            <v>UNIVERSAL RADIO HOLDER WITH SWIVEL BLK</v>
          </cell>
          <cell r="F2285" t="str">
            <v>BN-POUCH</v>
          </cell>
          <cell r="G2285" t="str">
            <v>1420-210-FG</v>
          </cell>
          <cell r="H2285" t="str">
            <v>R</v>
          </cell>
          <cell r="I2285" t="str">
            <v>06/11/2024</v>
          </cell>
          <cell r="J2285" t="str">
            <v>06/11/2024</v>
          </cell>
          <cell r="K2285" t="str">
            <v>06/25/2024</v>
          </cell>
          <cell r="L2285">
            <v>100</v>
          </cell>
          <cell r="M2285" t="str">
            <v>6/11/2024 2:58:28 PM</v>
          </cell>
          <cell r="N2285" t="str">
            <v>26</v>
          </cell>
          <cell r="O2285">
            <v>100</v>
          </cell>
          <cell r="P2285">
            <v>32</v>
          </cell>
        </row>
        <row r="2286">
          <cell r="A2286" t="str">
            <v>6727573</v>
          </cell>
          <cell r="B2286" t="str">
            <v>1017314</v>
          </cell>
          <cell r="C2286" t="str">
            <v>22112</v>
          </cell>
          <cell r="D2286" t="str">
            <v>7914S</v>
          </cell>
          <cell r="E2286" t="str">
            <v>UNIVERSAL RADIO HOLDER WITH SWIVEL PLN B</v>
          </cell>
          <cell r="F2286" t="str">
            <v>BN-POUCH</v>
          </cell>
          <cell r="G2286" t="str">
            <v>1420-210-FG</v>
          </cell>
          <cell r="H2286" t="str">
            <v>R</v>
          </cell>
          <cell r="I2286" t="str">
            <v>06/11/2024</v>
          </cell>
          <cell r="J2286" t="str">
            <v>06/11/2024</v>
          </cell>
          <cell r="K2286" t="str">
            <v>06/25/2024</v>
          </cell>
          <cell r="L2286">
            <v>50</v>
          </cell>
          <cell r="M2286" t="str">
            <v>6/11/2024 3:26:27 PM</v>
          </cell>
          <cell r="N2286" t="str">
            <v>26</v>
          </cell>
          <cell r="O2286">
            <v>50</v>
          </cell>
          <cell r="P2286">
            <v>16.36</v>
          </cell>
        </row>
        <row r="2287">
          <cell r="A2287" t="str">
            <v>6728283</v>
          </cell>
          <cell r="B2287" t="str">
            <v>1015871</v>
          </cell>
          <cell r="C2287" t="str">
            <v>15487</v>
          </cell>
          <cell r="D2287" t="str">
            <v>6</v>
          </cell>
          <cell r="E2287" t="str">
            <v>WAISTBAND LH COLT GOVT .45/9MM/10MM/.40</v>
          </cell>
          <cell r="F2287" t="str">
            <v>BN-LEATHER</v>
          </cell>
          <cell r="G2287" t="str">
            <v>1420-210-FG</v>
          </cell>
          <cell r="H2287" t="str">
            <v>R</v>
          </cell>
          <cell r="I2287" t="str">
            <v>06/11/2024</v>
          </cell>
          <cell r="J2287" t="str">
            <v>06/11/2024</v>
          </cell>
          <cell r="K2287" t="str">
            <v>06/25/2024</v>
          </cell>
          <cell r="L2287">
            <v>1</v>
          </cell>
          <cell r="M2287" t="str">
            <v>6/11/2024 2:54:07 PM</v>
          </cell>
          <cell r="N2287" t="str">
            <v>26</v>
          </cell>
          <cell r="O2287">
            <v>1</v>
          </cell>
          <cell r="P2287">
            <v>0.13</v>
          </cell>
        </row>
        <row r="2288">
          <cell r="A2288" t="str">
            <v>6728849</v>
          </cell>
          <cell r="B2288" t="str">
            <v>1112476</v>
          </cell>
          <cell r="C2288" t="str">
            <v>030-44-2</v>
          </cell>
          <cell r="D2288" t="str">
            <v>030</v>
          </cell>
          <cell r="E2288" t="str">
            <v>030 UNDR BLT BUCKLESS SZ44 PLN BLK</v>
          </cell>
          <cell r="F2288" t="str">
            <v>DG-BELT</v>
          </cell>
          <cell r="G2288" t="str">
            <v>1420-210-FG</v>
          </cell>
          <cell r="H2288" t="str">
            <v>R</v>
          </cell>
          <cell r="I2288" t="str">
            <v>06/13/2024</v>
          </cell>
          <cell r="J2288" t="str">
            <v>06/13/2024</v>
          </cell>
          <cell r="K2288" t="str">
            <v>06/26/2024</v>
          </cell>
          <cell r="L2288">
            <v>5</v>
          </cell>
          <cell r="M2288" t="str">
            <v>6/13/2024 12:33:50 PM</v>
          </cell>
          <cell r="N2288" t="str">
            <v>26</v>
          </cell>
          <cell r="O2288">
            <v>5</v>
          </cell>
          <cell r="P2288">
            <v>0.96</v>
          </cell>
        </row>
        <row r="2289">
          <cell r="A2289" t="str">
            <v>6727496</v>
          </cell>
          <cell r="B2289" t="str">
            <v>1192551</v>
          </cell>
          <cell r="C2289" t="str">
            <v>6004-8-131-MS22RC</v>
          </cell>
          <cell r="D2289" t="str">
            <v>6004</v>
          </cell>
          <cell r="E2289" t="str">
            <v>6004 MOLLE ADTR STX TAC BLK RH</v>
          </cell>
          <cell r="F2289" t="str">
            <v>DG-POUCH-F2-F3</v>
          </cell>
          <cell r="G2289" t="str">
            <v>1420-210-FG</v>
          </cell>
          <cell r="H2289" t="str">
            <v>R</v>
          </cell>
          <cell r="I2289" t="str">
            <v>06/11/2024</v>
          </cell>
          <cell r="J2289" t="str">
            <v>06/12/2024</v>
          </cell>
          <cell r="K2289" t="str">
            <v>06/26/2024</v>
          </cell>
          <cell r="L2289">
            <v>50</v>
          </cell>
          <cell r="M2289" t="str">
            <v>6/11/2024 9:11:28 AM</v>
          </cell>
          <cell r="N2289" t="str">
            <v>26</v>
          </cell>
          <cell r="O2289">
            <v>50</v>
          </cell>
          <cell r="P2289">
            <v>5.4</v>
          </cell>
        </row>
        <row r="2290">
          <cell r="A2290" t="str">
            <v>6727497</v>
          </cell>
          <cell r="B2290" t="str">
            <v>1192551</v>
          </cell>
          <cell r="C2290" t="str">
            <v>6004-8-131-MS22RC</v>
          </cell>
          <cell r="D2290" t="str">
            <v>6004</v>
          </cell>
          <cell r="E2290" t="str">
            <v>6004 MOLLE ADTR STX TAC BLK RH</v>
          </cell>
          <cell r="F2290" t="str">
            <v>DG-POUCH-F2-F3</v>
          </cell>
          <cell r="G2290" t="str">
            <v>1420-210-FG</v>
          </cell>
          <cell r="H2290" t="str">
            <v>R</v>
          </cell>
          <cell r="I2290" t="str">
            <v>06/11/2024</v>
          </cell>
          <cell r="J2290" t="str">
            <v>06/12/2024</v>
          </cell>
          <cell r="K2290" t="str">
            <v>06/26/2024</v>
          </cell>
          <cell r="L2290">
            <v>50</v>
          </cell>
          <cell r="M2290" t="str">
            <v>6/11/2024 9:11:28 AM</v>
          </cell>
          <cell r="N2290" t="str">
            <v>26</v>
          </cell>
          <cell r="O2290">
            <v>50</v>
          </cell>
          <cell r="P2290">
            <v>5.4</v>
          </cell>
        </row>
        <row r="2291">
          <cell r="A2291" t="str">
            <v>6727498</v>
          </cell>
          <cell r="B2291" t="str">
            <v>1192551</v>
          </cell>
          <cell r="C2291" t="str">
            <v>6004-8-131-MS22RC</v>
          </cell>
          <cell r="D2291" t="str">
            <v>6004</v>
          </cell>
          <cell r="E2291" t="str">
            <v>6004 MOLLE ADTR STX TAC BLK RH</v>
          </cell>
          <cell r="F2291" t="str">
            <v>DG-POUCH-F2-F3</v>
          </cell>
          <cell r="G2291" t="str">
            <v>1420-210-FG</v>
          </cell>
          <cell r="H2291" t="str">
            <v>R</v>
          </cell>
          <cell r="I2291" t="str">
            <v>06/11/2024</v>
          </cell>
          <cell r="J2291" t="str">
            <v>06/12/2024</v>
          </cell>
          <cell r="K2291" t="str">
            <v>06/26/2024</v>
          </cell>
          <cell r="L2291">
            <v>50</v>
          </cell>
          <cell r="M2291" t="str">
            <v>6/11/2024 9:11:28 AM</v>
          </cell>
          <cell r="N2291" t="str">
            <v>26</v>
          </cell>
          <cell r="O2291">
            <v>50</v>
          </cell>
          <cell r="P2291">
            <v>5.4</v>
          </cell>
        </row>
        <row r="2292">
          <cell r="A2292" t="str">
            <v>6727499</v>
          </cell>
          <cell r="B2292" t="str">
            <v>1192551</v>
          </cell>
          <cell r="C2292" t="str">
            <v>6004-8-131-MS22RC</v>
          </cell>
          <cell r="D2292" t="str">
            <v>6004</v>
          </cell>
          <cell r="E2292" t="str">
            <v>6004 MOLLE ADTR STX TAC BLK RH</v>
          </cell>
          <cell r="F2292" t="str">
            <v>DG-POUCH-F2-F3</v>
          </cell>
          <cell r="G2292" t="str">
            <v>1420-210-FG</v>
          </cell>
          <cell r="H2292" t="str">
            <v>R</v>
          </cell>
          <cell r="I2292" t="str">
            <v>06/11/2024</v>
          </cell>
          <cell r="J2292" t="str">
            <v>06/12/2024</v>
          </cell>
          <cell r="K2292" t="str">
            <v>06/26/2024</v>
          </cell>
          <cell r="L2292">
            <v>50</v>
          </cell>
          <cell r="M2292" t="str">
            <v>6/11/2024 9:11:28 AM</v>
          </cell>
          <cell r="N2292" t="str">
            <v>26</v>
          </cell>
          <cell r="O2292">
            <v>50</v>
          </cell>
          <cell r="P2292">
            <v>5.4</v>
          </cell>
        </row>
        <row r="2293">
          <cell r="A2293" t="str">
            <v>6727500</v>
          </cell>
          <cell r="B2293" t="str">
            <v>1192551</v>
          </cell>
          <cell r="C2293" t="str">
            <v>6004-8-131-MS22RC</v>
          </cell>
          <cell r="D2293" t="str">
            <v>6004</v>
          </cell>
          <cell r="E2293" t="str">
            <v>6004 MOLLE ADTR STX TAC BLK RH</v>
          </cell>
          <cell r="F2293" t="str">
            <v>DG-POUCH-F2-F3</v>
          </cell>
          <cell r="G2293" t="str">
            <v>1420-210-FG</v>
          </cell>
          <cell r="H2293" t="str">
            <v>R</v>
          </cell>
          <cell r="I2293" t="str">
            <v>06/11/2024</v>
          </cell>
          <cell r="J2293" t="str">
            <v>06/12/2024</v>
          </cell>
          <cell r="K2293" t="str">
            <v>06/26/2024</v>
          </cell>
          <cell r="L2293">
            <v>50</v>
          </cell>
          <cell r="M2293" t="str">
            <v>6/11/2024 9:11:28 AM</v>
          </cell>
          <cell r="N2293" t="str">
            <v>26</v>
          </cell>
          <cell r="O2293">
            <v>50</v>
          </cell>
          <cell r="P2293">
            <v>5.4</v>
          </cell>
        </row>
        <row r="2294">
          <cell r="A2294" t="str">
            <v>6727501</v>
          </cell>
          <cell r="B2294" t="str">
            <v>1192551</v>
          </cell>
          <cell r="C2294" t="str">
            <v>6004-8-131-MS22RC</v>
          </cell>
          <cell r="D2294" t="str">
            <v>6004</v>
          </cell>
          <cell r="E2294" t="str">
            <v>6004 MOLLE ADTR STX TAC BLK RH</v>
          </cell>
          <cell r="F2294" t="str">
            <v>DG-POUCH-F2-F3</v>
          </cell>
          <cell r="G2294" t="str">
            <v>1420-210-FG</v>
          </cell>
          <cell r="H2294" t="str">
            <v>R</v>
          </cell>
          <cell r="I2294" t="str">
            <v>06/11/2024</v>
          </cell>
          <cell r="J2294" t="str">
            <v>06/12/2024</v>
          </cell>
          <cell r="K2294" t="str">
            <v>06/26/2024</v>
          </cell>
          <cell r="L2294">
            <v>50</v>
          </cell>
          <cell r="M2294" t="str">
            <v>6/11/2024 9:11:28 AM</v>
          </cell>
          <cell r="N2294" t="str">
            <v>26</v>
          </cell>
          <cell r="O2294">
            <v>50</v>
          </cell>
          <cell r="P2294">
            <v>5.4</v>
          </cell>
        </row>
        <row r="2295">
          <cell r="A2295" t="str">
            <v>6727503</v>
          </cell>
          <cell r="B2295" t="str">
            <v>1192551</v>
          </cell>
          <cell r="C2295" t="str">
            <v>6004-8-131-MS22RC</v>
          </cell>
          <cell r="D2295" t="str">
            <v>6004</v>
          </cell>
          <cell r="E2295" t="str">
            <v>6004 MOLLE ADTR STX TAC BLK RH</v>
          </cell>
          <cell r="F2295" t="str">
            <v>DG-POUCH-F2-F3</v>
          </cell>
          <cell r="G2295" t="str">
            <v>1420-210-FG</v>
          </cell>
          <cell r="H2295" t="str">
            <v>R</v>
          </cell>
          <cell r="I2295" t="str">
            <v>06/11/2024</v>
          </cell>
          <cell r="J2295" t="str">
            <v>06/12/2024</v>
          </cell>
          <cell r="K2295" t="str">
            <v>06/26/2024</v>
          </cell>
          <cell r="L2295">
            <v>50</v>
          </cell>
          <cell r="M2295" t="str">
            <v>6/11/2024 9:11:28 AM</v>
          </cell>
          <cell r="N2295" t="str">
            <v>26</v>
          </cell>
          <cell r="O2295">
            <v>50</v>
          </cell>
          <cell r="P2295">
            <v>5.4</v>
          </cell>
        </row>
        <row r="2296">
          <cell r="A2296" t="str">
            <v>6727504</v>
          </cell>
          <cell r="B2296" t="str">
            <v>1192551</v>
          </cell>
          <cell r="C2296" t="str">
            <v>6004-8-131-MS22RC</v>
          </cell>
          <cell r="D2296" t="str">
            <v>6004</v>
          </cell>
          <cell r="E2296" t="str">
            <v>6004 MOLLE ADTR STX TAC BLK RH</v>
          </cell>
          <cell r="F2296" t="str">
            <v>DG-POUCH-F2-F3</v>
          </cell>
          <cell r="G2296" t="str">
            <v>1420-210-FG</v>
          </cell>
          <cell r="H2296" t="str">
            <v>R</v>
          </cell>
          <cell r="I2296" t="str">
            <v>06/11/2024</v>
          </cell>
          <cell r="J2296" t="str">
            <v>06/12/2024</v>
          </cell>
          <cell r="K2296" t="str">
            <v>06/26/2024</v>
          </cell>
          <cell r="L2296">
            <v>50</v>
          </cell>
          <cell r="M2296" t="str">
            <v>6/11/2024 9:11:28 AM</v>
          </cell>
          <cell r="N2296" t="str">
            <v>26</v>
          </cell>
          <cell r="O2296">
            <v>50</v>
          </cell>
          <cell r="P2296">
            <v>5.4</v>
          </cell>
        </row>
        <row r="2297">
          <cell r="A2297" t="str">
            <v>6727507</v>
          </cell>
          <cell r="B2297" t="str">
            <v>1192551</v>
          </cell>
          <cell r="C2297" t="str">
            <v>6004-8-131-MS22RC</v>
          </cell>
          <cell r="D2297" t="str">
            <v>6004</v>
          </cell>
          <cell r="E2297" t="str">
            <v>6004 MOLLE ADTR STX TAC BLK RH</v>
          </cell>
          <cell r="F2297" t="str">
            <v>DG-POUCH-F2-F3</v>
          </cell>
          <cell r="G2297" t="str">
            <v>1420-210-FG</v>
          </cell>
          <cell r="H2297" t="str">
            <v>R</v>
          </cell>
          <cell r="I2297" t="str">
            <v>06/11/2024</v>
          </cell>
          <cell r="J2297" t="str">
            <v>06/12/2024</v>
          </cell>
          <cell r="K2297" t="str">
            <v>06/26/2024</v>
          </cell>
          <cell r="L2297">
            <v>50</v>
          </cell>
          <cell r="M2297" t="str">
            <v>6/11/2024 9:11:28 AM</v>
          </cell>
          <cell r="N2297" t="str">
            <v>26</v>
          </cell>
          <cell r="O2297">
            <v>50</v>
          </cell>
          <cell r="P2297">
            <v>5.4</v>
          </cell>
        </row>
        <row r="2298">
          <cell r="A2298" t="str">
            <v>6727509</v>
          </cell>
          <cell r="B2298" t="str">
            <v>1192551</v>
          </cell>
          <cell r="C2298" t="str">
            <v>6004-8-131-MS22RC</v>
          </cell>
          <cell r="D2298" t="str">
            <v>6004</v>
          </cell>
          <cell r="E2298" t="str">
            <v>6004 MOLLE ADTR STX TAC BLK RH</v>
          </cell>
          <cell r="F2298" t="str">
            <v>DG-POUCH-F2-F3</v>
          </cell>
          <cell r="G2298" t="str">
            <v>1420-210-FG</v>
          </cell>
          <cell r="H2298" t="str">
            <v>R</v>
          </cell>
          <cell r="I2298" t="str">
            <v>06/11/2024</v>
          </cell>
          <cell r="J2298" t="str">
            <v>06/12/2024</v>
          </cell>
          <cell r="K2298" t="str">
            <v>06/26/2024</v>
          </cell>
          <cell r="L2298">
            <v>50</v>
          </cell>
          <cell r="M2298" t="str">
            <v>6/11/2024 9:11:28 AM</v>
          </cell>
          <cell r="N2298" t="str">
            <v>26</v>
          </cell>
          <cell r="O2298">
            <v>50</v>
          </cell>
          <cell r="P2298">
            <v>5.4</v>
          </cell>
        </row>
        <row r="2299">
          <cell r="A2299" t="str">
            <v>6727514</v>
          </cell>
          <cell r="B2299" t="str">
            <v>1192551</v>
          </cell>
          <cell r="C2299" t="str">
            <v>6004-8-131-MS22RC</v>
          </cell>
          <cell r="D2299" t="str">
            <v>6004</v>
          </cell>
          <cell r="E2299" t="str">
            <v>6004 MOLLE ADTR STX TAC BLK RH</v>
          </cell>
          <cell r="F2299" t="str">
            <v>DG-POUCH-F2-F3</v>
          </cell>
          <cell r="G2299" t="str">
            <v>1420-210-FG</v>
          </cell>
          <cell r="H2299" t="str">
            <v>R</v>
          </cell>
          <cell r="I2299" t="str">
            <v>06/11/2024</v>
          </cell>
          <cell r="J2299" t="str">
            <v>06/12/2024</v>
          </cell>
          <cell r="K2299" t="str">
            <v>06/26/2024</v>
          </cell>
          <cell r="L2299">
            <v>50</v>
          </cell>
          <cell r="M2299" t="str">
            <v>6/11/2024 9:11:28 AM</v>
          </cell>
          <cell r="N2299" t="str">
            <v>26</v>
          </cell>
          <cell r="O2299">
            <v>50</v>
          </cell>
          <cell r="P2299">
            <v>5.4</v>
          </cell>
        </row>
        <row r="2300">
          <cell r="A2300" t="str">
            <v>6727530</v>
          </cell>
          <cell r="B2300" t="str">
            <v>1192551</v>
          </cell>
          <cell r="C2300" t="str">
            <v>6004-8-131-MS22RC</v>
          </cell>
          <cell r="D2300" t="str">
            <v>6004</v>
          </cell>
          <cell r="E2300" t="str">
            <v>6004 MOLLE ADTR STX TAC BLK RH</v>
          </cell>
          <cell r="F2300" t="str">
            <v>DG-POUCH-F2-F3</v>
          </cell>
          <cell r="G2300" t="str">
            <v>1420-210-FG</v>
          </cell>
          <cell r="H2300" t="str">
            <v>R</v>
          </cell>
          <cell r="I2300" t="str">
            <v>06/11/2024</v>
          </cell>
          <cell r="J2300" t="str">
            <v>06/12/2024</v>
          </cell>
          <cell r="K2300" t="str">
            <v>06/26/2024</v>
          </cell>
          <cell r="L2300">
            <v>50</v>
          </cell>
          <cell r="M2300" t="str">
            <v>6/11/2024 9:11:28 AM</v>
          </cell>
          <cell r="N2300" t="str">
            <v>26</v>
          </cell>
          <cell r="O2300">
            <v>50</v>
          </cell>
          <cell r="P2300">
            <v>5.4</v>
          </cell>
        </row>
        <row r="2301">
          <cell r="A2301" t="str">
            <v>6727532</v>
          </cell>
          <cell r="B2301" t="str">
            <v>1192551</v>
          </cell>
          <cell r="C2301" t="str">
            <v>6004-8-131-MS22RC</v>
          </cell>
          <cell r="D2301" t="str">
            <v>6004</v>
          </cell>
          <cell r="E2301" t="str">
            <v>6004 MOLLE ADTR STX TAC BLK RH</v>
          </cell>
          <cell r="F2301" t="str">
            <v>DG-POUCH-F2-F3</v>
          </cell>
          <cell r="G2301" t="str">
            <v>1420-210-FG</v>
          </cell>
          <cell r="H2301" t="str">
            <v>R</v>
          </cell>
          <cell r="I2301" t="str">
            <v>06/11/2024</v>
          </cell>
          <cell r="J2301" t="str">
            <v>06/12/2024</v>
          </cell>
          <cell r="K2301" t="str">
            <v>06/26/2024</v>
          </cell>
          <cell r="L2301">
            <v>50</v>
          </cell>
          <cell r="M2301" t="str">
            <v>6/11/2024 9:11:28 AM</v>
          </cell>
          <cell r="N2301" t="str">
            <v>26</v>
          </cell>
          <cell r="O2301">
            <v>50</v>
          </cell>
          <cell r="P2301">
            <v>5.4</v>
          </cell>
        </row>
        <row r="2302">
          <cell r="A2302" t="str">
            <v>6727535</v>
          </cell>
          <cell r="B2302" t="str">
            <v>1192551</v>
          </cell>
          <cell r="C2302" t="str">
            <v>6004-8-131-MS22RC</v>
          </cell>
          <cell r="D2302" t="str">
            <v>6004</v>
          </cell>
          <cell r="E2302" t="str">
            <v>6004 MOLLE ADTR STX TAC BLK RH</v>
          </cell>
          <cell r="F2302" t="str">
            <v>DG-POUCH-F2-F3</v>
          </cell>
          <cell r="G2302" t="str">
            <v>1420-210-FG</v>
          </cell>
          <cell r="H2302" t="str">
            <v>R</v>
          </cell>
          <cell r="I2302" t="str">
            <v>06/11/2024</v>
          </cell>
          <cell r="J2302" t="str">
            <v>06/12/2024</v>
          </cell>
          <cell r="K2302" t="str">
            <v>06/26/2024</v>
          </cell>
          <cell r="L2302">
            <v>50</v>
          </cell>
          <cell r="M2302" t="str">
            <v>6/11/2024 9:11:28 AM</v>
          </cell>
          <cell r="N2302" t="str">
            <v>26</v>
          </cell>
          <cell r="O2302">
            <v>50</v>
          </cell>
          <cell r="P2302">
            <v>5.4</v>
          </cell>
        </row>
        <row r="2303">
          <cell r="A2303" t="str">
            <v>6727541</v>
          </cell>
          <cell r="B2303" t="str">
            <v>1192551</v>
          </cell>
          <cell r="C2303" t="str">
            <v>6004-8-131-MS22RC</v>
          </cell>
          <cell r="D2303" t="str">
            <v>6004</v>
          </cell>
          <cell r="E2303" t="str">
            <v>6004 MOLLE ADTR STX TAC BLK RH</v>
          </cell>
          <cell r="F2303" t="str">
            <v>DG-POUCH-F2-F3</v>
          </cell>
          <cell r="G2303" t="str">
            <v>1420-210-FG</v>
          </cell>
          <cell r="H2303" t="str">
            <v>R</v>
          </cell>
          <cell r="I2303" t="str">
            <v>06/11/2024</v>
          </cell>
          <cell r="J2303" t="str">
            <v>06/12/2024</v>
          </cell>
          <cell r="K2303" t="str">
            <v>06/26/2024</v>
          </cell>
          <cell r="L2303">
            <v>50</v>
          </cell>
          <cell r="M2303" t="str">
            <v>6/11/2024 9:11:28 AM</v>
          </cell>
          <cell r="N2303" t="str">
            <v>26</v>
          </cell>
          <cell r="O2303">
            <v>50</v>
          </cell>
          <cell r="P2303">
            <v>5.4</v>
          </cell>
        </row>
        <row r="2304">
          <cell r="A2304" t="str">
            <v>6727544</v>
          </cell>
          <cell r="B2304" t="str">
            <v>1192551</v>
          </cell>
          <cell r="C2304" t="str">
            <v>6004-8-131-MS22RC</v>
          </cell>
          <cell r="D2304" t="str">
            <v>6004</v>
          </cell>
          <cell r="E2304" t="str">
            <v>6004 MOLLE ADTR STX TAC BLK RH</v>
          </cell>
          <cell r="F2304" t="str">
            <v>DG-POUCH-F2-F3</v>
          </cell>
          <cell r="G2304" t="str">
            <v>1420-210-FG</v>
          </cell>
          <cell r="H2304" t="str">
            <v>R</v>
          </cell>
          <cell r="I2304" t="str">
            <v>06/11/2024</v>
          </cell>
          <cell r="J2304" t="str">
            <v>06/12/2024</v>
          </cell>
          <cell r="K2304" t="str">
            <v>06/26/2024</v>
          </cell>
          <cell r="L2304">
            <v>50</v>
          </cell>
          <cell r="M2304" t="str">
            <v>6/11/2024 9:11:28 AM</v>
          </cell>
          <cell r="N2304" t="str">
            <v>26</v>
          </cell>
          <cell r="O2304">
            <v>50</v>
          </cell>
          <cell r="P2304">
            <v>5.4</v>
          </cell>
        </row>
        <row r="2305">
          <cell r="A2305" t="str">
            <v>6727546</v>
          </cell>
          <cell r="B2305" t="str">
            <v>1192551</v>
          </cell>
          <cell r="C2305" t="str">
            <v>6004-8-131-MS22RC</v>
          </cell>
          <cell r="D2305" t="str">
            <v>6004</v>
          </cell>
          <cell r="E2305" t="str">
            <v>6004 MOLLE ADTR STX TAC BLK RH</v>
          </cell>
          <cell r="F2305" t="str">
            <v>DG-POUCH-F2-F3</v>
          </cell>
          <cell r="G2305" t="str">
            <v>1420-210-FG</v>
          </cell>
          <cell r="H2305" t="str">
            <v>R</v>
          </cell>
          <cell r="I2305" t="str">
            <v>06/11/2024</v>
          </cell>
          <cell r="J2305" t="str">
            <v>06/12/2024</v>
          </cell>
          <cell r="K2305" t="str">
            <v>06/26/2024</v>
          </cell>
          <cell r="L2305">
            <v>50</v>
          </cell>
          <cell r="M2305" t="str">
            <v>6/11/2024 9:11:28 AM</v>
          </cell>
          <cell r="N2305" t="str">
            <v>26</v>
          </cell>
          <cell r="O2305">
            <v>50</v>
          </cell>
          <cell r="P2305">
            <v>5.4</v>
          </cell>
        </row>
        <row r="2306">
          <cell r="A2306" t="str">
            <v>6727548</v>
          </cell>
          <cell r="B2306" t="str">
            <v>1192551</v>
          </cell>
          <cell r="C2306" t="str">
            <v>6004-8-131-MS22RC</v>
          </cell>
          <cell r="D2306" t="str">
            <v>6004</v>
          </cell>
          <cell r="E2306" t="str">
            <v>6004 MOLLE ADTR STX TAC BLK RH</v>
          </cell>
          <cell r="F2306" t="str">
            <v>DG-POUCH-F2-F3</v>
          </cell>
          <cell r="G2306" t="str">
            <v>1420-210-FG</v>
          </cell>
          <cell r="H2306" t="str">
            <v>R</v>
          </cell>
          <cell r="I2306" t="str">
            <v>06/11/2024</v>
          </cell>
          <cell r="J2306" t="str">
            <v>06/12/2024</v>
          </cell>
          <cell r="K2306" t="str">
            <v>06/26/2024</v>
          </cell>
          <cell r="L2306">
            <v>50</v>
          </cell>
          <cell r="M2306" t="str">
            <v>6/11/2024 9:11:28 AM</v>
          </cell>
          <cell r="N2306" t="str">
            <v>26</v>
          </cell>
          <cell r="O2306">
            <v>50</v>
          </cell>
          <cell r="P2306">
            <v>5.4</v>
          </cell>
        </row>
        <row r="2307">
          <cell r="A2307" t="str">
            <v>6727552</v>
          </cell>
          <cell r="B2307" t="str">
            <v>1192551</v>
          </cell>
          <cell r="C2307" t="str">
            <v>6004-8-131-MS22RC</v>
          </cell>
          <cell r="D2307" t="str">
            <v>6004</v>
          </cell>
          <cell r="E2307" t="str">
            <v>6004 MOLLE ADTR STX TAC BLK RH</v>
          </cell>
          <cell r="F2307" t="str">
            <v>DG-POUCH-F2-F3</v>
          </cell>
          <cell r="G2307" t="str">
            <v>1420-210-FG</v>
          </cell>
          <cell r="H2307" t="str">
            <v>R</v>
          </cell>
          <cell r="I2307" t="str">
            <v>06/11/2024</v>
          </cell>
          <cell r="J2307" t="str">
            <v>06/12/2024</v>
          </cell>
          <cell r="K2307" t="str">
            <v>06/26/2024</v>
          </cell>
          <cell r="L2307">
            <v>50</v>
          </cell>
          <cell r="M2307" t="str">
            <v>6/11/2024 9:11:28 AM</v>
          </cell>
          <cell r="N2307" t="str">
            <v>26</v>
          </cell>
          <cell r="O2307">
            <v>50</v>
          </cell>
          <cell r="P2307">
            <v>5.4</v>
          </cell>
        </row>
        <row r="2308">
          <cell r="A2308" t="str">
            <v>6727564</v>
          </cell>
          <cell r="B2308" t="str">
            <v>1192551</v>
          </cell>
          <cell r="C2308" t="str">
            <v>6004-8-131-MS22RC</v>
          </cell>
          <cell r="D2308" t="str">
            <v>6004</v>
          </cell>
          <cell r="E2308" t="str">
            <v>6004 MOLLE ADTR STX TAC BLK RH</v>
          </cell>
          <cell r="F2308" t="str">
            <v>DG-POUCH-F2-F3</v>
          </cell>
          <cell r="G2308" t="str">
            <v>1420-210-FG</v>
          </cell>
          <cell r="H2308" t="str">
            <v>R</v>
          </cell>
          <cell r="I2308" t="str">
            <v>06/11/2024</v>
          </cell>
          <cell r="J2308" t="str">
            <v>06/12/2024</v>
          </cell>
          <cell r="K2308" t="str">
            <v>06/26/2024</v>
          </cell>
          <cell r="L2308">
            <v>50</v>
          </cell>
          <cell r="M2308" t="str">
            <v>6/11/2024 9:11:28 AM</v>
          </cell>
          <cell r="N2308" t="str">
            <v>26</v>
          </cell>
          <cell r="O2308">
            <v>50</v>
          </cell>
          <cell r="P2308">
            <v>5.4</v>
          </cell>
        </row>
        <row r="2309">
          <cell r="A2309" t="str">
            <v>6727884</v>
          </cell>
          <cell r="B2309" t="str">
            <v>1134058</v>
          </cell>
          <cell r="C2309" t="str">
            <v>6004-25-55</v>
          </cell>
          <cell r="D2309" t="str">
            <v>6004</v>
          </cell>
          <cell r="E2309" t="str">
            <v>6004 SNG LEG STRP W/DFA FDE</v>
          </cell>
          <cell r="F2309" t="str">
            <v>DG-HARNESS-DTC</v>
          </cell>
          <cell r="G2309" t="str">
            <v>1420-210-FG</v>
          </cell>
          <cell r="H2309" t="str">
            <v>F</v>
          </cell>
          <cell r="I2309" t="str">
            <v>06/11/2024</v>
          </cell>
          <cell r="J2309" t="str">
            <v>06/12/2024</v>
          </cell>
          <cell r="K2309" t="str">
            <v>06/26/2024</v>
          </cell>
          <cell r="L2309">
            <v>15</v>
          </cell>
          <cell r="M2309" t="str">
            <v/>
          </cell>
          <cell r="N2309" t="str">
            <v>26</v>
          </cell>
          <cell r="O2309">
            <v>15</v>
          </cell>
          <cell r="P2309">
            <v>1.05</v>
          </cell>
        </row>
        <row r="2310">
          <cell r="A2310" t="str">
            <v>6728872</v>
          </cell>
          <cell r="B2310" t="str">
            <v>1331944</v>
          </cell>
          <cell r="C2310" t="str">
            <v>6304RDS-2832-241-MS19</v>
          </cell>
          <cell r="D2310" t="str">
            <v>6304RDS</v>
          </cell>
          <cell r="E2310" t="str">
            <v>6304RDS GLOCK19MOS X300U CORD GREY RH</v>
          </cell>
          <cell r="F2310" t="str">
            <v>DG-HOLSTER-RDS-DTC</v>
          </cell>
          <cell r="G2310" t="str">
            <v>1420-210-FG</v>
          </cell>
          <cell r="H2310" t="str">
            <v>F</v>
          </cell>
          <cell r="I2310" t="str">
            <v>06/13/2024</v>
          </cell>
          <cell r="J2310" t="str">
            <v>06/13/2024</v>
          </cell>
          <cell r="K2310" t="str">
            <v>06/26/2024</v>
          </cell>
          <cell r="L2310">
            <v>5</v>
          </cell>
          <cell r="M2310" t="str">
            <v/>
          </cell>
          <cell r="N2310" t="str">
            <v>26</v>
          </cell>
          <cell r="O2310">
            <v>5</v>
          </cell>
          <cell r="P2310">
            <v>2</v>
          </cell>
        </row>
        <row r="2311">
          <cell r="A2311" t="str">
            <v>6728874</v>
          </cell>
          <cell r="B2311" t="str">
            <v>1335284</v>
          </cell>
          <cell r="C2311" t="str">
            <v>6354RDS-5932-E991-MS19</v>
          </cell>
          <cell r="D2311" t="str">
            <v>6354RDS</v>
          </cell>
          <cell r="E2311" t="str">
            <v>6354RDS H&amp;K VP9 X300U CR KTK HLD RH</v>
          </cell>
          <cell r="F2311" t="str">
            <v>DG-HOLSTER-RDS-DTC</v>
          </cell>
          <cell r="G2311" t="str">
            <v>1420-210-FG</v>
          </cell>
          <cell r="H2311" t="str">
            <v>F</v>
          </cell>
          <cell r="I2311" t="str">
            <v>06/13/2024</v>
          </cell>
          <cell r="J2311" t="str">
            <v>06/13/2024</v>
          </cell>
          <cell r="K2311" t="str">
            <v>06/26/2024</v>
          </cell>
          <cell r="L2311">
            <v>15</v>
          </cell>
          <cell r="M2311" t="str">
            <v/>
          </cell>
          <cell r="N2311" t="str">
            <v>26</v>
          </cell>
          <cell r="O2311">
            <v>15</v>
          </cell>
          <cell r="P2311">
            <v>6</v>
          </cell>
        </row>
        <row r="2312">
          <cell r="A2312" t="str">
            <v>6728175</v>
          </cell>
          <cell r="B2312" t="str">
            <v>1334866</v>
          </cell>
          <cell r="C2312" t="str">
            <v>6354RDSO-7502-741-MS19</v>
          </cell>
          <cell r="D2312" t="str">
            <v>6354RDSO</v>
          </cell>
          <cell r="E2312" t="str">
            <v>6354RDSO SIGP320CRX X300U COR CYTB RH</v>
          </cell>
          <cell r="F2312" t="str">
            <v>DG-HOLSTER-RDS</v>
          </cell>
          <cell r="G2312" t="str">
            <v>1420-210-FG</v>
          </cell>
          <cell r="H2312" t="str">
            <v>F</v>
          </cell>
          <cell r="I2312" t="str">
            <v>06/11/2024</v>
          </cell>
          <cell r="J2312" t="str">
            <v>06/12/2024</v>
          </cell>
          <cell r="K2312" t="str">
            <v>06/26/2024</v>
          </cell>
          <cell r="L2312">
            <v>5</v>
          </cell>
          <cell r="M2312" t="str">
            <v/>
          </cell>
          <cell r="N2312" t="str">
            <v>26</v>
          </cell>
          <cell r="O2312">
            <v>5</v>
          </cell>
          <cell r="P2312">
            <v>2.17</v>
          </cell>
        </row>
        <row r="2313">
          <cell r="A2313" t="str">
            <v>6728179</v>
          </cell>
          <cell r="B2313" t="str">
            <v>1201572</v>
          </cell>
          <cell r="C2313" t="str">
            <v>6360RDS-832-492</v>
          </cell>
          <cell r="D2313" t="str">
            <v>6360RDS</v>
          </cell>
          <cell r="E2313" t="str">
            <v>6360RDS GLOCK 17MOS X300U STX HGS BLK LH</v>
          </cell>
          <cell r="F2313" t="str">
            <v>DG-HOLSTER-RDS-DTC</v>
          </cell>
          <cell r="G2313" t="str">
            <v>1420-210-FG</v>
          </cell>
          <cell r="H2313" t="str">
            <v>F</v>
          </cell>
          <cell r="I2313" t="str">
            <v>06/11/2024</v>
          </cell>
          <cell r="J2313" t="str">
            <v>06/12/2024</v>
          </cell>
          <cell r="K2313" t="str">
            <v>06/26/2024</v>
          </cell>
          <cell r="L2313">
            <v>5</v>
          </cell>
          <cell r="M2313" t="str">
            <v/>
          </cell>
          <cell r="N2313" t="str">
            <v>26</v>
          </cell>
          <cell r="O2313">
            <v>5</v>
          </cell>
          <cell r="P2313">
            <v>2.17</v>
          </cell>
        </row>
        <row r="2314">
          <cell r="A2314" t="str">
            <v>6728866</v>
          </cell>
          <cell r="B2314" t="str">
            <v>1333819</v>
          </cell>
          <cell r="C2314" t="str">
            <v>6360RDS-8972-482</v>
          </cell>
          <cell r="D2314" t="str">
            <v>6360RDS</v>
          </cell>
          <cell r="E2314" t="str">
            <v>6360RDS GLOCK 47 X300U STX BSK BLK LH</v>
          </cell>
          <cell r="F2314" t="str">
            <v>DG-HOLSTER-RDS</v>
          </cell>
          <cell r="G2314" t="str">
            <v>1420-210-FG</v>
          </cell>
          <cell r="H2314" t="str">
            <v>F</v>
          </cell>
          <cell r="I2314" t="str">
            <v>06/13/2024</v>
          </cell>
          <cell r="J2314" t="str">
            <v>06/13/2024</v>
          </cell>
          <cell r="K2314" t="str">
            <v>06/26/2024</v>
          </cell>
          <cell r="L2314">
            <v>10</v>
          </cell>
          <cell r="M2314" t="str">
            <v/>
          </cell>
          <cell r="N2314" t="str">
            <v>26</v>
          </cell>
          <cell r="O2314">
            <v>10</v>
          </cell>
          <cell r="P2314">
            <v>4</v>
          </cell>
        </row>
        <row r="2315">
          <cell r="A2315" t="str">
            <v>6728865</v>
          </cell>
          <cell r="B2315" t="str">
            <v>1320163</v>
          </cell>
          <cell r="C2315" t="str">
            <v>6360RDS-8182-132</v>
          </cell>
          <cell r="D2315" t="str">
            <v>6360RDS</v>
          </cell>
          <cell r="E2315" t="str">
            <v>6360RDS MP 2.0 9MM X300U STX TAC BLK LH</v>
          </cell>
          <cell r="F2315" t="str">
            <v>DG-HOLSTER-RDS</v>
          </cell>
          <cell r="G2315" t="str">
            <v>1420-210-FG</v>
          </cell>
          <cell r="H2315" t="str">
            <v>F</v>
          </cell>
          <cell r="I2315" t="str">
            <v>06/13/2024</v>
          </cell>
          <cell r="J2315" t="str">
            <v>06/13/2024</v>
          </cell>
          <cell r="K2315" t="str">
            <v>06/26/2024</v>
          </cell>
          <cell r="L2315">
            <v>5</v>
          </cell>
          <cell r="M2315" t="str">
            <v/>
          </cell>
          <cell r="N2315" t="str">
            <v>26</v>
          </cell>
          <cell r="O2315">
            <v>5</v>
          </cell>
          <cell r="P2315">
            <v>2</v>
          </cell>
        </row>
        <row r="2316">
          <cell r="A2316" t="str">
            <v>6728202</v>
          </cell>
          <cell r="B2316" t="str">
            <v>1206346</v>
          </cell>
          <cell r="C2316" t="str">
            <v>6365RDS-2832-701</v>
          </cell>
          <cell r="D2316" t="str">
            <v>6365RDS</v>
          </cell>
          <cell r="E2316" t="str">
            <v>6365RDS GLOCK 19MOS X300U CORD MLTCM RH</v>
          </cell>
          <cell r="F2316" t="str">
            <v>DG-HOLSTER-RDS-DTC</v>
          </cell>
          <cell r="G2316" t="str">
            <v>1420-210-FG</v>
          </cell>
          <cell r="H2316" t="str">
            <v>F</v>
          </cell>
          <cell r="I2316" t="str">
            <v>06/11/2024</v>
          </cell>
          <cell r="J2316" t="str">
            <v>06/12/2024</v>
          </cell>
          <cell r="K2316" t="str">
            <v>06/26/2024</v>
          </cell>
          <cell r="L2316">
            <v>5</v>
          </cell>
          <cell r="M2316" t="str">
            <v/>
          </cell>
          <cell r="N2316" t="str">
            <v>26</v>
          </cell>
          <cell r="O2316">
            <v>5</v>
          </cell>
          <cell r="P2316">
            <v>2</v>
          </cell>
        </row>
        <row r="2317">
          <cell r="A2317" t="str">
            <v>6728857</v>
          </cell>
          <cell r="B2317" t="str">
            <v>1123781</v>
          </cell>
          <cell r="C2317" t="str">
            <v>6378-77-412</v>
          </cell>
          <cell r="D2317" t="str">
            <v>6378</v>
          </cell>
          <cell r="E2317" t="str">
            <v>6378 SIG P226 STX PLN BLK LH</v>
          </cell>
          <cell r="F2317" t="str">
            <v>DG-HOLSTER-DTC</v>
          </cell>
          <cell r="G2317" t="str">
            <v>1420-210-FG</v>
          </cell>
          <cell r="H2317" t="str">
            <v>F</v>
          </cell>
          <cell r="I2317" t="str">
            <v>06/13/2024</v>
          </cell>
          <cell r="J2317" t="str">
            <v>06/13/2024</v>
          </cell>
          <cell r="K2317" t="str">
            <v>06/26/2024</v>
          </cell>
          <cell r="L2317">
            <v>10</v>
          </cell>
          <cell r="M2317" t="str">
            <v/>
          </cell>
          <cell r="N2317" t="str">
            <v>26</v>
          </cell>
          <cell r="O2317">
            <v>10</v>
          </cell>
          <cell r="P2317">
            <v>4.17</v>
          </cell>
        </row>
        <row r="2318">
          <cell r="A2318" t="str">
            <v>6728858</v>
          </cell>
          <cell r="B2318" t="str">
            <v>1124453</v>
          </cell>
          <cell r="C2318" t="str">
            <v>6378-84-411</v>
          </cell>
          <cell r="D2318" t="str">
            <v>6378</v>
          </cell>
          <cell r="E2318" t="str">
            <v>6378 WALTHER P99 STX PLN BLK RH</v>
          </cell>
          <cell r="F2318" t="str">
            <v>DG-HOLSTER-DTC</v>
          </cell>
          <cell r="G2318" t="str">
            <v>1420-210-FG</v>
          </cell>
          <cell r="H2318" t="str">
            <v>F</v>
          </cell>
          <cell r="I2318" t="str">
            <v>06/13/2024</v>
          </cell>
          <cell r="J2318" t="str">
            <v>06/13/2024</v>
          </cell>
          <cell r="K2318" t="str">
            <v>06/26/2024</v>
          </cell>
          <cell r="L2318">
            <v>5</v>
          </cell>
          <cell r="M2318" t="str">
            <v/>
          </cell>
          <cell r="N2318" t="str">
            <v>26</v>
          </cell>
          <cell r="O2318">
            <v>5</v>
          </cell>
          <cell r="P2318">
            <v>2.09</v>
          </cell>
        </row>
        <row r="2319">
          <cell r="A2319" t="str">
            <v>6728604</v>
          </cell>
          <cell r="B2319" t="str">
            <v>1320218</v>
          </cell>
          <cell r="C2319" t="str">
            <v>637C-593BAY-61-50-AG-NP</v>
          </cell>
          <cell r="D2319" t="str">
            <v>637C</v>
          </cell>
          <cell r="E2319" t="str">
            <v>637C H&amp;K VP9 PLN BLK RH</v>
          </cell>
          <cell r="F2319" t="str">
            <v>DG-HOLSTER-SEW</v>
          </cell>
          <cell r="G2319" t="str">
            <v>1420-210-FG</v>
          </cell>
          <cell r="H2319" t="str">
            <v>F</v>
          </cell>
          <cell r="I2319" t="str">
            <v>06/12/2024</v>
          </cell>
          <cell r="J2319" t="str">
            <v>06/12/2024</v>
          </cell>
          <cell r="K2319" t="str">
            <v>06/26/2024</v>
          </cell>
          <cell r="L2319">
            <v>10</v>
          </cell>
          <cell r="M2319" t="str">
            <v/>
          </cell>
          <cell r="N2319" t="str">
            <v>26</v>
          </cell>
          <cell r="O2319">
            <v>10</v>
          </cell>
          <cell r="P2319">
            <v>4.5</v>
          </cell>
        </row>
        <row r="2320">
          <cell r="A2320" t="str">
            <v>6728704</v>
          </cell>
          <cell r="B2320" t="str">
            <v>1017378</v>
          </cell>
          <cell r="C2320" t="str">
            <v>22407</v>
          </cell>
          <cell r="D2320" t="str">
            <v>7225</v>
          </cell>
          <cell r="E2320" t="str">
            <v>7225 ERGOTEK DUTY BLT NYL BLK SZ 32-34</v>
          </cell>
          <cell r="F2320" t="str">
            <v>BN-BELT</v>
          </cell>
          <cell r="G2320" t="str">
            <v>1420-210-FG</v>
          </cell>
          <cell r="H2320" t="str">
            <v>F</v>
          </cell>
          <cell r="I2320" t="str">
            <v>06/12/2024</v>
          </cell>
          <cell r="J2320" t="str">
            <v>06/12/2024</v>
          </cell>
          <cell r="K2320" t="str">
            <v>06/26/2024</v>
          </cell>
          <cell r="L2320">
            <v>3</v>
          </cell>
          <cell r="M2320" t="str">
            <v/>
          </cell>
          <cell r="N2320" t="str">
            <v>26</v>
          </cell>
          <cell r="O2320">
            <v>3</v>
          </cell>
          <cell r="P2320">
            <v>0.42</v>
          </cell>
        </row>
        <row r="2321">
          <cell r="A2321" t="str">
            <v>6726161</v>
          </cell>
          <cell r="B2321" t="str">
            <v>1131803</v>
          </cell>
          <cell r="C2321" t="str">
            <v>73-383-48</v>
          </cell>
          <cell r="D2321" t="str">
            <v>73</v>
          </cell>
          <cell r="E2321" t="str">
            <v>73 GLOCK 20/21 STX BSK BLK</v>
          </cell>
          <cell r="F2321" t="str">
            <v>DG-POUCH-F1</v>
          </cell>
          <cell r="G2321" t="str">
            <v>1420-210-FG</v>
          </cell>
          <cell r="H2321" t="str">
            <v>R</v>
          </cell>
          <cell r="I2321" t="str">
            <v>06/07/2024</v>
          </cell>
          <cell r="J2321" t="str">
            <v>06/12/2024</v>
          </cell>
          <cell r="K2321" t="str">
            <v>06/26/2024</v>
          </cell>
          <cell r="L2321">
            <v>4</v>
          </cell>
          <cell r="M2321" t="str">
            <v>6/7/2024 11:44:04 AM</v>
          </cell>
          <cell r="N2321" t="str">
            <v>26</v>
          </cell>
          <cell r="O2321">
            <v>4</v>
          </cell>
          <cell r="P2321">
            <v>1.35</v>
          </cell>
        </row>
        <row r="2322">
          <cell r="A2322" t="str">
            <v>6728480</v>
          </cell>
          <cell r="B2322" t="str">
            <v>1015918</v>
          </cell>
          <cell r="C2322" t="str">
            <v>15635</v>
          </cell>
          <cell r="D2322" t="str">
            <v>7406</v>
          </cell>
          <cell r="E2322" t="str">
            <v>7406 BELT KEEPER ACU 4PK BLK SNAP 2.25IN</v>
          </cell>
          <cell r="F2322" t="str">
            <v>BN-KEEPER</v>
          </cell>
          <cell r="G2322" t="str">
            <v>1420-210-FG</v>
          </cell>
          <cell r="H2322" t="str">
            <v>R</v>
          </cell>
          <cell r="I2322" t="str">
            <v>06/11/2024</v>
          </cell>
          <cell r="J2322" t="str">
            <v>06/12/2024</v>
          </cell>
          <cell r="K2322" t="str">
            <v>06/26/2024</v>
          </cell>
          <cell r="L2322">
            <v>100</v>
          </cell>
          <cell r="M2322" t="str">
            <v>6/11/2024 2:48:28 PM</v>
          </cell>
          <cell r="N2322" t="str">
            <v>26</v>
          </cell>
          <cell r="O2322">
            <v>100</v>
          </cell>
          <cell r="P2322">
            <v>5.29</v>
          </cell>
        </row>
        <row r="2323">
          <cell r="A2323" t="str">
            <v>6728881</v>
          </cell>
          <cell r="B2323" t="str">
            <v>1149724</v>
          </cell>
          <cell r="C2323" t="str">
            <v>771-83-121-MS34</v>
          </cell>
          <cell r="D2323" t="str">
            <v>771</v>
          </cell>
          <cell r="E2323" t="str">
            <v>771 GLOCK 17/22 STX TAC BLK RH</v>
          </cell>
          <cell r="F2323" t="str">
            <v>DG-POUCH-F2-F3</v>
          </cell>
          <cell r="G2323" t="str">
            <v>1420-210-FG</v>
          </cell>
          <cell r="H2323" t="str">
            <v>F</v>
          </cell>
          <cell r="I2323" t="str">
            <v>06/13/2024</v>
          </cell>
          <cell r="J2323" t="str">
            <v>06/13/2024</v>
          </cell>
          <cell r="K2323" t="str">
            <v>06/26/2024</v>
          </cell>
          <cell r="L2323">
            <v>3</v>
          </cell>
          <cell r="M2323" t="str">
            <v/>
          </cell>
          <cell r="N2323" t="str">
            <v>26</v>
          </cell>
          <cell r="O2323">
            <v>3</v>
          </cell>
          <cell r="P2323">
            <v>0.92</v>
          </cell>
        </row>
        <row r="2324">
          <cell r="A2324" t="str">
            <v>6728481</v>
          </cell>
          <cell r="B2324" t="str">
            <v>1015846</v>
          </cell>
          <cell r="C2324" t="str">
            <v>14414</v>
          </cell>
          <cell r="D2324" t="str">
            <v>7404</v>
          </cell>
          <cell r="E2324" t="str">
            <v xml:space="preserve">BATON HOLDER BLACK </v>
          </cell>
          <cell r="F2324" t="str">
            <v>BN-KEEPER</v>
          </cell>
          <cell r="G2324" t="str">
            <v>1420-210-FG</v>
          </cell>
          <cell r="H2324" t="str">
            <v>R</v>
          </cell>
          <cell r="I2324" t="str">
            <v>06/11/2024</v>
          </cell>
          <cell r="J2324" t="str">
            <v>06/12/2024</v>
          </cell>
          <cell r="K2324" t="str">
            <v>06/26/2024</v>
          </cell>
          <cell r="L2324">
            <v>100</v>
          </cell>
          <cell r="M2324" t="str">
            <v>6/11/2024 2:48:28 PM</v>
          </cell>
          <cell r="N2324" t="str">
            <v>26</v>
          </cell>
          <cell r="O2324">
            <v>100</v>
          </cell>
          <cell r="P2324">
            <v>3.2</v>
          </cell>
        </row>
        <row r="2325">
          <cell r="A2325" t="str">
            <v>6728706</v>
          </cell>
          <cell r="B2325" t="str">
            <v>1150266</v>
          </cell>
          <cell r="C2325" t="str">
            <v>25236</v>
          </cell>
          <cell r="D2325" t="str">
            <v>5</v>
          </cell>
          <cell r="E2325" t="str">
            <v>BLACK WIDOW BLK RH SZ 24A TAURUS JUDGE</v>
          </cell>
          <cell r="F2325" t="str">
            <v>BN-LEATHER</v>
          </cell>
          <cell r="G2325" t="str">
            <v>1420-210-FG</v>
          </cell>
          <cell r="H2325" t="str">
            <v>R</v>
          </cell>
          <cell r="I2325" t="str">
            <v>06/12/2024</v>
          </cell>
          <cell r="J2325" t="str">
            <v>06/12/2024</v>
          </cell>
          <cell r="K2325" t="str">
            <v>06/26/2024</v>
          </cell>
          <cell r="L2325">
            <v>1</v>
          </cell>
          <cell r="M2325" t="str">
            <v>6/12/2024 11:51:07 AM</v>
          </cell>
          <cell r="N2325" t="str">
            <v>26</v>
          </cell>
          <cell r="O2325">
            <v>1</v>
          </cell>
          <cell r="P2325">
            <v>0.42</v>
          </cell>
        </row>
        <row r="2326">
          <cell r="A2326" t="str">
            <v>6728846</v>
          </cell>
          <cell r="B2326" t="str">
            <v>1016198</v>
          </cell>
          <cell r="C2326" t="str">
            <v>18471</v>
          </cell>
          <cell r="D2326" t="str">
            <v>7302</v>
          </cell>
          <cell r="E2326" t="str">
            <v>DOUBLE MAG POUCH BLK SZ1 HIDDEN</v>
          </cell>
          <cell r="F2326" t="str">
            <v>BN-POUCH</v>
          </cell>
          <cell r="G2326" t="str">
            <v>1420-210-FG</v>
          </cell>
          <cell r="H2326" t="str">
            <v>F</v>
          </cell>
          <cell r="I2326" t="str">
            <v>06/13/2024</v>
          </cell>
          <cell r="J2326" t="str">
            <v>06/13/2024</v>
          </cell>
          <cell r="K2326" t="str">
            <v>06/26/2024</v>
          </cell>
          <cell r="L2326">
            <v>20</v>
          </cell>
          <cell r="M2326" t="str">
            <v/>
          </cell>
          <cell r="N2326" t="str">
            <v>26</v>
          </cell>
          <cell r="O2326">
            <v>20</v>
          </cell>
          <cell r="P2326">
            <v>5.15</v>
          </cell>
        </row>
        <row r="2327">
          <cell r="A2327" t="str">
            <v>6727599</v>
          </cell>
          <cell r="B2327" t="str">
            <v>1183295</v>
          </cell>
          <cell r="C2327" t="str">
            <v>MH6004-8-BLK</v>
          </cell>
          <cell r="D2327" t="str">
            <v>MH6004</v>
          </cell>
          <cell r="E2327" t="str">
            <v>H6004-8 HARNESS BLK</v>
          </cell>
          <cell r="F2327" t="str">
            <v>DG-POUCH-F2-F3</v>
          </cell>
          <cell r="G2327" t="str">
            <v>1420-210-SB</v>
          </cell>
          <cell r="H2327" t="str">
            <v>R</v>
          </cell>
          <cell r="I2327" t="str">
            <v>06/11/2024</v>
          </cell>
          <cell r="J2327" t="str">
            <v>06/12/2024</v>
          </cell>
          <cell r="K2327" t="str">
            <v>06/26/2024</v>
          </cell>
          <cell r="L2327">
            <v>50</v>
          </cell>
          <cell r="M2327" t="str">
            <v>6/11/2024 10:03:20 AM</v>
          </cell>
          <cell r="N2327" t="str">
            <v>26</v>
          </cell>
          <cell r="O2327">
            <v>50</v>
          </cell>
          <cell r="P2327">
            <v>1.97</v>
          </cell>
        </row>
        <row r="2328">
          <cell r="A2328" t="str">
            <v>6727600</v>
          </cell>
          <cell r="B2328" t="str">
            <v>1183295</v>
          </cell>
          <cell r="C2328" t="str">
            <v>MH6004-8-BLK</v>
          </cell>
          <cell r="D2328" t="str">
            <v>MH6004</v>
          </cell>
          <cell r="E2328" t="str">
            <v>H6004-8 HARNESS BLK</v>
          </cell>
          <cell r="F2328" t="str">
            <v>DG-POUCH-F2-F3</v>
          </cell>
          <cell r="G2328" t="str">
            <v>1420-210-SB</v>
          </cell>
          <cell r="H2328" t="str">
            <v>R</v>
          </cell>
          <cell r="I2328" t="str">
            <v>06/11/2024</v>
          </cell>
          <cell r="J2328" t="str">
            <v>06/12/2024</v>
          </cell>
          <cell r="K2328" t="str">
            <v>06/26/2024</v>
          </cell>
          <cell r="L2328">
            <v>50</v>
          </cell>
          <cell r="M2328" t="str">
            <v>6/11/2024 10:03:20 AM</v>
          </cell>
          <cell r="N2328" t="str">
            <v>26</v>
          </cell>
          <cell r="O2328">
            <v>50</v>
          </cell>
          <cell r="P2328">
            <v>1.97</v>
          </cell>
        </row>
        <row r="2329">
          <cell r="A2329" t="str">
            <v>6727601</v>
          </cell>
          <cell r="B2329" t="str">
            <v>1183295</v>
          </cell>
          <cell r="C2329" t="str">
            <v>MH6004-8-BLK</v>
          </cell>
          <cell r="D2329" t="str">
            <v>MH6004</v>
          </cell>
          <cell r="E2329" t="str">
            <v>H6004-8 HARNESS BLK</v>
          </cell>
          <cell r="F2329" t="str">
            <v>DG-POUCH-F2-F3</v>
          </cell>
          <cell r="G2329" t="str">
            <v>1420-210-SB</v>
          </cell>
          <cell r="H2329" t="str">
            <v>R</v>
          </cell>
          <cell r="I2329" t="str">
            <v>06/11/2024</v>
          </cell>
          <cell r="J2329" t="str">
            <v>06/12/2024</v>
          </cell>
          <cell r="K2329" t="str">
            <v>06/26/2024</v>
          </cell>
          <cell r="L2329">
            <v>50</v>
          </cell>
          <cell r="M2329" t="str">
            <v>6/11/2024 10:03:20 AM</v>
          </cell>
          <cell r="N2329" t="str">
            <v>26</v>
          </cell>
          <cell r="O2329">
            <v>50</v>
          </cell>
          <cell r="P2329">
            <v>1.97</v>
          </cell>
        </row>
        <row r="2330">
          <cell r="A2330" t="str">
            <v>6727605</v>
          </cell>
          <cell r="B2330" t="str">
            <v>1183295</v>
          </cell>
          <cell r="C2330" t="str">
            <v>MH6004-8-BLK</v>
          </cell>
          <cell r="D2330" t="str">
            <v>MH6004</v>
          </cell>
          <cell r="E2330" t="str">
            <v>H6004-8 HARNESS BLK</v>
          </cell>
          <cell r="F2330" t="str">
            <v>DG-POUCH-F2-F3</v>
          </cell>
          <cell r="G2330" t="str">
            <v>1420-210-SB</v>
          </cell>
          <cell r="H2330" t="str">
            <v>R</v>
          </cell>
          <cell r="I2330" t="str">
            <v>06/11/2024</v>
          </cell>
          <cell r="J2330" t="str">
            <v>06/12/2024</v>
          </cell>
          <cell r="K2330" t="str">
            <v>06/26/2024</v>
          </cell>
          <cell r="L2330">
            <v>50</v>
          </cell>
          <cell r="M2330" t="str">
            <v>6/11/2024 10:03:20 AM</v>
          </cell>
          <cell r="N2330" t="str">
            <v>26</v>
          </cell>
          <cell r="O2330">
            <v>50</v>
          </cell>
          <cell r="P2330">
            <v>1.97</v>
          </cell>
        </row>
        <row r="2331">
          <cell r="A2331" t="str">
            <v>6727613</v>
          </cell>
          <cell r="B2331" t="str">
            <v>1183295</v>
          </cell>
          <cell r="C2331" t="str">
            <v>MH6004-8-BLK</v>
          </cell>
          <cell r="D2331" t="str">
            <v>MH6004</v>
          </cell>
          <cell r="E2331" t="str">
            <v>H6004-8 HARNESS BLK</v>
          </cell>
          <cell r="F2331" t="str">
            <v>DG-POUCH-F2-F3</v>
          </cell>
          <cell r="G2331" t="str">
            <v>1420-210-SB</v>
          </cell>
          <cell r="H2331" t="str">
            <v>R</v>
          </cell>
          <cell r="I2331" t="str">
            <v>06/11/2024</v>
          </cell>
          <cell r="J2331" t="str">
            <v>06/12/2024</v>
          </cell>
          <cell r="K2331" t="str">
            <v>06/26/2024</v>
          </cell>
          <cell r="L2331">
            <v>50</v>
          </cell>
          <cell r="M2331" t="str">
            <v>6/11/2024 10:03:20 AM</v>
          </cell>
          <cell r="N2331" t="str">
            <v>26</v>
          </cell>
          <cell r="O2331">
            <v>50</v>
          </cell>
          <cell r="P2331">
            <v>1.97</v>
          </cell>
        </row>
        <row r="2332">
          <cell r="A2332" t="str">
            <v>6727614</v>
          </cell>
          <cell r="B2332" t="str">
            <v>1183295</v>
          </cell>
          <cell r="C2332" t="str">
            <v>MH6004-8-BLK</v>
          </cell>
          <cell r="D2332" t="str">
            <v>MH6004</v>
          </cell>
          <cell r="E2332" t="str">
            <v>H6004-8 HARNESS BLK</v>
          </cell>
          <cell r="F2332" t="str">
            <v>DG-POUCH-F2-F3</v>
          </cell>
          <cell r="G2332" t="str">
            <v>1420-210-SB</v>
          </cell>
          <cell r="H2332" t="str">
            <v>R</v>
          </cell>
          <cell r="I2332" t="str">
            <v>06/11/2024</v>
          </cell>
          <cell r="J2332" t="str">
            <v>06/12/2024</v>
          </cell>
          <cell r="K2332" t="str">
            <v>06/26/2024</v>
          </cell>
          <cell r="L2332">
            <v>50</v>
          </cell>
          <cell r="M2332" t="str">
            <v>6/11/2024 10:03:20 AM</v>
          </cell>
          <cell r="N2332" t="str">
            <v>26</v>
          </cell>
          <cell r="O2332">
            <v>50</v>
          </cell>
          <cell r="P2332">
            <v>1.97</v>
          </cell>
        </row>
        <row r="2333">
          <cell r="A2333" t="str">
            <v>6727616</v>
          </cell>
          <cell r="B2333" t="str">
            <v>1183295</v>
          </cell>
          <cell r="C2333" t="str">
            <v>MH6004-8-BLK</v>
          </cell>
          <cell r="D2333" t="str">
            <v>MH6004</v>
          </cell>
          <cell r="E2333" t="str">
            <v>H6004-8 HARNESS BLK</v>
          </cell>
          <cell r="F2333" t="str">
            <v>DG-POUCH-F2-F3</v>
          </cell>
          <cell r="G2333" t="str">
            <v>1420-210-SB</v>
          </cell>
          <cell r="H2333" t="str">
            <v>R</v>
          </cell>
          <cell r="I2333" t="str">
            <v>06/11/2024</v>
          </cell>
          <cell r="J2333" t="str">
            <v>06/12/2024</v>
          </cell>
          <cell r="K2333" t="str">
            <v>06/26/2024</v>
          </cell>
          <cell r="L2333">
            <v>50</v>
          </cell>
          <cell r="M2333" t="str">
            <v>6/11/2024 10:03:20 AM</v>
          </cell>
          <cell r="N2333" t="str">
            <v>26</v>
          </cell>
          <cell r="O2333">
            <v>50</v>
          </cell>
          <cell r="P2333">
            <v>1.97</v>
          </cell>
        </row>
        <row r="2334">
          <cell r="A2334" t="str">
            <v>6728707</v>
          </cell>
          <cell r="B2334" t="str">
            <v>1114884</v>
          </cell>
          <cell r="C2334" t="str">
            <v>170-2B</v>
          </cell>
          <cell r="D2334" t="str">
            <v>170</v>
          </cell>
          <cell r="E2334" t="str">
            <v>KEY RINGSILENT KEY POUCH</v>
          </cell>
          <cell r="F2334" t="str">
            <v>DG-POUCH-F2-F3</v>
          </cell>
          <cell r="G2334" t="str">
            <v>1420-210-FG</v>
          </cell>
          <cell r="H2334" t="str">
            <v>R</v>
          </cell>
          <cell r="I2334" t="str">
            <v>06/12/2024</v>
          </cell>
          <cell r="J2334" t="str">
            <v>06/12/2024</v>
          </cell>
          <cell r="K2334" t="str">
            <v>06/26/2024</v>
          </cell>
          <cell r="L2334">
            <v>3</v>
          </cell>
          <cell r="M2334" t="str">
            <v>6/12/2024 2:16:23 PM</v>
          </cell>
          <cell r="N2334" t="str">
            <v>26</v>
          </cell>
          <cell r="O2334">
            <v>3</v>
          </cell>
          <cell r="P2334">
            <v>0.95</v>
          </cell>
        </row>
        <row r="2335">
          <cell r="A2335" t="str">
            <v>6728843</v>
          </cell>
          <cell r="B2335" t="str">
            <v>1015458</v>
          </cell>
          <cell r="C2335" t="str">
            <v>10056</v>
          </cell>
          <cell r="D2335" t="str">
            <v>1L</v>
          </cell>
          <cell r="E2335" t="str">
            <v>LAWMAN TAN LH LG SNGL ACT 4 5/8IN</v>
          </cell>
          <cell r="F2335" t="str">
            <v>BN-LEATHER</v>
          </cell>
          <cell r="G2335" t="str">
            <v>1420-210-FG</v>
          </cell>
          <cell r="H2335" t="str">
            <v>F</v>
          </cell>
          <cell r="I2335" t="str">
            <v>06/13/2024</v>
          </cell>
          <cell r="J2335" t="str">
            <v>06/13/2024</v>
          </cell>
          <cell r="K2335" t="str">
            <v>06/26/2024</v>
          </cell>
          <cell r="L2335">
            <v>5</v>
          </cell>
          <cell r="M2335" t="str">
            <v/>
          </cell>
          <cell r="N2335" t="str">
            <v>26</v>
          </cell>
          <cell r="O2335">
            <v>5</v>
          </cell>
          <cell r="P2335">
            <v>3.03</v>
          </cell>
        </row>
        <row r="2336">
          <cell r="A2336" t="str">
            <v>6728845</v>
          </cell>
          <cell r="B2336" t="str">
            <v>1016785</v>
          </cell>
          <cell r="C2336" t="str">
            <v>19238</v>
          </cell>
          <cell r="D2336" t="str">
            <v>100</v>
          </cell>
          <cell r="E2336" t="str">
            <v>PROFESSIONAL HOLSTER TAN RH SZ 14</v>
          </cell>
          <cell r="F2336" t="str">
            <v>BN-LEATHER</v>
          </cell>
          <cell r="G2336" t="str">
            <v>1420-210-FG</v>
          </cell>
          <cell r="H2336" t="str">
            <v>F</v>
          </cell>
          <cell r="I2336" t="str">
            <v>06/13/2024</v>
          </cell>
          <cell r="J2336" t="str">
            <v>06/13/2024</v>
          </cell>
          <cell r="K2336" t="str">
            <v>06/26/2024</v>
          </cell>
          <cell r="L2336">
            <v>15</v>
          </cell>
          <cell r="M2336" t="str">
            <v/>
          </cell>
          <cell r="N2336" t="str">
            <v>26</v>
          </cell>
          <cell r="O2336">
            <v>15</v>
          </cell>
          <cell r="P2336">
            <v>6.02</v>
          </cell>
        </row>
        <row r="2337">
          <cell r="A2337" t="str">
            <v>6728842</v>
          </cell>
          <cell r="B2337" t="str">
            <v>1015409</v>
          </cell>
          <cell r="C2337" t="str">
            <v>12105</v>
          </cell>
          <cell r="D2337" t="str">
            <v>B4</v>
          </cell>
          <cell r="E2337" t="str">
            <v>RANGER BELT BSK TAN SZ 42 CHROME</v>
          </cell>
          <cell r="F2337" t="str">
            <v>BN-LEATHER</v>
          </cell>
          <cell r="G2337" t="str">
            <v>1420-210-FG</v>
          </cell>
          <cell r="H2337" t="str">
            <v>F</v>
          </cell>
          <cell r="I2337" t="str">
            <v>06/13/2024</v>
          </cell>
          <cell r="J2337" t="str">
            <v>06/13/2024</v>
          </cell>
          <cell r="K2337" t="str">
            <v>06/26/2024</v>
          </cell>
          <cell r="L2337">
            <v>5</v>
          </cell>
          <cell r="M2337" t="str">
            <v/>
          </cell>
          <cell r="N2337" t="str">
            <v>26</v>
          </cell>
          <cell r="O2337">
            <v>5</v>
          </cell>
          <cell r="P2337">
            <v>1.6</v>
          </cell>
        </row>
        <row r="2338">
          <cell r="A2338" t="str">
            <v>6728705</v>
          </cell>
          <cell r="B2338" t="str">
            <v>1137684</v>
          </cell>
          <cell r="C2338" t="str">
            <v>775-53-13</v>
          </cell>
          <cell r="D2338" t="str">
            <v>775</v>
          </cell>
          <cell r="E2338" t="str">
            <v>SLIMLINE OPEN-TOP TRIPLE MAGAZINE POUCH</v>
          </cell>
          <cell r="F2338" t="str">
            <v>DG-POUCH-F1</v>
          </cell>
          <cell r="G2338" t="str">
            <v>1420-210-FG</v>
          </cell>
          <cell r="H2338" t="str">
            <v>R</v>
          </cell>
          <cell r="I2338" t="str">
            <v>06/12/2024</v>
          </cell>
          <cell r="J2338" t="str">
            <v>06/12/2024</v>
          </cell>
          <cell r="K2338" t="str">
            <v>06/26/2024</v>
          </cell>
          <cell r="L2338">
            <v>10</v>
          </cell>
          <cell r="M2338" t="str">
            <v>6/12/2024 11:49:57 AM</v>
          </cell>
          <cell r="N2338" t="str">
            <v>26</v>
          </cell>
          <cell r="O2338">
            <v>10</v>
          </cell>
          <cell r="P2338">
            <v>3.66</v>
          </cell>
        </row>
        <row r="2339">
          <cell r="A2339" t="str">
            <v>6728879</v>
          </cell>
          <cell r="B2339" t="str">
            <v>1138080</v>
          </cell>
          <cell r="C2339" t="str">
            <v>775-53-2</v>
          </cell>
          <cell r="D2339" t="str">
            <v>775</v>
          </cell>
          <cell r="E2339" t="str">
            <v>SLIMLINE OPEN-TOP TRIPLE MAGAZINE POUCH</v>
          </cell>
          <cell r="F2339" t="str">
            <v>DG-POUCH-F1</v>
          </cell>
          <cell r="G2339" t="str">
            <v>1420-210-FG</v>
          </cell>
          <cell r="H2339" t="str">
            <v>F</v>
          </cell>
          <cell r="I2339" t="str">
            <v>06/13/2024</v>
          </cell>
          <cell r="J2339" t="str">
            <v>06/13/2024</v>
          </cell>
          <cell r="K2339" t="str">
            <v>06/26/2024</v>
          </cell>
          <cell r="L2339">
            <v>5</v>
          </cell>
          <cell r="M2339" t="str">
            <v/>
          </cell>
          <cell r="N2339" t="str">
            <v>26</v>
          </cell>
          <cell r="O2339">
            <v>5</v>
          </cell>
          <cell r="P2339">
            <v>1.84</v>
          </cell>
        </row>
        <row r="2340">
          <cell r="A2340" t="str">
            <v>6728855</v>
          </cell>
          <cell r="B2340" t="str">
            <v>1333832</v>
          </cell>
          <cell r="C2340" t="str">
            <v>20-283-131</v>
          </cell>
          <cell r="D2340" t="str">
            <v>SPECIES</v>
          </cell>
          <cell r="E2340" t="str">
            <v>SPECIES GLOCK 19 STX TAC BLK RT</v>
          </cell>
          <cell r="F2340" t="str">
            <v>DG-HOLSTER</v>
          </cell>
          <cell r="G2340" t="str">
            <v>1420-210-FG</v>
          </cell>
          <cell r="H2340" t="str">
            <v>F</v>
          </cell>
          <cell r="I2340" t="str">
            <v>06/13/2024</v>
          </cell>
          <cell r="J2340" t="str">
            <v>06/13/2024</v>
          </cell>
          <cell r="K2340" t="str">
            <v>06/26/2024</v>
          </cell>
          <cell r="L2340">
            <v>1</v>
          </cell>
          <cell r="M2340" t="str">
            <v/>
          </cell>
          <cell r="N2340" t="str">
            <v>26</v>
          </cell>
          <cell r="O2340">
            <v>1</v>
          </cell>
          <cell r="P2340">
            <v>0.12</v>
          </cell>
        </row>
        <row r="2341">
          <cell r="A2341" t="str">
            <v>6728841</v>
          </cell>
          <cell r="B2341" t="str">
            <v>1016378</v>
          </cell>
          <cell r="C2341" t="str">
            <v>17727</v>
          </cell>
          <cell r="D2341" t="str">
            <v>7001</v>
          </cell>
          <cell r="E2341" t="str">
            <v>THUMBSNAP BLK RH SZ _9 BERETTA 84F 3IN</v>
          </cell>
          <cell r="F2341" t="str">
            <v>BN-HOLSTER</v>
          </cell>
          <cell r="G2341" t="str">
            <v>1420-210-FG</v>
          </cell>
          <cell r="H2341" t="str">
            <v>F</v>
          </cell>
          <cell r="I2341" t="str">
            <v>06/13/2024</v>
          </cell>
          <cell r="J2341" t="str">
            <v>06/13/2024</v>
          </cell>
          <cell r="K2341" t="str">
            <v>06/26/2024</v>
          </cell>
          <cell r="L2341">
            <v>5</v>
          </cell>
          <cell r="M2341" t="str">
            <v/>
          </cell>
          <cell r="N2341" t="str">
            <v>26</v>
          </cell>
          <cell r="O2341">
            <v>5</v>
          </cell>
          <cell r="P2341">
            <v>1.8</v>
          </cell>
        </row>
        <row r="2342">
          <cell r="A2342" t="str">
            <v>6728844</v>
          </cell>
          <cell r="B2342" t="str">
            <v>1015546</v>
          </cell>
          <cell r="C2342" t="str">
            <v>10313</v>
          </cell>
          <cell r="D2342" t="str">
            <v>5BHL</v>
          </cell>
          <cell r="E2342" t="str">
            <v>THUMBSNAP TAN LH S-W 29 IN NIN 4IN</v>
          </cell>
          <cell r="F2342" t="str">
            <v>BN-LEATHER</v>
          </cell>
          <cell r="G2342" t="str">
            <v>1420-210-FG</v>
          </cell>
          <cell r="H2342" t="str">
            <v>F</v>
          </cell>
          <cell r="I2342" t="str">
            <v>06/13/2024</v>
          </cell>
          <cell r="J2342" t="str">
            <v>06/13/2024</v>
          </cell>
          <cell r="K2342" t="str">
            <v>06/26/2024</v>
          </cell>
          <cell r="L2342">
            <v>5</v>
          </cell>
          <cell r="M2342" t="str">
            <v/>
          </cell>
          <cell r="N2342" t="str">
            <v>26</v>
          </cell>
          <cell r="O2342">
            <v>5</v>
          </cell>
          <cell r="P2342">
            <v>3.22</v>
          </cell>
        </row>
        <row r="2343">
          <cell r="A2343" t="str">
            <v>6728847</v>
          </cell>
          <cell r="B2343" t="str">
            <v>1015796</v>
          </cell>
          <cell r="C2343" t="str">
            <v>14219</v>
          </cell>
          <cell r="D2343" t="str">
            <v>UM841</v>
          </cell>
          <cell r="E2343" t="str">
            <v>UNIV. MIL. HOL. BLACK SZ 1 5IN AUTO</v>
          </cell>
          <cell r="F2343" t="str">
            <v>BN-RANGER</v>
          </cell>
          <cell r="G2343" t="str">
            <v>1420-210-FG</v>
          </cell>
          <cell r="H2343" t="str">
            <v>F</v>
          </cell>
          <cell r="I2343" t="str">
            <v>06/13/2024</v>
          </cell>
          <cell r="J2343" t="str">
            <v>06/13/2024</v>
          </cell>
          <cell r="K2343" t="str">
            <v>06/26/2024</v>
          </cell>
          <cell r="L2343">
            <v>5</v>
          </cell>
          <cell r="M2343" t="str">
            <v/>
          </cell>
          <cell r="N2343" t="str">
            <v>26</v>
          </cell>
          <cell r="O2343">
            <v>5</v>
          </cell>
          <cell r="P2343">
            <v>1.68</v>
          </cell>
        </row>
        <row r="2344">
          <cell r="A2344" t="str">
            <v>6728848</v>
          </cell>
          <cell r="B2344" t="str">
            <v>1016126</v>
          </cell>
          <cell r="C2344" t="str">
            <v>17006</v>
          </cell>
          <cell r="D2344" t="str">
            <v>UM921</v>
          </cell>
          <cell r="E2344" t="str">
            <v>UNIV. MIL. HOL.W/TGUARD BLACK SZ 1 5IN A</v>
          </cell>
          <cell r="F2344" t="str">
            <v>BN-RANGER</v>
          </cell>
          <cell r="G2344" t="str">
            <v>1420-210-FG</v>
          </cell>
          <cell r="H2344" t="str">
            <v>F</v>
          </cell>
          <cell r="I2344" t="str">
            <v>06/13/2024</v>
          </cell>
          <cell r="J2344" t="str">
            <v>06/13/2024</v>
          </cell>
          <cell r="K2344" t="str">
            <v>06/26/2024</v>
          </cell>
          <cell r="L2344">
            <v>5</v>
          </cell>
          <cell r="M2344" t="str">
            <v/>
          </cell>
          <cell r="N2344" t="str">
            <v>26</v>
          </cell>
          <cell r="O2344">
            <v>5</v>
          </cell>
          <cell r="P2344">
            <v>1.66</v>
          </cell>
        </row>
        <row r="2345">
          <cell r="A2345" t="str">
            <v>6727955</v>
          </cell>
          <cell r="B2345" t="str">
            <v>1201624</v>
          </cell>
          <cell r="C2345" t="str">
            <v>6360-2222-481</v>
          </cell>
          <cell r="D2345" t="str">
            <v>6360</v>
          </cell>
          <cell r="E2345" t="str">
            <v>6360 SW MP 2.0 9MM X300 STX BSK BLK RH</v>
          </cell>
          <cell r="F2345" t="str">
            <v>DG-HOLSTER</v>
          </cell>
          <cell r="G2345" t="str">
            <v>1420-210-FG</v>
          </cell>
          <cell r="H2345" t="str">
            <v>F</v>
          </cell>
          <cell r="I2345" t="str">
            <v>06/11/2024</v>
          </cell>
          <cell r="J2345" t="str">
            <v>06/13/2024</v>
          </cell>
          <cell r="K2345" t="str">
            <v>06/27/2024</v>
          </cell>
          <cell r="L2345">
            <v>10</v>
          </cell>
          <cell r="M2345" t="str">
            <v/>
          </cell>
          <cell r="N2345" t="str">
            <v>26</v>
          </cell>
          <cell r="O2345">
            <v>10</v>
          </cell>
          <cell r="P2345">
            <v>2.9</v>
          </cell>
        </row>
        <row r="2346">
          <cell r="A2346" t="str">
            <v>6728183</v>
          </cell>
          <cell r="B2346" t="str">
            <v>1204137</v>
          </cell>
          <cell r="C2346" t="str">
            <v>6360RDS-2832-482</v>
          </cell>
          <cell r="D2346" t="str">
            <v>6360RDS</v>
          </cell>
          <cell r="E2346" t="str">
            <v>6360RDS GLOCK 19MOS X300U STX BSK BLK LH</v>
          </cell>
          <cell r="F2346" t="str">
            <v>DG-HOLSTER-RDS-DTC</v>
          </cell>
          <cell r="G2346" t="str">
            <v>1420-210-FG</v>
          </cell>
          <cell r="H2346" t="str">
            <v>F</v>
          </cell>
          <cell r="I2346" t="str">
            <v>06/11/2024</v>
          </cell>
          <cell r="J2346" t="str">
            <v>06/13/2024</v>
          </cell>
          <cell r="K2346" t="str">
            <v>06/27/2024</v>
          </cell>
          <cell r="L2346">
            <v>10</v>
          </cell>
          <cell r="M2346" t="str">
            <v/>
          </cell>
          <cell r="N2346" t="str">
            <v>26</v>
          </cell>
          <cell r="O2346">
            <v>10</v>
          </cell>
          <cell r="P2346">
            <v>4</v>
          </cell>
        </row>
        <row r="2347">
          <cell r="A2347" t="str">
            <v>6728888</v>
          </cell>
          <cell r="B2347" t="str">
            <v>1204136</v>
          </cell>
          <cell r="C2347" t="str">
            <v>6360RDS-2832-481</v>
          </cell>
          <cell r="D2347" t="str">
            <v>6360RDS</v>
          </cell>
          <cell r="E2347" t="str">
            <v>6360RDS GLOCK 19MOS X300U STX BSK BLK RH</v>
          </cell>
          <cell r="F2347" t="str">
            <v>DG-HOLSTER-RDS-DTC</v>
          </cell>
          <cell r="G2347" t="str">
            <v>1420-210-FG</v>
          </cell>
          <cell r="H2347" t="str">
            <v>R</v>
          </cell>
          <cell r="I2347" t="str">
            <v>06/13/2024</v>
          </cell>
          <cell r="J2347" t="str">
            <v>06/13/2024</v>
          </cell>
          <cell r="K2347" t="str">
            <v>06/27/2024</v>
          </cell>
          <cell r="L2347">
            <v>31</v>
          </cell>
          <cell r="M2347" t="str">
            <v>6/13/2024 10:48:05 AM</v>
          </cell>
          <cell r="N2347" t="str">
            <v>26</v>
          </cell>
          <cell r="O2347">
            <v>31</v>
          </cell>
          <cell r="P2347">
            <v>12.4</v>
          </cell>
        </row>
        <row r="2348">
          <cell r="A2348" t="str">
            <v>6728912</v>
          </cell>
          <cell r="B2348" t="str">
            <v>1204134</v>
          </cell>
          <cell r="C2348" t="str">
            <v>6360RDS-2832-411</v>
          </cell>
          <cell r="D2348" t="str">
            <v>6360RDS</v>
          </cell>
          <cell r="E2348" t="str">
            <v>6360RDS GLOCK 19MOS X300U STX PLN BLK RH</v>
          </cell>
          <cell r="F2348" t="str">
            <v>DG-HOLSTER-RDS-DTC</v>
          </cell>
          <cell r="G2348" t="str">
            <v>1420-210-FG</v>
          </cell>
          <cell r="H2348" t="str">
            <v>F</v>
          </cell>
          <cell r="I2348" t="str">
            <v>06/13/2024</v>
          </cell>
          <cell r="J2348" t="str">
            <v>06/13/2024</v>
          </cell>
          <cell r="K2348" t="str">
            <v>06/27/2024</v>
          </cell>
          <cell r="L2348">
            <v>100</v>
          </cell>
          <cell r="M2348" t="str">
            <v/>
          </cell>
          <cell r="N2348" t="str">
            <v>26</v>
          </cell>
          <cell r="O2348">
            <v>100</v>
          </cell>
          <cell r="P2348">
            <v>40</v>
          </cell>
        </row>
        <row r="2349">
          <cell r="A2349" t="str">
            <v>6728265</v>
          </cell>
          <cell r="B2349" t="str">
            <v>1200319</v>
          </cell>
          <cell r="C2349" t="str">
            <v>6365RDS-832-131</v>
          </cell>
          <cell r="D2349" t="str">
            <v>6365RDS</v>
          </cell>
          <cell r="E2349" t="str">
            <v>6365RDS GLOCK 17MOS X300U STX TAC BLK RH</v>
          </cell>
          <cell r="F2349" t="str">
            <v>DG-HOLSTER-RDS-DTC</v>
          </cell>
          <cell r="G2349" t="str">
            <v>1420-210-FG</v>
          </cell>
          <cell r="H2349" t="str">
            <v>F</v>
          </cell>
          <cell r="I2349" t="str">
            <v>06/11/2024</v>
          </cell>
          <cell r="J2349" t="str">
            <v>06/13/2024</v>
          </cell>
          <cell r="K2349" t="str">
            <v>06/27/2024</v>
          </cell>
          <cell r="L2349">
            <v>20</v>
          </cell>
          <cell r="M2349" t="str">
            <v/>
          </cell>
          <cell r="N2349" t="str">
            <v>26</v>
          </cell>
          <cell r="O2349">
            <v>20</v>
          </cell>
          <cell r="P2349">
            <v>8.66</v>
          </cell>
        </row>
        <row r="2350">
          <cell r="A2350" t="str">
            <v>6728864</v>
          </cell>
          <cell r="B2350" t="str">
            <v>1209649</v>
          </cell>
          <cell r="C2350" t="str">
            <v>6378-2222-411</v>
          </cell>
          <cell r="D2350" t="str">
            <v>6378</v>
          </cell>
          <cell r="E2350" t="str">
            <v>6378 S&amp;W M&amp;P9 2.0 X300U STX PLN BLK RH</v>
          </cell>
          <cell r="F2350" t="str">
            <v>DG-HOLSTER-DTC</v>
          </cell>
          <cell r="G2350" t="str">
            <v>1420-210-FG</v>
          </cell>
          <cell r="H2350" t="str">
            <v>F</v>
          </cell>
          <cell r="I2350" t="str">
            <v>06/13/2024</v>
          </cell>
          <cell r="J2350" t="str">
            <v>06/13/2024</v>
          </cell>
          <cell r="K2350" t="str">
            <v>06/27/2024</v>
          </cell>
          <cell r="L2350">
            <v>5</v>
          </cell>
          <cell r="M2350" t="str">
            <v/>
          </cell>
          <cell r="N2350" t="str">
            <v>26</v>
          </cell>
          <cell r="O2350">
            <v>5</v>
          </cell>
          <cell r="P2350">
            <v>1.76</v>
          </cell>
        </row>
        <row r="2351">
          <cell r="A2351" t="str">
            <v>6728886</v>
          </cell>
          <cell r="B2351" t="str">
            <v>1206612</v>
          </cell>
          <cell r="C2351" t="str">
            <v>6378RDS-2832-411</v>
          </cell>
          <cell r="D2351" t="str">
            <v>6378RDS</v>
          </cell>
          <cell r="E2351" t="str">
            <v>6378RDS GLOCK 19MOS X300U STX PLN BLK RH</v>
          </cell>
          <cell r="F2351" t="str">
            <v>DG-HOLSTER-RDS-DTC</v>
          </cell>
          <cell r="G2351" t="str">
            <v>1420-210-FG</v>
          </cell>
          <cell r="H2351" t="str">
            <v>R</v>
          </cell>
          <cell r="I2351" t="str">
            <v>06/13/2024</v>
          </cell>
          <cell r="J2351" t="str">
            <v>06/13/2024</v>
          </cell>
          <cell r="K2351" t="str">
            <v>06/27/2024</v>
          </cell>
          <cell r="L2351">
            <v>40</v>
          </cell>
          <cell r="M2351" t="str">
            <v>6/13/2024 10:40:25 AM</v>
          </cell>
          <cell r="N2351" t="str">
            <v>26</v>
          </cell>
          <cell r="O2351">
            <v>40</v>
          </cell>
          <cell r="P2351">
            <v>16</v>
          </cell>
        </row>
        <row r="2352">
          <cell r="A2352" t="str">
            <v>6728873</v>
          </cell>
          <cell r="B2352" t="str">
            <v>1333035</v>
          </cell>
          <cell r="C2352" t="str">
            <v>6390RDS-28327-132</v>
          </cell>
          <cell r="D2352" t="str">
            <v>6390RDS</v>
          </cell>
          <cell r="E2352" t="str">
            <v>6390RDS GLOCK 19MOS TLR-7 STX TAC BLK LH</v>
          </cell>
          <cell r="F2352" t="str">
            <v>DG-HOLSTER-RDS-DTC</v>
          </cell>
          <cell r="G2352" t="str">
            <v>1420-210-FG</v>
          </cell>
          <cell r="H2352" t="str">
            <v>F</v>
          </cell>
          <cell r="I2352" t="str">
            <v>06/13/2024</v>
          </cell>
          <cell r="J2352" t="str">
            <v>06/13/2024</v>
          </cell>
          <cell r="K2352" t="str">
            <v>06/27/2024</v>
          </cell>
          <cell r="L2352">
            <v>5</v>
          </cell>
          <cell r="M2352" t="str">
            <v/>
          </cell>
          <cell r="N2352" t="str">
            <v>26</v>
          </cell>
          <cell r="O2352">
            <v>5</v>
          </cell>
          <cell r="P2352">
            <v>2</v>
          </cell>
        </row>
        <row r="2353">
          <cell r="A2353" t="str">
            <v>6728871</v>
          </cell>
          <cell r="B2353" t="str">
            <v>1333034</v>
          </cell>
          <cell r="C2353" t="str">
            <v>6390RDS-28327-131</v>
          </cell>
          <cell r="D2353" t="str">
            <v>6390RDS</v>
          </cell>
          <cell r="E2353" t="str">
            <v>6390RDS GLOCK 19MOS TLR-7 STX TAC BLK RH</v>
          </cell>
          <cell r="F2353" t="str">
            <v>DG-HOLSTER-RDS-DTC</v>
          </cell>
          <cell r="G2353" t="str">
            <v>1420-210-FG</v>
          </cell>
          <cell r="H2353" t="str">
            <v>F</v>
          </cell>
          <cell r="I2353" t="str">
            <v>06/13/2024</v>
          </cell>
          <cell r="J2353" t="str">
            <v>06/13/2024</v>
          </cell>
          <cell r="K2353" t="str">
            <v>06/27/2024</v>
          </cell>
          <cell r="L2353">
            <v>25</v>
          </cell>
          <cell r="M2353" t="str">
            <v/>
          </cell>
          <cell r="N2353" t="str">
            <v>26</v>
          </cell>
          <cell r="O2353">
            <v>25</v>
          </cell>
          <cell r="P2353">
            <v>10</v>
          </cell>
        </row>
        <row r="2354">
          <cell r="A2354" t="str">
            <v>6728887</v>
          </cell>
          <cell r="B2354" t="str">
            <v>1317289</v>
          </cell>
          <cell r="C2354" t="str">
            <v>6390RDS-2832-481</v>
          </cell>
          <cell r="D2354" t="str">
            <v>6390RDS</v>
          </cell>
          <cell r="E2354" t="str">
            <v>6390RDS GLOCK 19MOS X300U STX BSK BLK RH</v>
          </cell>
          <cell r="F2354" t="str">
            <v>DG-HOLSTER-RDS-DTC</v>
          </cell>
          <cell r="G2354" t="str">
            <v>1420-210-FG</v>
          </cell>
          <cell r="H2354" t="str">
            <v>R</v>
          </cell>
          <cell r="I2354" t="str">
            <v>06/13/2024</v>
          </cell>
          <cell r="J2354" t="str">
            <v>06/13/2024</v>
          </cell>
          <cell r="K2354" t="str">
            <v>06/27/2024</v>
          </cell>
          <cell r="L2354">
            <v>33</v>
          </cell>
          <cell r="M2354" t="str">
            <v>6/13/2024 10:48:05 AM</v>
          </cell>
          <cell r="N2354" t="str">
            <v>26</v>
          </cell>
          <cell r="O2354">
            <v>33</v>
          </cell>
          <cell r="P2354">
            <v>13.2</v>
          </cell>
        </row>
        <row r="2355">
          <cell r="A2355" t="str">
            <v>6727709</v>
          </cell>
          <cell r="B2355" t="str">
            <v>1013762</v>
          </cell>
          <cell r="C2355" t="str">
            <v>24773</v>
          </cell>
          <cell r="D2355" t="str">
            <v>7235</v>
          </cell>
          <cell r="E2355" t="str">
            <v>7235 ERGOTEK BLT KIT NYL BLK SZ 30-32</v>
          </cell>
          <cell r="F2355" t="str">
            <v>BN-BELT</v>
          </cell>
          <cell r="G2355" t="str">
            <v>1420-210-FG</v>
          </cell>
          <cell r="H2355" t="str">
            <v>R</v>
          </cell>
          <cell r="I2355" t="str">
            <v>06/11/2024</v>
          </cell>
          <cell r="J2355" t="str">
            <v>06/13/2024</v>
          </cell>
          <cell r="K2355" t="str">
            <v>06/27/2024</v>
          </cell>
          <cell r="L2355">
            <v>5</v>
          </cell>
          <cell r="M2355" t="str">
            <v>6/11/2024 3:24:45 PM</v>
          </cell>
          <cell r="N2355" t="str">
            <v>26</v>
          </cell>
          <cell r="O2355">
            <v>5</v>
          </cell>
          <cell r="P2355">
            <v>1.55</v>
          </cell>
        </row>
        <row r="2356">
          <cell r="A2356" t="str">
            <v>6727725</v>
          </cell>
          <cell r="B2356" t="str">
            <v>1018366</v>
          </cell>
          <cell r="C2356" t="str">
            <v>24774</v>
          </cell>
          <cell r="D2356" t="str">
            <v>7235</v>
          </cell>
          <cell r="E2356" t="str">
            <v>7235 ERGOTEK BLT KIT NYL BLK SZ 32-34</v>
          </cell>
          <cell r="F2356" t="str">
            <v>BN-BELT</v>
          </cell>
          <cell r="G2356" t="str">
            <v>1420-210-FG</v>
          </cell>
          <cell r="H2356" t="str">
            <v>F</v>
          </cell>
          <cell r="I2356" t="str">
            <v>06/11/2024</v>
          </cell>
          <cell r="J2356" t="str">
            <v>06/13/2024</v>
          </cell>
          <cell r="K2356" t="str">
            <v>06/27/2024</v>
          </cell>
          <cell r="L2356">
            <v>15</v>
          </cell>
          <cell r="M2356" t="str">
            <v/>
          </cell>
          <cell r="N2356" t="str">
            <v>26</v>
          </cell>
          <cell r="O2356">
            <v>15</v>
          </cell>
          <cell r="P2356">
            <v>4.6500000000000004</v>
          </cell>
        </row>
        <row r="2357">
          <cell r="A2357" t="str">
            <v>6727726</v>
          </cell>
          <cell r="B2357" t="str">
            <v>1018367</v>
          </cell>
          <cell r="C2357" t="str">
            <v>24775</v>
          </cell>
          <cell r="D2357" t="str">
            <v>7235</v>
          </cell>
          <cell r="E2357" t="str">
            <v>7235 ERGOTEK BLT KIT NYL BLK SZ 34-36</v>
          </cell>
          <cell r="F2357" t="str">
            <v>BN-BELT</v>
          </cell>
          <cell r="G2357" t="str">
            <v>1420-210-FG</v>
          </cell>
          <cell r="H2357" t="str">
            <v>F</v>
          </cell>
          <cell r="I2357" t="str">
            <v>06/11/2024</v>
          </cell>
          <cell r="J2357" t="str">
            <v>06/13/2024</v>
          </cell>
          <cell r="K2357" t="str">
            <v>06/27/2024</v>
          </cell>
          <cell r="L2357">
            <v>22</v>
          </cell>
          <cell r="M2357" t="str">
            <v/>
          </cell>
          <cell r="N2357" t="str">
            <v>26</v>
          </cell>
          <cell r="O2357">
            <v>22</v>
          </cell>
          <cell r="P2357">
            <v>6.82</v>
          </cell>
        </row>
        <row r="2358">
          <cell r="A2358" t="str">
            <v>6727728</v>
          </cell>
          <cell r="B2358" t="str">
            <v>1018381</v>
          </cell>
          <cell r="C2358" t="str">
            <v>24777</v>
          </cell>
          <cell r="D2358" t="str">
            <v>7235</v>
          </cell>
          <cell r="E2358" t="str">
            <v>7235 ERGOTEK BLT KIT NYL BLK SZ 38-40</v>
          </cell>
          <cell r="F2358" t="str">
            <v>BN-BELT</v>
          </cell>
          <cell r="G2358" t="str">
            <v>1420-210-FG</v>
          </cell>
          <cell r="H2358" t="str">
            <v>R</v>
          </cell>
          <cell r="I2358" t="str">
            <v>06/11/2024</v>
          </cell>
          <cell r="J2358" t="str">
            <v>06/13/2024</v>
          </cell>
          <cell r="K2358" t="str">
            <v>06/27/2024</v>
          </cell>
          <cell r="L2358">
            <v>10</v>
          </cell>
          <cell r="M2358" t="str">
            <v>6/11/2024 3:24:45 PM</v>
          </cell>
          <cell r="N2358" t="str">
            <v>26</v>
          </cell>
          <cell r="O2358">
            <v>10</v>
          </cell>
          <cell r="P2358">
            <v>3.1</v>
          </cell>
        </row>
        <row r="2359">
          <cell r="A2359" t="str">
            <v>6727761</v>
          </cell>
          <cell r="B2359" t="str">
            <v>1015918</v>
          </cell>
          <cell r="C2359" t="str">
            <v>15635</v>
          </cell>
          <cell r="D2359" t="str">
            <v>7406</v>
          </cell>
          <cell r="E2359" t="str">
            <v>7406 BELT KEEPER ACU 4PK BLK SNAP 2.25IN</v>
          </cell>
          <cell r="F2359" t="str">
            <v>BN-KEEPER</v>
          </cell>
          <cell r="G2359" t="str">
            <v>1420-210-FG</v>
          </cell>
          <cell r="H2359" t="str">
            <v>R</v>
          </cell>
          <cell r="I2359" t="str">
            <v>06/11/2024</v>
          </cell>
          <cell r="J2359" t="str">
            <v>06/13/2024</v>
          </cell>
          <cell r="K2359" t="str">
            <v>06/27/2024</v>
          </cell>
          <cell r="L2359">
            <v>100</v>
          </cell>
          <cell r="M2359" t="str">
            <v>6/11/2024 2:48:28 PM</v>
          </cell>
          <cell r="N2359" t="str">
            <v>26</v>
          </cell>
          <cell r="O2359">
            <v>100</v>
          </cell>
          <cell r="P2359">
            <v>5.29</v>
          </cell>
        </row>
        <row r="2360">
          <cell r="A2360" t="str">
            <v>6728918</v>
          </cell>
          <cell r="B2360" t="str">
            <v>1331212</v>
          </cell>
          <cell r="C2360" t="str">
            <v>76-83-563PBL-MSA</v>
          </cell>
          <cell r="D2360" t="str">
            <v>76</v>
          </cell>
          <cell r="E2360" t="str">
            <v>76 GLOCK 17/22 STX ODG</v>
          </cell>
          <cell r="F2360" t="str">
            <v>DG-POUCH-F1</v>
          </cell>
          <cell r="G2360" t="str">
            <v>1420-210-FG</v>
          </cell>
          <cell r="H2360" t="str">
            <v>R</v>
          </cell>
          <cell r="I2360" t="str">
            <v>06/13/2024</v>
          </cell>
          <cell r="J2360" t="str">
            <v>06/13/2024</v>
          </cell>
          <cell r="K2360" t="str">
            <v>06/27/2024</v>
          </cell>
          <cell r="L2360">
            <v>11</v>
          </cell>
          <cell r="M2360" t="str">
            <v>6/13/2024 4:05:01 PM</v>
          </cell>
          <cell r="N2360" t="str">
            <v>26</v>
          </cell>
          <cell r="O2360">
            <v>11</v>
          </cell>
          <cell r="P2360">
            <v>3.41</v>
          </cell>
        </row>
        <row r="2361">
          <cell r="A2361" t="str">
            <v>6726199</v>
          </cell>
          <cell r="B2361" t="str">
            <v>1323582</v>
          </cell>
          <cell r="C2361" t="str">
            <v>77-83-13PBL-NP</v>
          </cell>
          <cell r="D2361" t="str">
            <v>77</v>
          </cell>
          <cell r="E2361" t="str">
            <v>77 GLOCK 17/22 STX TAC BLK</v>
          </cell>
          <cell r="F2361" t="str">
            <v>DG-POUCH-F1</v>
          </cell>
          <cell r="G2361" t="str">
            <v>1420-210-FG</v>
          </cell>
          <cell r="H2361" t="str">
            <v>R</v>
          </cell>
          <cell r="I2361" t="str">
            <v>06/07/2024</v>
          </cell>
          <cell r="J2361" t="str">
            <v>06/13/2024</v>
          </cell>
          <cell r="K2361" t="str">
            <v>06/27/2024</v>
          </cell>
          <cell r="L2361">
            <v>9</v>
          </cell>
          <cell r="M2361" t="str">
            <v>6/7/2024 11:47:24 AM</v>
          </cell>
          <cell r="N2361" t="str">
            <v>26</v>
          </cell>
          <cell r="O2361">
            <v>9</v>
          </cell>
          <cell r="P2361">
            <v>1.77</v>
          </cell>
        </row>
        <row r="2362">
          <cell r="A2362" t="str">
            <v>6726111</v>
          </cell>
          <cell r="B2362" t="str">
            <v>1139739</v>
          </cell>
          <cell r="C2362" t="str">
            <v>78-83-49PBL</v>
          </cell>
          <cell r="D2362" t="str">
            <v>78</v>
          </cell>
          <cell r="E2362" t="str">
            <v>78 GLOCK 17/22 STX HI GLS BLK</v>
          </cell>
          <cell r="F2362" t="str">
            <v>DG-POUCH-F1</v>
          </cell>
          <cell r="G2362" t="str">
            <v>1420-210-FG</v>
          </cell>
          <cell r="H2362" t="str">
            <v>R</v>
          </cell>
          <cell r="I2362" t="str">
            <v>06/07/2024</v>
          </cell>
          <cell r="J2362" t="str">
            <v>06/13/2024</v>
          </cell>
          <cell r="K2362" t="str">
            <v>06/27/2024</v>
          </cell>
          <cell r="L2362">
            <v>1</v>
          </cell>
          <cell r="M2362" t="str">
            <v>6/7/2024 11:44:04 AM</v>
          </cell>
          <cell r="N2362" t="str">
            <v>26</v>
          </cell>
          <cell r="O2362">
            <v>1</v>
          </cell>
          <cell r="P2362">
            <v>0.41</v>
          </cell>
        </row>
        <row r="2363">
          <cell r="A2363" t="str">
            <v>6727844</v>
          </cell>
          <cell r="B2363" t="str">
            <v>1102857</v>
          </cell>
          <cell r="C2363" t="str">
            <v>87V-32-8B</v>
          </cell>
          <cell r="D2363" t="str">
            <v>87V</v>
          </cell>
          <cell r="E2363" t="str">
            <v>87V SZ32 BSK BLK</v>
          </cell>
          <cell r="F2363" t="str">
            <v>DG-BELT</v>
          </cell>
          <cell r="G2363" t="str">
            <v>1420-210-FG</v>
          </cell>
          <cell r="H2363" t="str">
            <v>R</v>
          </cell>
          <cell r="I2363" t="str">
            <v>06/11/2024</v>
          </cell>
          <cell r="J2363" t="str">
            <v>06/13/2024</v>
          </cell>
          <cell r="K2363" t="str">
            <v>06/27/2024</v>
          </cell>
          <cell r="L2363">
            <v>5</v>
          </cell>
          <cell r="M2363" t="str">
            <v>6/11/2024 3:02:21 PM</v>
          </cell>
          <cell r="N2363" t="str">
            <v>26</v>
          </cell>
          <cell r="O2363">
            <v>5</v>
          </cell>
          <cell r="P2363">
            <v>1.89</v>
          </cell>
        </row>
        <row r="2364">
          <cell r="A2364" t="str">
            <v>6727854</v>
          </cell>
          <cell r="B2364" t="str">
            <v>1103515</v>
          </cell>
          <cell r="C2364" t="str">
            <v>999-2-4</v>
          </cell>
          <cell r="D2364" t="str">
            <v>999</v>
          </cell>
          <cell r="E2364" t="str">
            <v>GARRISON BELT VELCRO</v>
          </cell>
          <cell r="F2364" t="str">
            <v>DG-BELT</v>
          </cell>
          <cell r="G2364" t="str">
            <v>1420-210-FG</v>
          </cell>
          <cell r="H2364" t="str">
            <v>F</v>
          </cell>
          <cell r="I2364" t="str">
            <v>06/11/2024</v>
          </cell>
          <cell r="J2364" t="str">
            <v>06/13/2024</v>
          </cell>
          <cell r="K2364" t="str">
            <v>06/27/2024</v>
          </cell>
          <cell r="L2364">
            <v>5</v>
          </cell>
          <cell r="M2364" t="str">
            <v/>
          </cell>
          <cell r="N2364" t="str">
            <v>26</v>
          </cell>
          <cell r="O2364">
            <v>5</v>
          </cell>
          <cell r="P2364">
            <v>2.0699999999999998</v>
          </cell>
        </row>
        <row r="2365">
          <cell r="A2365" t="str">
            <v>6728714</v>
          </cell>
          <cell r="B2365" t="str">
            <v>1323588</v>
          </cell>
          <cell r="C2365" t="str">
            <v>6004-10-2-NP</v>
          </cell>
          <cell r="D2365" t="str">
            <v>6004</v>
          </cell>
          <cell r="E2365" t="str">
            <v>LEG SHROUD SML ONE ELASTIC STRAP W/HAR</v>
          </cell>
          <cell r="F2365" t="str">
            <v>DG-HARNESS</v>
          </cell>
          <cell r="G2365" t="str">
            <v>1420-210-FG</v>
          </cell>
          <cell r="H2365" t="str">
            <v>R</v>
          </cell>
          <cell r="I2365" t="str">
            <v>06/12/2024</v>
          </cell>
          <cell r="J2365" t="str">
            <v>06/13/2024</v>
          </cell>
          <cell r="K2365" t="str">
            <v>06/27/2024</v>
          </cell>
          <cell r="L2365">
            <v>25</v>
          </cell>
          <cell r="M2365" t="str">
            <v>6/13/2024 8:15:32 AM</v>
          </cell>
          <cell r="N2365" t="str">
            <v>26</v>
          </cell>
          <cell r="O2365">
            <v>25</v>
          </cell>
          <cell r="P2365">
            <v>1.47</v>
          </cell>
        </row>
        <row r="2366">
          <cell r="A2366" t="str">
            <v>6726145</v>
          </cell>
          <cell r="B2366" t="str">
            <v>1133939</v>
          </cell>
          <cell r="C2366" t="str">
            <v>77-419-9</v>
          </cell>
          <cell r="D2366" t="str">
            <v>77</v>
          </cell>
          <cell r="E2366" t="str">
            <v>MAGAZINE HOLDER DOUBLE</v>
          </cell>
          <cell r="F2366" t="str">
            <v>DG-POUCH-F1</v>
          </cell>
          <cell r="G2366" t="str">
            <v>1420-210-FG</v>
          </cell>
          <cell r="H2366" t="str">
            <v>R</v>
          </cell>
          <cell r="I2366" t="str">
            <v>06/07/2024</v>
          </cell>
          <cell r="J2366" t="str">
            <v>06/13/2024</v>
          </cell>
          <cell r="K2366" t="str">
            <v>06/27/2024</v>
          </cell>
          <cell r="L2366">
            <v>1</v>
          </cell>
          <cell r="M2366" t="str">
            <v>6/7/2024 11:44:04 AM</v>
          </cell>
          <cell r="N2366" t="str">
            <v>26</v>
          </cell>
          <cell r="O2366">
            <v>1</v>
          </cell>
          <cell r="P2366">
            <v>0.45</v>
          </cell>
        </row>
        <row r="2367">
          <cell r="A2367" t="str">
            <v>6727735</v>
          </cell>
          <cell r="B2367" t="str">
            <v>1016105</v>
          </cell>
          <cell r="C2367" t="str">
            <v>17381</v>
          </cell>
          <cell r="D2367" t="str">
            <v>7200</v>
          </cell>
          <cell r="E2367" t="str">
            <v>NYLON DUTY BELT BLK SZ MED 34-40</v>
          </cell>
          <cell r="F2367" t="str">
            <v>BN-BELT</v>
          </cell>
          <cell r="G2367" t="str">
            <v>1420-210-FG</v>
          </cell>
          <cell r="H2367" t="str">
            <v>R</v>
          </cell>
          <cell r="I2367" t="str">
            <v>06/11/2024</v>
          </cell>
          <cell r="J2367" t="str">
            <v>06/13/2024</v>
          </cell>
          <cell r="K2367" t="str">
            <v>06/27/2024</v>
          </cell>
          <cell r="L2367">
            <v>100</v>
          </cell>
          <cell r="M2367" t="str">
            <v>6/11/2024 2:36:12 PM</v>
          </cell>
          <cell r="N2367" t="str">
            <v>26</v>
          </cell>
          <cell r="O2367">
            <v>100</v>
          </cell>
          <cell r="P2367">
            <v>15.18</v>
          </cell>
        </row>
        <row r="2368">
          <cell r="A2368" t="str">
            <v>6727711</v>
          </cell>
          <cell r="B2368" t="str">
            <v>1014342</v>
          </cell>
          <cell r="C2368" t="str">
            <v>24418</v>
          </cell>
          <cell r="D2368" t="str">
            <v>7215</v>
          </cell>
          <cell r="E2368" t="str">
            <v>NYLON WEB BELT 2.25 BLK MD W/DRAG LOOP</v>
          </cell>
          <cell r="F2368" t="str">
            <v>BN-BELT</v>
          </cell>
          <cell r="G2368" t="str">
            <v>1420-210-FG</v>
          </cell>
          <cell r="H2368" t="str">
            <v>R</v>
          </cell>
          <cell r="I2368" t="str">
            <v>06/11/2024</v>
          </cell>
          <cell r="J2368" t="str">
            <v>06/13/2024</v>
          </cell>
          <cell r="K2368" t="str">
            <v>06/27/2024</v>
          </cell>
          <cell r="L2368">
            <v>11</v>
          </cell>
          <cell r="M2368" t="str">
            <v>6/11/2024 2:36:12 PM</v>
          </cell>
          <cell r="N2368" t="str">
            <v>26</v>
          </cell>
          <cell r="O2368">
            <v>11</v>
          </cell>
          <cell r="P2368">
            <v>4.62</v>
          </cell>
        </row>
        <row r="2369">
          <cell r="A2369" t="str">
            <v>6727708</v>
          </cell>
          <cell r="B2369" t="str">
            <v>1013712</v>
          </cell>
          <cell r="C2369" t="str">
            <v>24420</v>
          </cell>
          <cell r="D2369" t="str">
            <v>7215</v>
          </cell>
          <cell r="E2369" t="str">
            <v xml:space="preserve">NYLON WEB BELT 2.25 BLK XL W/DRAG LOOP </v>
          </cell>
          <cell r="F2369" t="str">
            <v>BN-BELT</v>
          </cell>
          <cell r="G2369" t="str">
            <v>1420-210-FG</v>
          </cell>
          <cell r="H2369" t="str">
            <v>R</v>
          </cell>
          <cell r="I2369" t="str">
            <v>06/11/2024</v>
          </cell>
          <cell r="J2369" t="str">
            <v>06/13/2024</v>
          </cell>
          <cell r="K2369" t="str">
            <v>06/27/2024</v>
          </cell>
          <cell r="L2369">
            <v>20</v>
          </cell>
          <cell r="M2369" t="str">
            <v>6/11/2024 3:24:45 PM</v>
          </cell>
          <cell r="N2369" t="str">
            <v>26</v>
          </cell>
          <cell r="O2369">
            <v>20</v>
          </cell>
          <cell r="P2369">
            <v>8.4</v>
          </cell>
        </row>
        <row r="2370">
          <cell r="A2370" t="str">
            <v>6727872</v>
          </cell>
          <cell r="B2370" t="str">
            <v>1332961</v>
          </cell>
          <cell r="C2370" t="str">
            <v>SAFCR-0-0-0-0-C9-411</v>
          </cell>
          <cell r="D2370" t="str">
            <v>21</v>
          </cell>
          <cell r="E2370" t="str">
            <v>SAFARILAND CHEST RIG RT BLK</v>
          </cell>
          <cell r="F2370" t="str">
            <v>DG-CHEST-RIG</v>
          </cell>
          <cell r="G2370" t="str">
            <v>1420-210-FG</v>
          </cell>
          <cell r="H2370" t="str">
            <v>F</v>
          </cell>
          <cell r="I2370" t="str">
            <v>06/11/2024</v>
          </cell>
          <cell r="J2370" t="str">
            <v>06/13/2024</v>
          </cell>
          <cell r="K2370" t="str">
            <v>06/27/2024</v>
          </cell>
          <cell r="L2370">
            <v>65</v>
          </cell>
          <cell r="M2370" t="str">
            <v/>
          </cell>
          <cell r="N2370" t="str">
            <v>26</v>
          </cell>
          <cell r="O2370">
            <v>65</v>
          </cell>
          <cell r="P2370">
            <v>16.25</v>
          </cell>
        </row>
        <row r="2371">
          <cell r="A2371" t="str">
            <v>6726110</v>
          </cell>
          <cell r="B2371" t="str">
            <v>1140269</v>
          </cell>
          <cell r="C2371" t="str">
            <v>775-76-49</v>
          </cell>
          <cell r="D2371" t="str">
            <v>775</v>
          </cell>
          <cell r="E2371" t="str">
            <v>SLIMLINE OPEN-TOP TRIPLE MAGAZINE POUCH</v>
          </cell>
          <cell r="F2371" t="str">
            <v>DG-POUCH-F1</v>
          </cell>
          <cell r="G2371" t="str">
            <v>1420-210-FG</v>
          </cell>
          <cell r="H2371" t="str">
            <v>R</v>
          </cell>
          <cell r="I2371" t="str">
            <v>06/07/2024</v>
          </cell>
          <cell r="J2371" t="str">
            <v>06/13/2024</v>
          </cell>
          <cell r="K2371" t="str">
            <v>06/27/2024</v>
          </cell>
          <cell r="L2371">
            <v>1</v>
          </cell>
          <cell r="M2371" t="str">
            <v>6/7/2024 11:44:04 AM</v>
          </cell>
          <cell r="N2371" t="str">
            <v>26</v>
          </cell>
          <cell r="O2371">
            <v>1</v>
          </cell>
          <cell r="P2371">
            <v>0.37</v>
          </cell>
        </row>
        <row r="2372">
          <cell r="A2372" t="str">
            <v>6727898</v>
          </cell>
          <cell r="B2372" t="str">
            <v>1158187</v>
          </cell>
          <cell r="C2372" t="str">
            <v>6004-27-76</v>
          </cell>
          <cell r="D2372" t="str">
            <v>6004</v>
          </cell>
          <cell r="E2372" t="str">
            <v>SMALL TACTICAL PLATE W/DFAQLS RECEIVER</v>
          </cell>
          <cell r="F2372" t="str">
            <v>DG-HARNESS-DTC</v>
          </cell>
          <cell r="G2372" t="str">
            <v>1420-210-FG</v>
          </cell>
          <cell r="H2372" t="str">
            <v>F</v>
          </cell>
          <cell r="I2372" t="str">
            <v>06/11/2024</v>
          </cell>
          <cell r="J2372" t="str">
            <v>06/13/2024</v>
          </cell>
          <cell r="K2372" t="str">
            <v>06/27/2024</v>
          </cell>
          <cell r="L2372">
            <v>20</v>
          </cell>
          <cell r="M2372" t="str">
            <v/>
          </cell>
          <cell r="N2372" t="str">
            <v>26</v>
          </cell>
          <cell r="O2372">
            <v>20</v>
          </cell>
          <cell r="P2372">
            <v>1.94</v>
          </cell>
        </row>
        <row r="2373">
          <cell r="A2373" t="str">
            <v>6728856</v>
          </cell>
          <cell r="B2373" t="str">
            <v>1333835</v>
          </cell>
          <cell r="C2373" t="str">
            <v>20-172-131</v>
          </cell>
          <cell r="D2373" t="str">
            <v>SPECIES</v>
          </cell>
          <cell r="E2373" t="str">
            <v>SPECIES TAURUS G2C/G3C STX TAC BLK RT</v>
          </cell>
          <cell r="F2373" t="str">
            <v>DG-HOLSTER</v>
          </cell>
          <cell r="G2373" t="str">
            <v>1420-210-FG</v>
          </cell>
          <cell r="H2373" t="str">
            <v>F</v>
          </cell>
          <cell r="I2373" t="str">
            <v>06/13/2024</v>
          </cell>
          <cell r="J2373" t="str">
            <v>06/13/2024</v>
          </cell>
          <cell r="K2373" t="str">
            <v>06/27/2024</v>
          </cell>
          <cell r="L2373">
            <v>2</v>
          </cell>
          <cell r="M2373" t="str">
            <v/>
          </cell>
          <cell r="N2373" t="str">
            <v>26</v>
          </cell>
          <cell r="O2373">
            <v>2</v>
          </cell>
          <cell r="P2373">
            <v>0.26</v>
          </cell>
        </row>
        <row r="2374">
          <cell r="A2374" t="str">
            <v>6727812</v>
          </cell>
          <cell r="B2374" t="str">
            <v>1097145</v>
          </cell>
          <cell r="C2374" t="str">
            <v>146-38-2</v>
          </cell>
          <cell r="D2374" t="str">
            <v>146</v>
          </cell>
          <cell r="E2374" t="str">
            <v>146 BORDER PATROL BLT PLN BLK SZ38 CH</v>
          </cell>
          <cell r="F2374" t="str">
            <v>DG-BELT</v>
          </cell>
          <cell r="G2374" t="str">
            <v>1420-210-FG</v>
          </cell>
          <cell r="H2374" t="str">
            <v>R</v>
          </cell>
          <cell r="I2374" t="str">
            <v>06/11/2024</v>
          </cell>
          <cell r="J2374" t="str">
            <v>06/14/2024</v>
          </cell>
          <cell r="K2374" t="str">
            <v>06/28/2024</v>
          </cell>
          <cell r="L2374">
            <v>10</v>
          </cell>
          <cell r="M2374" t="str">
            <v>6/11/2024 3:02:21 PM</v>
          </cell>
          <cell r="N2374" t="str">
            <v>26</v>
          </cell>
          <cell r="O2374">
            <v>10</v>
          </cell>
          <cell r="P2374">
            <v>4.83</v>
          </cell>
        </row>
        <row r="2375">
          <cell r="A2375" t="str">
            <v>6728336</v>
          </cell>
          <cell r="B2375" t="str">
            <v>1128856</v>
          </cell>
          <cell r="C2375" t="str">
            <v>306-2-48</v>
          </cell>
          <cell r="D2375" t="str">
            <v>306</v>
          </cell>
          <cell r="E2375" t="str">
            <v>306 SCORPION STX BSK BLK</v>
          </cell>
          <cell r="F2375" t="str">
            <v>DG-POUCH-F1</v>
          </cell>
          <cell r="G2375" t="str">
            <v>1420-210-FG</v>
          </cell>
          <cell r="H2375" t="str">
            <v>R</v>
          </cell>
          <cell r="I2375" t="str">
            <v>06/11/2024</v>
          </cell>
          <cell r="J2375" t="str">
            <v>06/14/2024</v>
          </cell>
          <cell r="K2375" t="str">
            <v>06/28/2024</v>
          </cell>
          <cell r="L2375">
            <v>5</v>
          </cell>
          <cell r="M2375" t="str">
            <v>6/11/2024 3:18:21 PM</v>
          </cell>
          <cell r="N2375" t="str">
            <v>26</v>
          </cell>
          <cell r="O2375">
            <v>5</v>
          </cell>
          <cell r="P2375">
            <v>1.43</v>
          </cell>
        </row>
        <row r="2376">
          <cell r="A2376" t="str">
            <v>6726275</v>
          </cell>
          <cell r="B2376" t="str">
            <v>1099526</v>
          </cell>
          <cell r="C2376" t="str">
            <v>306-11-4</v>
          </cell>
          <cell r="D2376" t="str">
            <v>306</v>
          </cell>
          <cell r="E2376" t="str">
            <v>306 STRINGER W/ PLY GRP BSK BLK</v>
          </cell>
          <cell r="F2376" t="str">
            <v>DG-POUCH-F1</v>
          </cell>
          <cell r="G2376" t="str">
            <v>1420-210-FG</v>
          </cell>
          <cell r="H2376" t="str">
            <v>R</v>
          </cell>
          <cell r="I2376" t="str">
            <v>06/07/2024</v>
          </cell>
          <cell r="J2376" t="str">
            <v>06/07/2024</v>
          </cell>
          <cell r="K2376" t="str">
            <v>06/28/2024</v>
          </cell>
          <cell r="L2376">
            <v>30</v>
          </cell>
          <cell r="M2376" t="str">
            <v>6/7/2024 11:51:05 AM</v>
          </cell>
          <cell r="N2376" t="str">
            <v>26</v>
          </cell>
          <cell r="O2376">
            <v>30</v>
          </cell>
          <cell r="P2376">
            <v>11.08</v>
          </cell>
        </row>
        <row r="2377">
          <cell r="A2377" t="str">
            <v>6726250</v>
          </cell>
          <cell r="B2377" t="str">
            <v>1137658</v>
          </cell>
          <cell r="C2377" t="str">
            <v>306-7-9</v>
          </cell>
          <cell r="D2377" t="str">
            <v>306</v>
          </cell>
          <cell r="E2377" t="str">
            <v>306 STRMLGT STINGER HI GLS BLK</v>
          </cell>
          <cell r="F2377" t="str">
            <v>DG-POUCH-F1</v>
          </cell>
          <cell r="G2377" t="str">
            <v>1420-210-FG</v>
          </cell>
          <cell r="H2377" t="str">
            <v>R</v>
          </cell>
          <cell r="I2377" t="str">
            <v>06/07/2024</v>
          </cell>
          <cell r="J2377" t="str">
            <v>06/07/2024</v>
          </cell>
          <cell r="K2377" t="str">
            <v>06/28/2024</v>
          </cell>
          <cell r="L2377">
            <v>30</v>
          </cell>
          <cell r="M2377" t="str">
            <v>6/7/2024 11:44:04 AM</v>
          </cell>
          <cell r="N2377" t="str">
            <v>26</v>
          </cell>
          <cell r="O2377">
            <v>30</v>
          </cell>
          <cell r="P2377">
            <v>9.35</v>
          </cell>
        </row>
        <row r="2378">
          <cell r="A2378" t="str">
            <v>6726251</v>
          </cell>
          <cell r="B2378" t="str">
            <v>1137658</v>
          </cell>
          <cell r="C2378" t="str">
            <v>306-7-9</v>
          </cell>
          <cell r="D2378" t="str">
            <v>306</v>
          </cell>
          <cell r="E2378" t="str">
            <v>306 STRMLGT STINGER HI GLS BLK</v>
          </cell>
          <cell r="F2378" t="str">
            <v>DG-POUCH-F1</v>
          </cell>
          <cell r="G2378" t="str">
            <v>1420-210-FG</v>
          </cell>
          <cell r="H2378" t="str">
            <v>R</v>
          </cell>
          <cell r="I2378" t="str">
            <v>06/07/2024</v>
          </cell>
          <cell r="J2378" t="str">
            <v>06/07/2024</v>
          </cell>
          <cell r="K2378" t="str">
            <v>06/28/2024</v>
          </cell>
          <cell r="L2378">
            <v>30</v>
          </cell>
          <cell r="M2378" t="str">
            <v>6/7/2024 11:44:04 AM</v>
          </cell>
          <cell r="N2378" t="str">
            <v>26</v>
          </cell>
          <cell r="O2378">
            <v>30</v>
          </cell>
          <cell r="P2378">
            <v>9.35</v>
          </cell>
        </row>
        <row r="2379">
          <cell r="A2379" t="str">
            <v>6726258</v>
          </cell>
          <cell r="B2379" t="str">
            <v>1099494</v>
          </cell>
          <cell r="C2379" t="str">
            <v>306-1-13</v>
          </cell>
          <cell r="D2379" t="str">
            <v>306</v>
          </cell>
          <cell r="E2379" t="str">
            <v>306 STRMLGT STINGER STX TAC BLK</v>
          </cell>
          <cell r="F2379" t="str">
            <v>DG-POUCH-F1</v>
          </cell>
          <cell r="G2379" t="str">
            <v>1420-210-FG</v>
          </cell>
          <cell r="H2379" t="str">
            <v>R</v>
          </cell>
          <cell r="I2379" t="str">
            <v>06/07/2024</v>
          </cell>
          <cell r="J2379" t="str">
            <v>06/07/2024</v>
          </cell>
          <cell r="K2379" t="str">
            <v>06/28/2024</v>
          </cell>
          <cell r="L2379">
            <v>10</v>
          </cell>
          <cell r="M2379" t="str">
            <v>6/7/2024 11:41:41 AM</v>
          </cell>
          <cell r="N2379" t="str">
            <v>26</v>
          </cell>
          <cell r="O2379">
            <v>10</v>
          </cell>
          <cell r="P2379">
            <v>4.5599999999999996</v>
          </cell>
        </row>
        <row r="2380">
          <cell r="A2380" t="str">
            <v>6726230</v>
          </cell>
          <cell r="B2380" t="str">
            <v>1137659</v>
          </cell>
          <cell r="C2380" t="str">
            <v>306-7-13</v>
          </cell>
          <cell r="D2380" t="str">
            <v>306</v>
          </cell>
          <cell r="E2380" t="str">
            <v>306 STRMLGT STINGER STX TAC BLK</v>
          </cell>
          <cell r="F2380" t="str">
            <v>DG-POUCH-F1</v>
          </cell>
          <cell r="G2380" t="str">
            <v>1420-210-FG</v>
          </cell>
          <cell r="H2380" t="str">
            <v>R</v>
          </cell>
          <cell r="I2380" t="str">
            <v>06/07/2024</v>
          </cell>
          <cell r="J2380" t="str">
            <v>06/14/2024</v>
          </cell>
          <cell r="K2380" t="str">
            <v>06/28/2024</v>
          </cell>
          <cell r="L2380">
            <v>20</v>
          </cell>
          <cell r="M2380" t="str">
            <v>6/7/2024 11:41:41 AM</v>
          </cell>
          <cell r="N2380" t="str">
            <v>26</v>
          </cell>
          <cell r="O2380">
            <v>20</v>
          </cell>
          <cell r="P2380">
            <v>5.7</v>
          </cell>
        </row>
        <row r="2381">
          <cell r="A2381" t="str">
            <v>6728304</v>
          </cell>
          <cell r="B2381" t="str">
            <v>1117080</v>
          </cell>
          <cell r="C2381" t="str">
            <v>62-4-22HS</v>
          </cell>
          <cell r="D2381" t="str">
            <v>62</v>
          </cell>
          <cell r="E2381" t="str">
            <v>62 BELT KEEPER 4PK BLK NYL HS 2.25IN</v>
          </cell>
          <cell r="F2381" t="str">
            <v>DG-KEEPER</v>
          </cell>
          <cell r="G2381" t="str">
            <v>1420-210-FG</v>
          </cell>
          <cell r="H2381" t="str">
            <v>R</v>
          </cell>
          <cell r="I2381" t="str">
            <v>06/11/2024</v>
          </cell>
          <cell r="J2381" t="str">
            <v>06/14/2024</v>
          </cell>
          <cell r="K2381" t="str">
            <v>06/28/2024</v>
          </cell>
          <cell r="L2381">
            <v>25</v>
          </cell>
          <cell r="M2381" t="str">
            <v>6/11/2024 3:39:21 PM</v>
          </cell>
          <cell r="N2381" t="str">
            <v>26</v>
          </cell>
          <cell r="O2381">
            <v>25</v>
          </cell>
          <cell r="P2381">
            <v>5.83</v>
          </cell>
        </row>
        <row r="2382">
          <cell r="A2382" t="str">
            <v>6727993</v>
          </cell>
          <cell r="B2382" t="str">
            <v>1170053</v>
          </cell>
          <cell r="C2382" t="str">
            <v>6354DO-283-701-MS19</v>
          </cell>
          <cell r="D2382" t="str">
            <v>6354DO</v>
          </cell>
          <cell r="E2382" t="str">
            <v>6354DO GLOCK 19/23 CORD MTCM RH</v>
          </cell>
          <cell r="F2382" t="str">
            <v>DG-HOLSTER-DO-DTC</v>
          </cell>
          <cell r="G2382" t="str">
            <v>1420-210-FG</v>
          </cell>
          <cell r="H2382" t="str">
            <v>F</v>
          </cell>
          <cell r="I2382" t="str">
            <v>06/11/2024</v>
          </cell>
          <cell r="J2382" t="str">
            <v>06/14/2024</v>
          </cell>
          <cell r="K2382" t="str">
            <v>06/28/2024</v>
          </cell>
          <cell r="L2382">
            <v>100</v>
          </cell>
          <cell r="M2382" t="str">
            <v/>
          </cell>
          <cell r="N2382" t="str">
            <v>26</v>
          </cell>
          <cell r="O2382">
            <v>100</v>
          </cell>
          <cell r="P2382">
            <v>58.63</v>
          </cell>
        </row>
        <row r="2383">
          <cell r="A2383" t="str">
            <v>6727994</v>
          </cell>
          <cell r="B2383" t="str">
            <v>1170053</v>
          </cell>
          <cell r="C2383" t="str">
            <v>6354DO-283-701-MS19</v>
          </cell>
          <cell r="D2383" t="str">
            <v>6354DO</v>
          </cell>
          <cell r="E2383" t="str">
            <v>6354DO GLOCK 19/23 CORD MTCM RH</v>
          </cell>
          <cell r="F2383" t="str">
            <v>DG-HOLSTER-DO-DTC</v>
          </cell>
          <cell r="G2383" t="str">
            <v>1420-210-FG</v>
          </cell>
          <cell r="H2383" t="str">
            <v>F</v>
          </cell>
          <cell r="I2383" t="str">
            <v>06/11/2024</v>
          </cell>
          <cell r="J2383" t="str">
            <v>06/14/2024</v>
          </cell>
          <cell r="K2383" t="str">
            <v>06/28/2024</v>
          </cell>
          <cell r="L2383">
            <v>100</v>
          </cell>
          <cell r="M2383" t="str">
            <v/>
          </cell>
          <cell r="N2383" t="str">
            <v>26</v>
          </cell>
          <cell r="O2383">
            <v>100</v>
          </cell>
          <cell r="P2383">
            <v>58.63</v>
          </cell>
        </row>
        <row r="2384">
          <cell r="A2384" t="str">
            <v>6727995</v>
          </cell>
          <cell r="B2384" t="str">
            <v>1170053</v>
          </cell>
          <cell r="C2384" t="str">
            <v>6354DO-283-701-MS19</v>
          </cell>
          <cell r="D2384" t="str">
            <v>6354DO</v>
          </cell>
          <cell r="E2384" t="str">
            <v>6354DO GLOCK 19/23 CORD MTCM RH</v>
          </cell>
          <cell r="F2384" t="str">
            <v>DG-HOLSTER-DO-DTC</v>
          </cell>
          <cell r="G2384" t="str">
            <v>1420-210-FG</v>
          </cell>
          <cell r="H2384" t="str">
            <v>F</v>
          </cell>
          <cell r="I2384" t="str">
            <v>06/11/2024</v>
          </cell>
          <cell r="J2384" t="str">
            <v>06/14/2024</v>
          </cell>
          <cell r="K2384" t="str">
            <v>06/28/2024</v>
          </cell>
          <cell r="L2384">
            <v>100</v>
          </cell>
          <cell r="M2384" t="str">
            <v/>
          </cell>
          <cell r="N2384" t="str">
            <v>26</v>
          </cell>
          <cell r="O2384">
            <v>100</v>
          </cell>
          <cell r="P2384">
            <v>58.63</v>
          </cell>
        </row>
        <row r="2385">
          <cell r="A2385" t="str">
            <v>6727996</v>
          </cell>
          <cell r="B2385" t="str">
            <v>1170053</v>
          </cell>
          <cell r="C2385" t="str">
            <v>6354DO-283-701-MS19</v>
          </cell>
          <cell r="D2385" t="str">
            <v>6354DO</v>
          </cell>
          <cell r="E2385" t="str">
            <v>6354DO GLOCK 19/23 CORD MTCM RH</v>
          </cell>
          <cell r="F2385" t="str">
            <v>DG-HOLSTER-DO-DTC</v>
          </cell>
          <cell r="G2385" t="str">
            <v>1420-210-FG</v>
          </cell>
          <cell r="H2385" t="str">
            <v>F</v>
          </cell>
          <cell r="I2385" t="str">
            <v>06/11/2024</v>
          </cell>
          <cell r="J2385" t="str">
            <v>06/14/2024</v>
          </cell>
          <cell r="K2385" t="str">
            <v>06/28/2024</v>
          </cell>
          <cell r="L2385">
            <v>100</v>
          </cell>
          <cell r="M2385" t="str">
            <v/>
          </cell>
          <cell r="N2385" t="str">
            <v>26</v>
          </cell>
          <cell r="O2385">
            <v>100</v>
          </cell>
          <cell r="P2385">
            <v>58.63</v>
          </cell>
        </row>
        <row r="2386">
          <cell r="A2386" t="str">
            <v>6727997</v>
          </cell>
          <cell r="B2386" t="str">
            <v>1170053</v>
          </cell>
          <cell r="C2386" t="str">
            <v>6354DO-283-701-MS19</v>
          </cell>
          <cell r="D2386" t="str">
            <v>6354DO</v>
          </cell>
          <cell r="E2386" t="str">
            <v>6354DO GLOCK 19/23 CORD MTCM RH</v>
          </cell>
          <cell r="F2386" t="str">
            <v>DG-HOLSTER-DO-DTC</v>
          </cell>
          <cell r="G2386" t="str">
            <v>1420-210-FG</v>
          </cell>
          <cell r="H2386" t="str">
            <v>F</v>
          </cell>
          <cell r="I2386" t="str">
            <v>06/11/2024</v>
          </cell>
          <cell r="J2386" t="str">
            <v>06/14/2024</v>
          </cell>
          <cell r="K2386" t="str">
            <v>06/28/2024</v>
          </cell>
          <cell r="L2386">
            <v>98</v>
          </cell>
          <cell r="M2386" t="str">
            <v/>
          </cell>
          <cell r="N2386" t="str">
            <v>26</v>
          </cell>
          <cell r="O2386">
            <v>98</v>
          </cell>
          <cell r="P2386">
            <v>57.45</v>
          </cell>
        </row>
        <row r="2387">
          <cell r="A2387" t="str">
            <v>6727998</v>
          </cell>
          <cell r="B2387" t="str">
            <v>1170053</v>
          </cell>
          <cell r="C2387" t="str">
            <v>6354DO-283-701-MS19</v>
          </cell>
          <cell r="D2387" t="str">
            <v>6354DO</v>
          </cell>
          <cell r="E2387" t="str">
            <v>6354DO GLOCK 19/23 CORD MTCM RH</v>
          </cell>
          <cell r="F2387" t="str">
            <v>DG-HOLSTER-DO-DTC</v>
          </cell>
          <cell r="G2387" t="str">
            <v>1420-210-FG</v>
          </cell>
          <cell r="H2387" t="str">
            <v>F</v>
          </cell>
          <cell r="I2387" t="str">
            <v>06/11/2024</v>
          </cell>
          <cell r="J2387" t="str">
            <v>06/14/2024</v>
          </cell>
          <cell r="K2387" t="str">
            <v>06/28/2024</v>
          </cell>
          <cell r="L2387">
            <v>100</v>
          </cell>
          <cell r="M2387" t="str">
            <v/>
          </cell>
          <cell r="N2387" t="str">
            <v>26</v>
          </cell>
          <cell r="O2387">
            <v>100</v>
          </cell>
          <cell r="P2387">
            <v>58.63</v>
          </cell>
        </row>
        <row r="2388">
          <cell r="A2388" t="str">
            <v>6727999</v>
          </cell>
          <cell r="B2388" t="str">
            <v>1170053</v>
          </cell>
          <cell r="C2388" t="str">
            <v>6354DO-283-701-MS19</v>
          </cell>
          <cell r="D2388" t="str">
            <v>6354DO</v>
          </cell>
          <cell r="E2388" t="str">
            <v>6354DO GLOCK 19/23 CORD MTCM RH</v>
          </cell>
          <cell r="F2388" t="str">
            <v>DG-HOLSTER-DO-DTC</v>
          </cell>
          <cell r="G2388" t="str">
            <v>1420-210-FG</v>
          </cell>
          <cell r="H2388" t="str">
            <v>F</v>
          </cell>
          <cell r="I2388" t="str">
            <v>06/11/2024</v>
          </cell>
          <cell r="J2388" t="str">
            <v>06/14/2024</v>
          </cell>
          <cell r="K2388" t="str">
            <v>06/28/2024</v>
          </cell>
          <cell r="L2388">
            <v>100</v>
          </cell>
          <cell r="M2388" t="str">
            <v/>
          </cell>
          <cell r="N2388" t="str">
            <v>26</v>
          </cell>
          <cell r="O2388">
            <v>100</v>
          </cell>
          <cell r="P2388">
            <v>58.63</v>
          </cell>
        </row>
        <row r="2389">
          <cell r="A2389" t="str">
            <v>6728196</v>
          </cell>
          <cell r="B2389" t="str">
            <v>1204733</v>
          </cell>
          <cell r="C2389" t="str">
            <v>6354RDS-832-701-SP10</v>
          </cell>
          <cell r="D2389" t="str">
            <v>6354RDS</v>
          </cell>
          <cell r="E2389" t="str">
            <v>6354RDS GLOCK 17MOS X300U COR MLTCM RH</v>
          </cell>
          <cell r="F2389" t="str">
            <v>DG-HOLSTER-RDS-DTC</v>
          </cell>
          <cell r="G2389" t="str">
            <v>1420-210-FG</v>
          </cell>
          <cell r="H2389" t="str">
            <v>F</v>
          </cell>
          <cell r="I2389" t="str">
            <v>06/11/2024</v>
          </cell>
          <cell r="J2389" t="str">
            <v>06/14/2024</v>
          </cell>
          <cell r="K2389" t="str">
            <v>06/28/2024</v>
          </cell>
          <cell r="L2389">
            <v>5</v>
          </cell>
          <cell r="M2389" t="str">
            <v/>
          </cell>
          <cell r="N2389" t="str">
            <v>26</v>
          </cell>
          <cell r="O2389">
            <v>5</v>
          </cell>
          <cell r="P2389">
            <v>2.17</v>
          </cell>
        </row>
        <row r="2390">
          <cell r="A2390" t="str">
            <v>6728171</v>
          </cell>
          <cell r="B2390" t="str">
            <v>1334271</v>
          </cell>
          <cell r="C2390" t="str">
            <v>6354RDSO-832-721-MS19</v>
          </cell>
          <cell r="D2390" t="str">
            <v>6354RDSO</v>
          </cell>
          <cell r="E2390" t="str">
            <v>6354RDSO GLOCK 17MOS X300 COR OD RGRN RH</v>
          </cell>
          <cell r="F2390" t="str">
            <v>DG-HOLSTER-RDS</v>
          </cell>
          <cell r="G2390" t="str">
            <v>1420-210-FG</v>
          </cell>
          <cell r="H2390" t="str">
            <v>F</v>
          </cell>
          <cell r="I2390" t="str">
            <v>06/11/2024</v>
          </cell>
          <cell r="J2390" t="str">
            <v>06/14/2024</v>
          </cell>
          <cell r="K2390" t="str">
            <v>06/28/2024</v>
          </cell>
          <cell r="L2390">
            <v>3</v>
          </cell>
          <cell r="M2390" t="str">
            <v/>
          </cell>
          <cell r="N2390" t="str">
            <v>26</v>
          </cell>
          <cell r="O2390">
            <v>3</v>
          </cell>
          <cell r="P2390">
            <v>1.3</v>
          </cell>
        </row>
        <row r="2391">
          <cell r="A2391" t="str">
            <v>6728172</v>
          </cell>
          <cell r="B2391" t="str">
            <v>1334273</v>
          </cell>
          <cell r="C2391" t="str">
            <v>6354RDSO-832-741-MS19</v>
          </cell>
          <cell r="D2391" t="str">
            <v>6354RDSO</v>
          </cell>
          <cell r="E2391" t="str">
            <v>6354RDSO GLOCK 17MOS X300U COR CYTB RH</v>
          </cell>
          <cell r="F2391" t="str">
            <v>DG-HOLSTER-RDS</v>
          </cell>
          <cell r="G2391" t="str">
            <v>1420-210-FG</v>
          </cell>
          <cell r="H2391" t="str">
            <v>F</v>
          </cell>
          <cell r="I2391" t="str">
            <v>06/11/2024</v>
          </cell>
          <cell r="J2391" t="str">
            <v>06/14/2024</v>
          </cell>
          <cell r="K2391" t="str">
            <v>06/28/2024</v>
          </cell>
          <cell r="L2391">
            <v>5</v>
          </cell>
          <cell r="M2391" t="str">
            <v/>
          </cell>
          <cell r="N2391" t="str">
            <v>26</v>
          </cell>
          <cell r="O2391">
            <v>5</v>
          </cell>
          <cell r="P2391">
            <v>2.17</v>
          </cell>
        </row>
        <row r="2392">
          <cell r="A2392" t="str">
            <v>6728170</v>
          </cell>
          <cell r="B2392" t="str">
            <v>1333935</v>
          </cell>
          <cell r="C2392" t="str">
            <v>6354RDSO-832-702-MS19</v>
          </cell>
          <cell r="D2392" t="str">
            <v>6354RDSO</v>
          </cell>
          <cell r="E2392" t="str">
            <v>6354RDSO GLOCK 17MOS X300U COR MLTCM LH</v>
          </cell>
          <cell r="F2392" t="str">
            <v>DG-HOLSTER-RDS</v>
          </cell>
          <cell r="G2392" t="str">
            <v>1420-210-FG</v>
          </cell>
          <cell r="H2392" t="str">
            <v>F</v>
          </cell>
          <cell r="I2392" t="str">
            <v>06/11/2024</v>
          </cell>
          <cell r="J2392" t="str">
            <v>06/14/2024</v>
          </cell>
          <cell r="K2392" t="str">
            <v>06/28/2024</v>
          </cell>
          <cell r="L2392">
            <v>5</v>
          </cell>
          <cell r="M2392" t="str">
            <v/>
          </cell>
          <cell r="N2392" t="str">
            <v>26</v>
          </cell>
          <cell r="O2392">
            <v>5</v>
          </cell>
          <cell r="P2392">
            <v>2.17</v>
          </cell>
        </row>
        <row r="2393">
          <cell r="A2393" t="str">
            <v>6728008</v>
          </cell>
          <cell r="B2393" t="str">
            <v>1123885</v>
          </cell>
          <cell r="C2393" t="str">
            <v>6360-832-131</v>
          </cell>
          <cell r="D2393" t="str">
            <v>6360</v>
          </cell>
          <cell r="E2393" t="str">
            <v>6360 GLOCK 17/22 X300U STX TAC BLK RH</v>
          </cell>
          <cell r="F2393" t="str">
            <v>DG-HOLSTER-DTC</v>
          </cell>
          <cell r="G2393" t="str">
            <v>1420-210-FG</v>
          </cell>
          <cell r="H2393" t="str">
            <v>F</v>
          </cell>
          <cell r="I2393" t="str">
            <v>06/11/2024</v>
          </cell>
          <cell r="J2393" t="str">
            <v>06/14/2024</v>
          </cell>
          <cell r="K2393" t="str">
            <v>06/28/2024</v>
          </cell>
          <cell r="L2393">
            <v>100</v>
          </cell>
          <cell r="M2393" t="str">
            <v/>
          </cell>
          <cell r="N2393" t="str">
            <v>26</v>
          </cell>
          <cell r="O2393">
            <v>100</v>
          </cell>
          <cell r="P2393">
            <v>40.79</v>
          </cell>
        </row>
        <row r="2394">
          <cell r="A2394" t="str">
            <v>6728010</v>
          </cell>
          <cell r="B2394" t="str">
            <v>1130666</v>
          </cell>
          <cell r="C2394" t="str">
            <v>6360-283-411</v>
          </cell>
          <cell r="D2394" t="str">
            <v>6360</v>
          </cell>
          <cell r="E2394" t="str">
            <v>6360 GLOCK 19/23 STX PLN BLK RH</v>
          </cell>
          <cell r="F2394" t="str">
            <v>DG-HOLSTER-DTC</v>
          </cell>
          <cell r="G2394" t="str">
            <v>1420-210-FG</v>
          </cell>
          <cell r="H2394" t="str">
            <v>F</v>
          </cell>
          <cell r="I2394" t="str">
            <v>06/11/2024</v>
          </cell>
          <cell r="J2394" t="str">
            <v>06/14/2024</v>
          </cell>
          <cell r="K2394" t="str">
            <v>06/28/2024</v>
          </cell>
          <cell r="L2394">
            <v>30</v>
          </cell>
          <cell r="M2394" t="str">
            <v/>
          </cell>
          <cell r="N2394" t="str">
            <v>26</v>
          </cell>
          <cell r="O2394">
            <v>30</v>
          </cell>
          <cell r="P2394">
            <v>7.98</v>
          </cell>
        </row>
        <row r="2395">
          <cell r="A2395" t="str">
            <v>6728052</v>
          </cell>
          <cell r="B2395" t="str">
            <v>1129251</v>
          </cell>
          <cell r="C2395" t="str">
            <v>6360-2832-481</v>
          </cell>
          <cell r="D2395" t="str">
            <v>6360</v>
          </cell>
          <cell r="E2395" t="str">
            <v>6360 GLOCK 19/23 X300U STX BSK BLK RH</v>
          </cell>
          <cell r="F2395" t="str">
            <v>DG-HOLSTER-DTC</v>
          </cell>
          <cell r="G2395" t="str">
            <v>1420-210-FG</v>
          </cell>
          <cell r="H2395" t="str">
            <v>F</v>
          </cell>
          <cell r="I2395" t="str">
            <v>06/11/2024</v>
          </cell>
          <cell r="J2395" t="str">
            <v>06/14/2024</v>
          </cell>
          <cell r="K2395" t="str">
            <v>06/28/2024</v>
          </cell>
          <cell r="L2395">
            <v>10</v>
          </cell>
          <cell r="M2395" t="str">
            <v/>
          </cell>
          <cell r="N2395" t="str">
            <v>26</v>
          </cell>
          <cell r="O2395">
            <v>10</v>
          </cell>
          <cell r="P2395">
            <v>4.08</v>
          </cell>
        </row>
        <row r="2396">
          <cell r="A2396" t="str">
            <v>6727912</v>
          </cell>
          <cell r="B2396" t="str">
            <v>1127675</v>
          </cell>
          <cell r="C2396" t="str">
            <v>6360-3832-131</v>
          </cell>
          <cell r="D2396" t="str">
            <v>6360</v>
          </cell>
          <cell r="E2396" t="str">
            <v>6360 GLOCK 20/21 X300U STX TAC BLK RH</v>
          </cell>
          <cell r="F2396" t="str">
            <v>DG-HOLSTER</v>
          </cell>
          <cell r="G2396" t="str">
            <v>1420-210-FG</v>
          </cell>
          <cell r="H2396" t="str">
            <v>F</v>
          </cell>
          <cell r="I2396" t="str">
            <v>06/11/2024</v>
          </cell>
          <cell r="J2396" t="str">
            <v>06/14/2024</v>
          </cell>
          <cell r="K2396" t="str">
            <v>06/28/2024</v>
          </cell>
          <cell r="L2396">
            <v>50</v>
          </cell>
          <cell r="M2396" t="str">
            <v/>
          </cell>
          <cell r="N2396" t="str">
            <v>26</v>
          </cell>
          <cell r="O2396">
            <v>50</v>
          </cell>
          <cell r="P2396">
            <v>18.77</v>
          </cell>
        </row>
        <row r="2397">
          <cell r="A2397" t="str">
            <v>6727930</v>
          </cell>
          <cell r="B2397" t="str">
            <v>1123338</v>
          </cell>
          <cell r="C2397" t="str">
            <v>6360-683-131</v>
          </cell>
          <cell r="D2397" t="str">
            <v>6360</v>
          </cell>
          <cell r="E2397" t="str">
            <v>6360 GLOCK 34/35 STX TAC BLK RH</v>
          </cell>
          <cell r="F2397" t="str">
            <v>DG-HOLSTER</v>
          </cell>
          <cell r="G2397" t="str">
            <v>1420-210-FG</v>
          </cell>
          <cell r="H2397" t="str">
            <v>F</v>
          </cell>
          <cell r="I2397" t="str">
            <v>06/11/2024</v>
          </cell>
          <cell r="J2397" t="str">
            <v>06/14/2024</v>
          </cell>
          <cell r="K2397" t="str">
            <v>06/28/2024</v>
          </cell>
          <cell r="L2397">
            <v>7</v>
          </cell>
          <cell r="M2397" t="str">
            <v/>
          </cell>
          <cell r="N2397" t="str">
            <v>26</v>
          </cell>
          <cell r="O2397">
            <v>7</v>
          </cell>
          <cell r="P2397">
            <v>1.64</v>
          </cell>
        </row>
        <row r="2398">
          <cell r="A2398" t="str">
            <v>6727910</v>
          </cell>
          <cell r="B2398" t="str">
            <v>1125642</v>
          </cell>
          <cell r="C2398" t="str">
            <v>6360-2192-481</v>
          </cell>
          <cell r="D2398" t="str">
            <v>6360</v>
          </cell>
          <cell r="E2398" t="str">
            <v>6360 S&amp;W M&amp;P9/40 4IN X300 STX BSK BLK RH</v>
          </cell>
          <cell r="F2398" t="str">
            <v>DG-HOLSTER</v>
          </cell>
          <cell r="G2398" t="str">
            <v>1420-210-FG</v>
          </cell>
          <cell r="H2398" t="str">
            <v>F</v>
          </cell>
          <cell r="I2398" t="str">
            <v>06/11/2024</v>
          </cell>
          <cell r="J2398" t="str">
            <v>06/14/2024</v>
          </cell>
          <cell r="K2398" t="str">
            <v>06/28/2024</v>
          </cell>
          <cell r="L2398">
            <v>25</v>
          </cell>
          <cell r="M2398" t="str">
            <v/>
          </cell>
          <cell r="N2398" t="str">
            <v>26</v>
          </cell>
          <cell r="O2398">
            <v>25</v>
          </cell>
          <cell r="P2398">
            <v>9.39</v>
          </cell>
        </row>
        <row r="2399">
          <cell r="A2399" t="str">
            <v>6727933</v>
          </cell>
          <cell r="B2399" t="str">
            <v>1124692</v>
          </cell>
          <cell r="C2399" t="str">
            <v>6360-7742-411</v>
          </cell>
          <cell r="D2399" t="str">
            <v>6360</v>
          </cell>
          <cell r="E2399" t="str">
            <v>6360 SIG P226R X300 STX PLN BLK RH</v>
          </cell>
          <cell r="F2399" t="str">
            <v>DG-HOLSTER</v>
          </cell>
          <cell r="G2399" t="str">
            <v>1420-210-FG</v>
          </cell>
          <cell r="H2399" t="str">
            <v>F</v>
          </cell>
          <cell r="I2399" t="str">
            <v>06/11/2024</v>
          </cell>
          <cell r="J2399" t="str">
            <v>06/14/2024</v>
          </cell>
          <cell r="K2399" t="str">
            <v>06/28/2024</v>
          </cell>
          <cell r="L2399">
            <v>30</v>
          </cell>
          <cell r="M2399" t="str">
            <v/>
          </cell>
          <cell r="N2399" t="str">
            <v>26</v>
          </cell>
          <cell r="O2399">
            <v>30</v>
          </cell>
          <cell r="P2399">
            <v>11.24</v>
          </cell>
        </row>
        <row r="2400">
          <cell r="A2400" t="str">
            <v>6728199</v>
          </cell>
          <cell r="B2400" t="str">
            <v>1205451</v>
          </cell>
          <cell r="C2400" t="str">
            <v>6360RDS-8321-481</v>
          </cell>
          <cell r="D2400" t="str">
            <v>6360RDS</v>
          </cell>
          <cell r="E2400" t="str">
            <v>6360RDS GLOCK 17MOS TLR 2 STX BSK BLK RH</v>
          </cell>
          <cell r="F2400" t="str">
            <v>DG-HOLSTER-RDS-DTC</v>
          </cell>
          <cell r="G2400" t="str">
            <v>1420-210-FG</v>
          </cell>
          <cell r="H2400" t="str">
            <v>F</v>
          </cell>
          <cell r="I2400" t="str">
            <v>06/11/2024</v>
          </cell>
          <cell r="J2400" t="str">
            <v>06/14/2024</v>
          </cell>
          <cell r="K2400" t="str">
            <v>06/28/2024</v>
          </cell>
          <cell r="L2400">
            <v>5</v>
          </cell>
          <cell r="M2400" t="str">
            <v/>
          </cell>
          <cell r="N2400" t="str">
            <v>26</v>
          </cell>
          <cell r="O2400">
            <v>5</v>
          </cell>
          <cell r="P2400">
            <v>2.17</v>
          </cell>
        </row>
        <row r="2401">
          <cell r="A2401" t="str">
            <v>6728212</v>
          </cell>
          <cell r="B2401" t="str">
            <v>1321424</v>
          </cell>
          <cell r="C2401" t="str">
            <v>6360RDS-8321-781</v>
          </cell>
          <cell r="D2401" t="str">
            <v>6360RDS</v>
          </cell>
          <cell r="E2401" t="str">
            <v>6360RDS GLOCK 17MOS TLR 2  COR BLK RH</v>
          </cell>
          <cell r="F2401" t="str">
            <v>DG-HOLSTER-RDS-DTC</v>
          </cell>
          <cell r="G2401" t="str">
            <v>1420-210-FG</v>
          </cell>
          <cell r="H2401" t="str">
            <v>F</v>
          </cell>
          <cell r="I2401" t="str">
            <v>06/11/2024</v>
          </cell>
          <cell r="J2401" t="str">
            <v>06/14/2024</v>
          </cell>
          <cell r="K2401" t="str">
            <v>06/28/2024</v>
          </cell>
          <cell r="L2401">
            <v>5</v>
          </cell>
          <cell r="M2401" t="str">
            <v/>
          </cell>
          <cell r="N2401" t="str">
            <v>26</v>
          </cell>
          <cell r="O2401">
            <v>5</v>
          </cell>
          <cell r="P2401">
            <v>2.17</v>
          </cell>
        </row>
        <row r="2402">
          <cell r="A2402" t="str">
            <v>6728228</v>
          </cell>
          <cell r="B2402" t="str">
            <v>1333005</v>
          </cell>
          <cell r="C2402" t="str">
            <v>6360RDS-28327-412</v>
          </cell>
          <cell r="D2402" t="str">
            <v>6360RDS</v>
          </cell>
          <cell r="E2402" t="str">
            <v>6360RDS GLOCK 19MOS TLR-7 STX PLN BLK LH</v>
          </cell>
          <cell r="F2402" t="str">
            <v>DG-HOLSTER-RDS-DTC</v>
          </cell>
          <cell r="G2402" t="str">
            <v>1420-210-FG</v>
          </cell>
          <cell r="H2402" t="str">
            <v>F</v>
          </cell>
          <cell r="I2402" t="str">
            <v>06/11/2024</v>
          </cell>
          <cell r="J2402" t="str">
            <v>06/14/2024</v>
          </cell>
          <cell r="K2402" t="str">
            <v>06/28/2024</v>
          </cell>
          <cell r="L2402">
            <v>5</v>
          </cell>
          <cell r="M2402" t="str">
            <v/>
          </cell>
          <cell r="N2402" t="str">
            <v>26</v>
          </cell>
          <cell r="O2402">
            <v>5</v>
          </cell>
          <cell r="P2402">
            <v>2.17</v>
          </cell>
        </row>
        <row r="2403">
          <cell r="A2403" t="str">
            <v>6728278</v>
          </cell>
          <cell r="B2403" t="str">
            <v>1333004</v>
          </cell>
          <cell r="C2403" t="str">
            <v>6360RDS-28327-411</v>
          </cell>
          <cell r="D2403" t="str">
            <v>6360RDS</v>
          </cell>
          <cell r="E2403" t="str">
            <v>6360RDS GLOCK 19MOS TLR-7 STX PLN BLK RH</v>
          </cell>
          <cell r="F2403" t="str">
            <v>DG-HOLSTER-RDS-DTC</v>
          </cell>
          <cell r="G2403" t="str">
            <v>1420-210-FG</v>
          </cell>
          <cell r="H2403" t="str">
            <v>F</v>
          </cell>
          <cell r="I2403" t="str">
            <v>06/11/2024</v>
          </cell>
          <cell r="J2403" t="str">
            <v>06/14/2024</v>
          </cell>
          <cell r="K2403" t="str">
            <v>06/28/2024</v>
          </cell>
          <cell r="L2403">
            <v>40</v>
          </cell>
          <cell r="M2403" t="str">
            <v/>
          </cell>
          <cell r="N2403" t="str">
            <v>26</v>
          </cell>
          <cell r="O2403">
            <v>40</v>
          </cell>
          <cell r="P2403">
            <v>17.32</v>
          </cell>
        </row>
        <row r="2404">
          <cell r="A2404" t="str">
            <v>6728272</v>
          </cell>
          <cell r="B2404" t="str">
            <v>1204134</v>
          </cell>
          <cell r="C2404" t="str">
            <v>6360RDS-2832-411</v>
          </cell>
          <cell r="D2404" t="str">
            <v>6360RDS</v>
          </cell>
          <cell r="E2404" t="str">
            <v>6360RDS GLOCK 19MOS X300U STX PLN BLK RH</v>
          </cell>
          <cell r="F2404" t="str">
            <v>DG-HOLSTER-RDS-DTC</v>
          </cell>
          <cell r="G2404" t="str">
            <v>1420-210-FG</v>
          </cell>
          <cell r="H2404" t="str">
            <v>R</v>
          </cell>
          <cell r="I2404" t="str">
            <v>06/11/2024</v>
          </cell>
          <cell r="J2404" t="str">
            <v>06/14/2024</v>
          </cell>
          <cell r="K2404" t="str">
            <v>06/28/2024</v>
          </cell>
          <cell r="L2404">
            <v>100</v>
          </cell>
          <cell r="M2404" t="str">
            <v>6/13/2024 2:34:25 PM</v>
          </cell>
          <cell r="N2404" t="str">
            <v>26</v>
          </cell>
          <cell r="O2404">
            <v>100</v>
          </cell>
          <cell r="P2404">
            <v>40</v>
          </cell>
        </row>
        <row r="2405">
          <cell r="A2405" t="str">
            <v>6728273</v>
          </cell>
          <cell r="B2405" t="str">
            <v>1204134</v>
          </cell>
          <cell r="C2405" t="str">
            <v>6360RDS-2832-411</v>
          </cell>
          <cell r="D2405" t="str">
            <v>6360RDS</v>
          </cell>
          <cell r="E2405" t="str">
            <v>6360RDS GLOCK 19MOS X300U STX PLN BLK RH</v>
          </cell>
          <cell r="F2405" t="str">
            <v>DG-HOLSTER-RDS-DTC</v>
          </cell>
          <cell r="G2405" t="str">
            <v>1420-210-FG</v>
          </cell>
          <cell r="H2405" t="str">
            <v>R</v>
          </cell>
          <cell r="I2405" t="str">
            <v>06/11/2024</v>
          </cell>
          <cell r="J2405" t="str">
            <v>06/14/2024</v>
          </cell>
          <cell r="K2405" t="str">
            <v>06/28/2024</v>
          </cell>
          <cell r="L2405">
            <v>100</v>
          </cell>
          <cell r="M2405" t="str">
            <v>6/13/2024 2:34:06 PM</v>
          </cell>
          <cell r="N2405" t="str">
            <v>26</v>
          </cell>
          <cell r="O2405">
            <v>100</v>
          </cell>
          <cell r="P2405">
            <v>40</v>
          </cell>
        </row>
        <row r="2406">
          <cell r="A2406" t="str">
            <v>6728048</v>
          </cell>
          <cell r="B2406" t="str">
            <v>1128825</v>
          </cell>
          <cell r="C2406" t="str">
            <v>6367-2832-131</v>
          </cell>
          <cell r="D2406" t="str">
            <v>6367</v>
          </cell>
          <cell r="E2406" t="str">
            <v>6367 GLOCK 19/23 X300U STX TAC BLK RH</v>
          </cell>
          <cell r="F2406" t="str">
            <v>DG-HOLSTER-DTC</v>
          </cell>
          <cell r="G2406" t="str">
            <v>1420-210-FG</v>
          </cell>
          <cell r="H2406" t="str">
            <v>F</v>
          </cell>
          <cell r="I2406" t="str">
            <v>06/11/2024</v>
          </cell>
          <cell r="J2406" t="str">
            <v>06/14/2024</v>
          </cell>
          <cell r="K2406" t="str">
            <v>06/28/2024</v>
          </cell>
          <cell r="L2406">
            <v>5</v>
          </cell>
          <cell r="M2406" t="str">
            <v/>
          </cell>
          <cell r="N2406" t="str">
            <v>26</v>
          </cell>
          <cell r="O2406">
            <v>5</v>
          </cell>
          <cell r="P2406">
            <v>1.33</v>
          </cell>
        </row>
        <row r="2407">
          <cell r="A2407" t="str">
            <v>6728296</v>
          </cell>
          <cell r="B2407" t="str">
            <v>1323768</v>
          </cell>
          <cell r="C2407" t="str">
            <v>637-83-62</v>
          </cell>
          <cell r="D2407" t="str">
            <v>637</v>
          </cell>
          <cell r="E2407" t="str">
            <v>637 GLOCK 17/22  PLN BLK LH</v>
          </cell>
          <cell r="F2407" t="str">
            <v>DG-HOLSTER-SEW-DTC</v>
          </cell>
          <cell r="G2407" t="str">
            <v>1420-210-FG</v>
          </cell>
          <cell r="H2407" t="str">
            <v>F</v>
          </cell>
          <cell r="I2407" t="str">
            <v>06/11/2024</v>
          </cell>
          <cell r="J2407" t="str">
            <v>06/14/2024</v>
          </cell>
          <cell r="K2407" t="str">
            <v>06/28/2024</v>
          </cell>
          <cell r="L2407">
            <v>5</v>
          </cell>
          <cell r="M2407" t="str">
            <v/>
          </cell>
          <cell r="N2407" t="str">
            <v>26</v>
          </cell>
          <cell r="O2407">
            <v>5</v>
          </cell>
          <cell r="P2407">
            <v>2.42</v>
          </cell>
        </row>
        <row r="2408">
          <cell r="A2408" t="str">
            <v>6728297</v>
          </cell>
          <cell r="B2408" t="str">
            <v>1323770</v>
          </cell>
          <cell r="C2408" t="str">
            <v>637-283-62</v>
          </cell>
          <cell r="D2408" t="str">
            <v>637</v>
          </cell>
          <cell r="E2408" t="str">
            <v>637 GLOCK 19/23  PLN BLK LH</v>
          </cell>
          <cell r="F2408" t="str">
            <v>DG-HOLSTER-SEW-DTC</v>
          </cell>
          <cell r="G2408" t="str">
            <v>1420-210-FG</v>
          </cell>
          <cell r="H2408" t="str">
            <v>F</v>
          </cell>
          <cell r="I2408" t="str">
            <v>06/11/2024</v>
          </cell>
          <cell r="J2408" t="str">
            <v>06/14/2024</v>
          </cell>
          <cell r="K2408" t="str">
            <v>06/28/2024</v>
          </cell>
          <cell r="L2408">
            <v>5</v>
          </cell>
          <cell r="M2408" t="str">
            <v/>
          </cell>
          <cell r="N2408" t="str">
            <v>26</v>
          </cell>
          <cell r="O2408">
            <v>5</v>
          </cell>
          <cell r="P2408">
            <v>2.42</v>
          </cell>
        </row>
        <row r="2409">
          <cell r="A2409" t="str">
            <v>6728300</v>
          </cell>
          <cell r="B2409" t="str">
            <v>1323769</v>
          </cell>
          <cell r="C2409" t="str">
            <v>637-283-61</v>
          </cell>
          <cell r="D2409" t="str">
            <v>637</v>
          </cell>
          <cell r="E2409" t="str">
            <v>637 GLOCK 19/23  PLN BLK RH</v>
          </cell>
          <cell r="F2409" t="str">
            <v>DG-HOLSTER-SEW-DTC</v>
          </cell>
          <cell r="G2409" t="str">
            <v>1420-210-FG</v>
          </cell>
          <cell r="H2409" t="str">
            <v>F</v>
          </cell>
          <cell r="I2409" t="str">
            <v>06/11/2024</v>
          </cell>
          <cell r="J2409" t="str">
            <v>06/14/2024</v>
          </cell>
          <cell r="K2409" t="str">
            <v>06/28/2024</v>
          </cell>
          <cell r="L2409">
            <v>20</v>
          </cell>
          <cell r="M2409" t="str">
            <v/>
          </cell>
          <cell r="N2409" t="str">
            <v>26</v>
          </cell>
          <cell r="O2409">
            <v>20</v>
          </cell>
          <cell r="P2409">
            <v>9.66</v>
          </cell>
        </row>
        <row r="2410">
          <cell r="A2410" t="str">
            <v>6727931</v>
          </cell>
          <cell r="B2410" t="str">
            <v>1124351</v>
          </cell>
          <cell r="C2410" t="str">
            <v>6377-283-411</v>
          </cell>
          <cell r="D2410" t="str">
            <v>6377</v>
          </cell>
          <cell r="E2410" t="str">
            <v>6377 GLOCK 19/23 STX PLN BLK RH</v>
          </cell>
          <cell r="F2410" t="str">
            <v>DG-HOLSTER</v>
          </cell>
          <cell r="G2410" t="str">
            <v>1420-210-FG</v>
          </cell>
          <cell r="H2410" t="str">
            <v>F</v>
          </cell>
          <cell r="I2410" t="str">
            <v>06/11/2024</v>
          </cell>
          <cell r="J2410" t="str">
            <v>06/14/2024</v>
          </cell>
          <cell r="K2410" t="str">
            <v>06/28/2024</v>
          </cell>
          <cell r="L2410">
            <v>10</v>
          </cell>
          <cell r="M2410" t="str">
            <v/>
          </cell>
          <cell r="N2410" t="str">
            <v>26</v>
          </cell>
          <cell r="O2410">
            <v>10</v>
          </cell>
          <cell r="P2410">
            <v>4.5</v>
          </cell>
        </row>
        <row r="2411">
          <cell r="A2411" t="str">
            <v>6728056</v>
          </cell>
          <cell r="B2411" t="str">
            <v>1130049</v>
          </cell>
          <cell r="C2411" t="str">
            <v>6378-832-412</v>
          </cell>
          <cell r="D2411" t="str">
            <v>6378</v>
          </cell>
          <cell r="E2411" t="str">
            <v>6378 GLOCK 17/22 W/X300 STX PLN BLK LH</v>
          </cell>
          <cell r="F2411" t="str">
            <v>DG-HOLSTER-DTC</v>
          </cell>
          <cell r="G2411" t="str">
            <v>1420-210-FG</v>
          </cell>
          <cell r="H2411" t="str">
            <v>F</v>
          </cell>
          <cell r="I2411" t="str">
            <v>06/11/2024</v>
          </cell>
          <cell r="J2411" t="str">
            <v>06/14/2024</v>
          </cell>
          <cell r="K2411" t="str">
            <v>06/28/2024</v>
          </cell>
          <cell r="L2411">
            <v>10</v>
          </cell>
          <cell r="M2411" t="str">
            <v/>
          </cell>
          <cell r="N2411" t="str">
            <v>26</v>
          </cell>
          <cell r="O2411">
            <v>10</v>
          </cell>
          <cell r="P2411">
            <v>3.81</v>
          </cell>
        </row>
        <row r="2412">
          <cell r="A2412" t="str">
            <v>6728009</v>
          </cell>
          <cell r="B2412" t="str">
            <v>1124355</v>
          </cell>
          <cell r="C2412" t="str">
            <v>6378-283-411</v>
          </cell>
          <cell r="D2412" t="str">
            <v>6378</v>
          </cell>
          <cell r="E2412" t="str">
            <v>6378 GLOCK 19/23 STX PLN BLK RH</v>
          </cell>
          <cell r="F2412" t="str">
            <v>DG-HOLSTER-DTC</v>
          </cell>
          <cell r="G2412" t="str">
            <v>1420-210-FG</v>
          </cell>
          <cell r="H2412" t="str">
            <v>F</v>
          </cell>
          <cell r="I2412" t="str">
            <v>06/11/2024</v>
          </cell>
          <cell r="J2412" t="str">
            <v>06/14/2024</v>
          </cell>
          <cell r="K2412" t="str">
            <v>06/28/2024</v>
          </cell>
          <cell r="L2412">
            <v>50</v>
          </cell>
          <cell r="M2412" t="str">
            <v/>
          </cell>
          <cell r="N2412" t="str">
            <v>26</v>
          </cell>
          <cell r="O2412">
            <v>50</v>
          </cell>
          <cell r="P2412">
            <v>22.55</v>
          </cell>
        </row>
        <row r="2413">
          <cell r="A2413" t="str">
            <v>6728044</v>
          </cell>
          <cell r="B2413" t="str">
            <v>1125508</v>
          </cell>
          <cell r="C2413" t="str">
            <v>6378-219-131</v>
          </cell>
          <cell r="D2413" t="str">
            <v>6378</v>
          </cell>
          <cell r="E2413" t="str">
            <v>6378 S&amp;W M&amp;P9/40 1.0 STX TAC BLK RH</v>
          </cell>
          <cell r="F2413" t="str">
            <v>DG-HOLSTER-DTC</v>
          </cell>
          <cell r="G2413" t="str">
            <v>1420-210-FG</v>
          </cell>
          <cell r="H2413" t="str">
            <v>F</v>
          </cell>
          <cell r="I2413" t="str">
            <v>06/11/2024</v>
          </cell>
          <cell r="J2413" t="str">
            <v>06/14/2024</v>
          </cell>
          <cell r="K2413" t="str">
            <v>06/28/2024</v>
          </cell>
          <cell r="L2413">
            <v>5</v>
          </cell>
          <cell r="M2413" t="str">
            <v/>
          </cell>
          <cell r="N2413" t="str">
            <v>26</v>
          </cell>
          <cell r="O2413">
            <v>5</v>
          </cell>
          <cell r="P2413">
            <v>2.09</v>
          </cell>
        </row>
        <row r="2414">
          <cell r="A2414" t="str">
            <v>6728271</v>
          </cell>
          <cell r="B2414" t="str">
            <v>1203868</v>
          </cell>
          <cell r="C2414" t="str">
            <v>6378RDS-832-411</v>
          </cell>
          <cell r="D2414" t="str">
            <v>6378RDS</v>
          </cell>
          <cell r="E2414" t="str">
            <v>6378RDS GLOCK 17MOS X300U STX TAC BLK RH</v>
          </cell>
          <cell r="F2414" t="str">
            <v>DG-HOLSTER-RDS-DTC</v>
          </cell>
          <cell r="G2414" t="str">
            <v>1420-210-FG</v>
          </cell>
          <cell r="H2414" t="str">
            <v>F</v>
          </cell>
          <cell r="I2414" t="str">
            <v>06/11/2024</v>
          </cell>
          <cell r="J2414" t="str">
            <v>06/14/2024</v>
          </cell>
          <cell r="K2414" t="str">
            <v>06/28/2024</v>
          </cell>
          <cell r="L2414">
            <v>30</v>
          </cell>
          <cell r="M2414" t="str">
            <v/>
          </cell>
          <cell r="N2414" t="str">
            <v>26</v>
          </cell>
          <cell r="O2414">
            <v>30</v>
          </cell>
          <cell r="P2414">
            <v>12.99</v>
          </cell>
        </row>
        <row r="2415">
          <cell r="A2415" t="str">
            <v>6728277</v>
          </cell>
          <cell r="B2415" t="str">
            <v>1305390</v>
          </cell>
          <cell r="C2415" t="str">
            <v>6378RDS-2832-131</v>
          </cell>
          <cell r="D2415" t="str">
            <v>6378RDS</v>
          </cell>
          <cell r="E2415" t="str">
            <v>6378RDS GLOCK 19MOS X300U STX TAC BLK RH</v>
          </cell>
          <cell r="F2415" t="str">
            <v>DG-HOLSTER-RDS-DTC</v>
          </cell>
          <cell r="G2415" t="str">
            <v>1420-210-FG</v>
          </cell>
          <cell r="H2415" t="str">
            <v>F</v>
          </cell>
          <cell r="I2415" t="str">
            <v>06/11/2024</v>
          </cell>
          <cell r="J2415" t="str">
            <v>06/14/2024</v>
          </cell>
          <cell r="K2415" t="str">
            <v>06/28/2024</v>
          </cell>
          <cell r="L2415">
            <v>50</v>
          </cell>
          <cell r="M2415" t="str">
            <v/>
          </cell>
          <cell r="N2415" t="str">
            <v>26</v>
          </cell>
          <cell r="O2415">
            <v>50</v>
          </cell>
          <cell r="P2415">
            <v>20</v>
          </cell>
        </row>
        <row r="2416">
          <cell r="A2416" t="str">
            <v>6728093</v>
          </cell>
          <cell r="B2416" t="str">
            <v>1208572</v>
          </cell>
          <cell r="C2416" t="str">
            <v>6390-8325-411</v>
          </cell>
          <cell r="D2416" t="str">
            <v>6390</v>
          </cell>
          <cell r="E2416" t="str">
            <v>6390 GLOCK 17 GEN5 X300U STX PLN BLK RH</v>
          </cell>
          <cell r="F2416" t="str">
            <v>DG-HOLSTER-DTC</v>
          </cell>
          <cell r="G2416" t="str">
            <v>1420-210-FG</v>
          </cell>
          <cell r="H2416" t="str">
            <v>F</v>
          </cell>
          <cell r="I2416" t="str">
            <v>06/11/2024</v>
          </cell>
          <cell r="J2416" t="str">
            <v>06/14/2024</v>
          </cell>
          <cell r="K2416" t="str">
            <v>06/28/2024</v>
          </cell>
          <cell r="L2416">
            <v>6</v>
          </cell>
          <cell r="M2416" t="str">
            <v/>
          </cell>
          <cell r="N2416" t="str">
            <v>26</v>
          </cell>
          <cell r="O2416">
            <v>6</v>
          </cell>
          <cell r="P2416">
            <v>1.94</v>
          </cell>
        </row>
        <row r="2417">
          <cell r="A2417" t="str">
            <v>6728070</v>
          </cell>
          <cell r="B2417" t="str">
            <v>1151229</v>
          </cell>
          <cell r="C2417" t="str">
            <v>6390-83-491</v>
          </cell>
          <cell r="D2417" t="str">
            <v>6390</v>
          </cell>
          <cell r="E2417" t="str">
            <v>6390 GLOCK 17/22 STX HGS BLK RH</v>
          </cell>
          <cell r="F2417" t="str">
            <v>DG-HOLSTER-DTC</v>
          </cell>
          <cell r="G2417" t="str">
            <v>1420-210-FG</v>
          </cell>
          <cell r="H2417" t="str">
            <v>F</v>
          </cell>
          <cell r="I2417" t="str">
            <v>06/11/2024</v>
          </cell>
          <cell r="J2417" t="str">
            <v>06/14/2024</v>
          </cell>
          <cell r="K2417" t="str">
            <v>06/28/2024</v>
          </cell>
          <cell r="L2417">
            <v>5</v>
          </cell>
          <cell r="M2417" t="str">
            <v/>
          </cell>
          <cell r="N2417" t="str">
            <v>26</v>
          </cell>
          <cell r="O2417">
            <v>5</v>
          </cell>
          <cell r="P2417">
            <v>1.1499999999999999</v>
          </cell>
        </row>
        <row r="2418">
          <cell r="A2418" t="str">
            <v>6728270</v>
          </cell>
          <cell r="B2418" t="str">
            <v>1201629</v>
          </cell>
          <cell r="C2418" t="str">
            <v>6390RDS-832-481</v>
          </cell>
          <cell r="D2418" t="str">
            <v>6390RDS</v>
          </cell>
          <cell r="E2418" t="str">
            <v>6390RDS GLOCK 17MOS X300U STX BSK BLK RH</v>
          </cell>
          <cell r="F2418" t="str">
            <v>DG-HOLSTER-RDS-DTC</v>
          </cell>
          <cell r="G2418" t="str">
            <v>1420-210-FG</v>
          </cell>
          <cell r="H2418" t="str">
            <v>F</v>
          </cell>
          <cell r="I2418" t="str">
            <v>06/11/2024</v>
          </cell>
          <cell r="J2418" t="str">
            <v>06/14/2024</v>
          </cell>
          <cell r="K2418" t="str">
            <v>06/28/2024</v>
          </cell>
          <cell r="L2418">
            <v>40</v>
          </cell>
          <cell r="M2418" t="str">
            <v/>
          </cell>
          <cell r="N2418" t="str">
            <v>26</v>
          </cell>
          <cell r="O2418">
            <v>40</v>
          </cell>
          <cell r="P2418">
            <v>17.32</v>
          </cell>
        </row>
        <row r="2419">
          <cell r="A2419" t="str">
            <v>6728275</v>
          </cell>
          <cell r="B2419" t="str">
            <v>1204220</v>
          </cell>
          <cell r="C2419" t="str">
            <v>6390RDS-2832-411</v>
          </cell>
          <cell r="D2419" t="str">
            <v>6390RDS</v>
          </cell>
          <cell r="E2419" t="str">
            <v>6390RDS GLOCK 19MOS X300U STX PLN BLK RH</v>
          </cell>
          <cell r="F2419" t="str">
            <v>DG-HOLSTER-RDS-DTC</v>
          </cell>
          <cell r="G2419" t="str">
            <v>1420-210-FG</v>
          </cell>
          <cell r="H2419" t="str">
            <v>F</v>
          </cell>
          <cell r="I2419" t="str">
            <v>06/11/2024</v>
          </cell>
          <cell r="J2419" t="str">
            <v>06/14/2024</v>
          </cell>
          <cell r="K2419" t="str">
            <v>06/28/2024</v>
          </cell>
          <cell r="L2419">
            <v>30</v>
          </cell>
          <cell r="M2419" t="str">
            <v/>
          </cell>
          <cell r="N2419" t="str">
            <v>26</v>
          </cell>
          <cell r="O2419">
            <v>30</v>
          </cell>
          <cell r="P2419">
            <v>12</v>
          </cell>
        </row>
        <row r="2420">
          <cell r="A2420" t="str">
            <v>6728276</v>
          </cell>
          <cell r="B2420" t="str">
            <v>1204220</v>
          </cell>
          <cell r="C2420" t="str">
            <v>6390RDS-2832-411</v>
          </cell>
          <cell r="D2420" t="str">
            <v>6390RDS</v>
          </cell>
          <cell r="E2420" t="str">
            <v>6390RDS GLOCK 19MOS X300U STX PLN BLK RH</v>
          </cell>
          <cell r="F2420" t="str">
            <v>DG-HOLSTER-RDS-DTC</v>
          </cell>
          <cell r="G2420" t="str">
            <v>1420-210-FG</v>
          </cell>
          <cell r="H2420" t="str">
            <v>F</v>
          </cell>
          <cell r="I2420" t="str">
            <v>06/11/2024</v>
          </cell>
          <cell r="J2420" t="str">
            <v>06/14/2024</v>
          </cell>
          <cell r="K2420" t="str">
            <v>06/28/2024</v>
          </cell>
          <cell r="L2420">
            <v>30</v>
          </cell>
          <cell r="M2420" t="str">
            <v/>
          </cell>
          <cell r="N2420" t="str">
            <v>26</v>
          </cell>
          <cell r="O2420">
            <v>30</v>
          </cell>
          <cell r="P2420">
            <v>12</v>
          </cell>
        </row>
        <row r="2421">
          <cell r="A2421" t="str">
            <v>6728185</v>
          </cell>
          <cell r="B2421" t="str">
            <v>1204222</v>
          </cell>
          <cell r="C2421" t="str">
            <v>6390RDS-2832-551</v>
          </cell>
          <cell r="D2421" t="str">
            <v>6390RDS</v>
          </cell>
          <cell r="E2421" t="str">
            <v>6390RDS GLOCK 19MOS X300U STX TAC FDE RH</v>
          </cell>
          <cell r="F2421" t="str">
            <v>DG-HOLSTER-RDS-DTC</v>
          </cell>
          <cell r="G2421" t="str">
            <v>1420-210-FG</v>
          </cell>
          <cell r="H2421" t="str">
            <v>F</v>
          </cell>
          <cell r="I2421" t="str">
            <v>06/11/2024</v>
          </cell>
          <cell r="J2421" t="str">
            <v>06/14/2024</v>
          </cell>
          <cell r="K2421" t="str">
            <v>06/28/2024</v>
          </cell>
          <cell r="L2421">
            <v>5</v>
          </cell>
          <cell r="M2421" t="str">
            <v/>
          </cell>
          <cell r="N2421" t="str">
            <v>26</v>
          </cell>
          <cell r="O2421">
            <v>5</v>
          </cell>
          <cell r="P2421">
            <v>2</v>
          </cell>
        </row>
        <row r="2422">
          <cell r="A2422" t="str">
            <v>6728144</v>
          </cell>
          <cell r="B2422" t="str">
            <v>1208155</v>
          </cell>
          <cell r="C2422" t="str">
            <v>6390RDS-7502-131</v>
          </cell>
          <cell r="D2422" t="str">
            <v>6390RDS</v>
          </cell>
          <cell r="E2422" t="str">
            <v>6390RDS SIG 320CRX X300U STX TAC BLK RH</v>
          </cell>
          <cell r="F2422" t="str">
            <v>DG-HOLSTER-RDS</v>
          </cell>
          <cell r="G2422" t="str">
            <v>1420-210-FG</v>
          </cell>
          <cell r="H2422" t="str">
            <v>F</v>
          </cell>
          <cell r="I2422" t="str">
            <v>06/11/2024</v>
          </cell>
          <cell r="J2422" t="str">
            <v>06/14/2024</v>
          </cell>
          <cell r="K2422" t="str">
            <v>06/28/2024</v>
          </cell>
          <cell r="L2422">
            <v>5</v>
          </cell>
          <cell r="M2422" t="str">
            <v/>
          </cell>
          <cell r="N2422" t="str">
            <v>26</v>
          </cell>
          <cell r="O2422">
            <v>5</v>
          </cell>
          <cell r="P2422">
            <v>2</v>
          </cell>
        </row>
        <row r="2423">
          <cell r="A2423" t="str">
            <v>6728166</v>
          </cell>
          <cell r="B2423" t="str">
            <v>1333911</v>
          </cell>
          <cell r="C2423" t="str">
            <v>6390RDSO-832-132</v>
          </cell>
          <cell r="D2423" t="str">
            <v>6390RDSO</v>
          </cell>
          <cell r="E2423" t="str">
            <v>6390RDSO GLOCK 17MOS X300U STXTAC BLK LH</v>
          </cell>
          <cell r="F2423" t="str">
            <v>DG-HOLSTER-RDS</v>
          </cell>
          <cell r="G2423" t="str">
            <v>1420-210-FG</v>
          </cell>
          <cell r="H2423" t="str">
            <v>F</v>
          </cell>
          <cell r="I2423" t="str">
            <v>06/11/2024</v>
          </cell>
          <cell r="J2423" t="str">
            <v>06/14/2024</v>
          </cell>
          <cell r="K2423" t="str">
            <v>06/28/2024</v>
          </cell>
          <cell r="L2423">
            <v>5</v>
          </cell>
          <cell r="M2423" t="str">
            <v/>
          </cell>
          <cell r="N2423" t="str">
            <v>26</v>
          </cell>
          <cell r="O2423">
            <v>5</v>
          </cell>
          <cell r="P2423">
            <v>2.17</v>
          </cell>
        </row>
        <row r="2424">
          <cell r="A2424" t="str">
            <v>6728189</v>
          </cell>
          <cell r="B2424" t="str">
            <v>1204575</v>
          </cell>
          <cell r="C2424" t="str">
            <v>6395RDS-832-701</v>
          </cell>
          <cell r="D2424" t="str">
            <v>6395RDS</v>
          </cell>
          <cell r="E2424" t="str">
            <v>6395RDS GLOCK 17MOS X300U COR MLTCM RH</v>
          </cell>
          <cell r="F2424" t="str">
            <v>DG-HOLSTER-RDS-DTC</v>
          </cell>
          <cell r="G2424" t="str">
            <v>1420-210-FG</v>
          </cell>
          <cell r="H2424" t="str">
            <v>F</v>
          </cell>
          <cell r="I2424" t="str">
            <v>06/11/2024</v>
          </cell>
          <cell r="J2424" t="str">
            <v>06/14/2024</v>
          </cell>
          <cell r="K2424" t="str">
            <v>06/28/2024</v>
          </cell>
          <cell r="L2424">
            <v>5</v>
          </cell>
          <cell r="M2424" t="str">
            <v/>
          </cell>
          <cell r="N2424" t="str">
            <v>26</v>
          </cell>
          <cell r="O2424">
            <v>5</v>
          </cell>
          <cell r="P2424">
            <v>2.17</v>
          </cell>
        </row>
        <row r="2425">
          <cell r="A2425" t="str">
            <v>6728154</v>
          </cell>
          <cell r="B2425" t="str">
            <v>1324679</v>
          </cell>
          <cell r="C2425" t="str">
            <v>6395RDS-1582-131</v>
          </cell>
          <cell r="D2425" t="str">
            <v>6395RDS</v>
          </cell>
          <cell r="E2425" t="str">
            <v>6395RDS STI STACC P 4.4" X300U STXBLK RH</v>
          </cell>
          <cell r="F2425" t="str">
            <v>DG-HOLSTER-RDS</v>
          </cell>
          <cell r="G2425" t="str">
            <v>1420-210-FG</v>
          </cell>
          <cell r="H2425" t="str">
            <v>F</v>
          </cell>
          <cell r="I2425" t="str">
            <v>06/11/2024</v>
          </cell>
          <cell r="J2425" t="str">
            <v>06/14/2024</v>
          </cell>
          <cell r="K2425" t="str">
            <v>06/28/2024</v>
          </cell>
          <cell r="L2425">
            <v>10</v>
          </cell>
          <cell r="M2425" t="str">
            <v/>
          </cell>
          <cell r="N2425" t="str">
            <v>26</v>
          </cell>
          <cell r="O2425">
            <v>10</v>
          </cell>
          <cell r="P2425">
            <v>4</v>
          </cell>
        </row>
        <row r="2426">
          <cell r="A2426" t="str">
            <v>6727719</v>
          </cell>
          <cell r="B2426" t="str">
            <v>1017379</v>
          </cell>
          <cell r="C2426" t="str">
            <v>22408</v>
          </cell>
          <cell r="D2426" t="str">
            <v>7225</v>
          </cell>
          <cell r="E2426" t="str">
            <v>7225 ERGOTEK DUTY BLT NYL BLK SZ 34-36</v>
          </cell>
          <cell r="F2426" t="str">
            <v>BN-BELT</v>
          </cell>
          <cell r="G2426" t="str">
            <v>1420-210-FG</v>
          </cell>
          <cell r="H2426" t="str">
            <v>R</v>
          </cell>
          <cell r="I2426" t="str">
            <v>06/11/2024</v>
          </cell>
          <cell r="J2426" t="str">
            <v>06/14/2024</v>
          </cell>
          <cell r="K2426" t="str">
            <v>06/28/2024</v>
          </cell>
          <cell r="L2426">
            <v>10</v>
          </cell>
          <cell r="M2426" t="str">
            <v>6/11/2024 2:36:12 PM</v>
          </cell>
          <cell r="N2426" t="str">
            <v>26</v>
          </cell>
          <cell r="O2426">
            <v>10</v>
          </cell>
          <cell r="P2426">
            <v>1.39</v>
          </cell>
        </row>
        <row r="2427">
          <cell r="A2427" t="str">
            <v>6727720</v>
          </cell>
          <cell r="B2427" t="str">
            <v>1017381</v>
          </cell>
          <cell r="C2427" t="str">
            <v>22410</v>
          </cell>
          <cell r="D2427" t="str">
            <v>7225</v>
          </cell>
          <cell r="E2427" t="str">
            <v>7225 ERGOTEK DUTY BLT NYL BLK SZ 38-40</v>
          </cell>
          <cell r="F2427" t="str">
            <v>BN-BELT</v>
          </cell>
          <cell r="G2427" t="str">
            <v>1420-210-FG</v>
          </cell>
          <cell r="H2427" t="str">
            <v>R</v>
          </cell>
          <cell r="I2427" t="str">
            <v>06/11/2024</v>
          </cell>
          <cell r="J2427" t="str">
            <v>06/14/2024</v>
          </cell>
          <cell r="K2427" t="str">
            <v>06/28/2024</v>
          </cell>
          <cell r="L2427">
            <v>5</v>
          </cell>
          <cell r="M2427" t="str">
            <v>6/11/2024 2:36:12 PM</v>
          </cell>
          <cell r="N2427" t="str">
            <v>26</v>
          </cell>
          <cell r="O2427">
            <v>5</v>
          </cell>
          <cell r="P2427">
            <v>0.71</v>
          </cell>
        </row>
        <row r="2428">
          <cell r="A2428" t="str">
            <v>6726256</v>
          </cell>
          <cell r="B2428" t="str">
            <v>1123439</v>
          </cell>
          <cell r="C2428" t="str">
            <v>75-83-4</v>
          </cell>
          <cell r="D2428" t="str">
            <v>75</v>
          </cell>
          <cell r="E2428" t="str">
            <v>75 GLOCK 17/22 BSK BLK</v>
          </cell>
          <cell r="F2428" t="str">
            <v>DG-POUCH-F1</v>
          </cell>
          <cell r="G2428" t="str">
            <v>1420-210-FG</v>
          </cell>
          <cell r="H2428" t="str">
            <v>R</v>
          </cell>
          <cell r="I2428" t="str">
            <v>06/07/2024</v>
          </cell>
          <cell r="J2428" t="str">
            <v>06/07/2024</v>
          </cell>
          <cell r="K2428" t="str">
            <v>06/28/2024</v>
          </cell>
          <cell r="L2428">
            <v>50</v>
          </cell>
          <cell r="M2428" t="str">
            <v>6/7/2024 11:44:04 AM</v>
          </cell>
          <cell r="N2428" t="str">
            <v>26</v>
          </cell>
          <cell r="O2428">
            <v>50</v>
          </cell>
          <cell r="P2428">
            <v>13.05</v>
          </cell>
        </row>
        <row r="2429">
          <cell r="A2429" t="str">
            <v>6726254</v>
          </cell>
          <cell r="B2429" t="str">
            <v>1128389</v>
          </cell>
          <cell r="C2429" t="str">
            <v>75-83-48</v>
          </cell>
          <cell r="D2429" t="str">
            <v>75</v>
          </cell>
          <cell r="E2429" t="str">
            <v>75 GLOCK 17/22 STX BSK BLK</v>
          </cell>
          <cell r="F2429" t="str">
            <v>DG-POUCH-F1</v>
          </cell>
          <cell r="G2429" t="str">
            <v>1420-210-FG</v>
          </cell>
          <cell r="H2429" t="str">
            <v>R</v>
          </cell>
          <cell r="I2429" t="str">
            <v>06/07/2024</v>
          </cell>
          <cell r="J2429" t="str">
            <v>06/07/2024</v>
          </cell>
          <cell r="K2429" t="str">
            <v>06/28/2024</v>
          </cell>
          <cell r="L2429">
            <v>25</v>
          </cell>
          <cell r="M2429" t="str">
            <v>6/7/2024 11:44:04 AM</v>
          </cell>
          <cell r="N2429" t="str">
            <v>26</v>
          </cell>
          <cell r="O2429">
            <v>25</v>
          </cell>
          <cell r="P2429">
            <v>6.52</v>
          </cell>
        </row>
        <row r="2430">
          <cell r="A2430" t="str">
            <v>6726193</v>
          </cell>
          <cell r="B2430" t="str">
            <v>1123275</v>
          </cell>
          <cell r="C2430" t="str">
            <v>75-383-13</v>
          </cell>
          <cell r="D2430" t="str">
            <v>75</v>
          </cell>
          <cell r="E2430" t="str">
            <v>75 GLOCK 20/21 STX TAC BLK</v>
          </cell>
          <cell r="F2430" t="str">
            <v>DG-POUCH-F1</v>
          </cell>
          <cell r="G2430" t="str">
            <v>1420-210-FG</v>
          </cell>
          <cell r="H2430" t="str">
            <v>R</v>
          </cell>
          <cell r="I2430" t="str">
            <v>06/07/2024</v>
          </cell>
          <cell r="J2430" t="str">
            <v>06/14/2024</v>
          </cell>
          <cell r="K2430" t="str">
            <v>06/28/2024</v>
          </cell>
          <cell r="L2430">
            <v>8</v>
          </cell>
          <cell r="M2430" t="str">
            <v>6/7/2024 11:41:41 AM</v>
          </cell>
          <cell r="N2430" t="str">
            <v>26</v>
          </cell>
          <cell r="O2430">
            <v>8</v>
          </cell>
          <cell r="P2430">
            <v>1.81</v>
          </cell>
        </row>
        <row r="2431">
          <cell r="A2431" t="str">
            <v>6728341</v>
          </cell>
          <cell r="B2431" t="str">
            <v>1323220</v>
          </cell>
          <cell r="C2431" t="str">
            <v>76-83-13PBL-NP</v>
          </cell>
          <cell r="D2431" t="str">
            <v>76</v>
          </cell>
          <cell r="E2431" t="str">
            <v>76 GLOCK 17/22 STX BLK</v>
          </cell>
          <cell r="F2431" t="str">
            <v>DG-POUCH-F1</v>
          </cell>
          <cell r="G2431" t="str">
            <v>1420-210-FG</v>
          </cell>
          <cell r="H2431" t="str">
            <v>R</v>
          </cell>
          <cell r="I2431" t="str">
            <v>06/11/2024</v>
          </cell>
          <cell r="J2431" t="str">
            <v>06/14/2024</v>
          </cell>
          <cell r="K2431" t="str">
            <v>06/28/2024</v>
          </cell>
          <cell r="L2431">
            <v>13</v>
          </cell>
          <cell r="M2431" t="str">
            <v>6/11/2024 3:20:14 PM</v>
          </cell>
          <cell r="N2431" t="str">
            <v>26</v>
          </cell>
          <cell r="O2431">
            <v>13</v>
          </cell>
          <cell r="P2431">
            <v>2.2000000000000002</v>
          </cell>
        </row>
        <row r="2432">
          <cell r="A2432" t="str">
            <v>6726261</v>
          </cell>
          <cell r="B2432" t="str">
            <v>1102214</v>
          </cell>
          <cell r="C2432" t="str">
            <v>77-83-9HS</v>
          </cell>
          <cell r="D2432" t="str">
            <v>77</v>
          </cell>
          <cell r="E2432" t="str">
            <v>77 GLOCK 17/22 HI GLS BLK</v>
          </cell>
          <cell r="F2432" t="str">
            <v>DG-POUCH-F1</v>
          </cell>
          <cell r="G2432" t="str">
            <v>1420-210-FG</v>
          </cell>
          <cell r="H2432" t="str">
            <v>R</v>
          </cell>
          <cell r="I2432" t="str">
            <v>06/07/2024</v>
          </cell>
          <cell r="J2432" t="str">
            <v>06/07/2024</v>
          </cell>
          <cell r="K2432" t="str">
            <v>06/28/2024</v>
          </cell>
          <cell r="L2432">
            <v>30</v>
          </cell>
          <cell r="M2432" t="str">
            <v>6/7/2024 11:51:05 AM</v>
          </cell>
          <cell r="N2432" t="str">
            <v>26</v>
          </cell>
          <cell r="O2432">
            <v>30</v>
          </cell>
          <cell r="P2432">
            <v>16.329999999999998</v>
          </cell>
        </row>
        <row r="2433">
          <cell r="A2433" t="str">
            <v>6726248</v>
          </cell>
          <cell r="B2433" t="str">
            <v>1102142</v>
          </cell>
          <cell r="C2433" t="str">
            <v>77-83-13PBL</v>
          </cell>
          <cell r="D2433" t="str">
            <v>77</v>
          </cell>
          <cell r="E2433" t="str">
            <v>77 GLOCK 17/22 STX TAC BLK</v>
          </cell>
          <cell r="F2433" t="str">
            <v>DG-POUCH-F1</v>
          </cell>
          <cell r="G2433" t="str">
            <v>1420-210-FG</v>
          </cell>
          <cell r="H2433" t="str">
            <v>R</v>
          </cell>
          <cell r="I2433" t="str">
            <v>06/07/2024</v>
          </cell>
          <cell r="J2433" t="str">
            <v>06/07/2024</v>
          </cell>
          <cell r="K2433" t="str">
            <v>06/28/2024</v>
          </cell>
          <cell r="L2433">
            <v>75</v>
          </cell>
          <cell r="M2433" t="str">
            <v>6/7/2024 11:47:39 AM</v>
          </cell>
          <cell r="N2433" t="str">
            <v>26</v>
          </cell>
          <cell r="O2433">
            <v>75</v>
          </cell>
          <cell r="P2433">
            <v>27.38</v>
          </cell>
        </row>
        <row r="2434">
          <cell r="A2434" t="str">
            <v>6726194</v>
          </cell>
          <cell r="B2434" t="str">
            <v>1137626</v>
          </cell>
          <cell r="C2434" t="str">
            <v>775-83-13</v>
          </cell>
          <cell r="D2434" t="str">
            <v>775</v>
          </cell>
          <cell r="E2434" t="str">
            <v>775 GLOCK 17/22 STX TAC BLK</v>
          </cell>
          <cell r="F2434" t="str">
            <v>DG-POUCH-F1</v>
          </cell>
          <cell r="G2434" t="str">
            <v>1420-210-FG</v>
          </cell>
          <cell r="H2434" t="str">
            <v>R</v>
          </cell>
          <cell r="I2434" t="str">
            <v>06/07/2024</v>
          </cell>
          <cell r="J2434" t="str">
            <v>06/07/2024</v>
          </cell>
          <cell r="K2434" t="str">
            <v>06/28/2024</v>
          </cell>
          <cell r="L2434">
            <v>100</v>
          </cell>
          <cell r="M2434" t="str">
            <v>6/7/2024 11:47:56 AM</v>
          </cell>
          <cell r="N2434" t="str">
            <v>26</v>
          </cell>
          <cell r="O2434">
            <v>100</v>
          </cell>
          <cell r="P2434">
            <v>36.61</v>
          </cell>
        </row>
        <row r="2435">
          <cell r="A2435" t="str">
            <v>6726214</v>
          </cell>
          <cell r="B2435" t="str">
            <v>1137635</v>
          </cell>
          <cell r="C2435" t="str">
            <v>78-83-9</v>
          </cell>
          <cell r="D2435" t="str">
            <v>78</v>
          </cell>
          <cell r="E2435" t="str">
            <v>78 GLOCK 17/22 HI GLS BLK</v>
          </cell>
          <cell r="F2435" t="str">
            <v>DG-POUCH-F1</v>
          </cell>
          <cell r="G2435" t="str">
            <v>1420-210-FG</v>
          </cell>
          <cell r="H2435" t="str">
            <v>R</v>
          </cell>
          <cell r="I2435" t="str">
            <v>06/07/2024</v>
          </cell>
          <cell r="J2435" t="str">
            <v>06/14/2024</v>
          </cell>
          <cell r="K2435" t="str">
            <v>06/28/2024</v>
          </cell>
          <cell r="L2435">
            <v>10</v>
          </cell>
          <cell r="M2435" t="str">
            <v>6/7/2024 11:44:04 AM</v>
          </cell>
          <cell r="N2435" t="str">
            <v>26</v>
          </cell>
          <cell r="O2435">
            <v>10</v>
          </cell>
          <cell r="P2435">
            <v>4.07</v>
          </cell>
        </row>
        <row r="2436">
          <cell r="A2436" t="str">
            <v>6726181</v>
          </cell>
          <cell r="B2436" t="str">
            <v>1138605</v>
          </cell>
          <cell r="C2436" t="str">
            <v>78-83-41</v>
          </cell>
          <cell r="D2436" t="str">
            <v>78</v>
          </cell>
          <cell r="E2436" t="str">
            <v>78 GLOCK 17/22 STX PLN BLK</v>
          </cell>
          <cell r="F2436" t="str">
            <v>DG-POUCH-F1</v>
          </cell>
          <cell r="G2436" t="str">
            <v>1420-210-FG</v>
          </cell>
          <cell r="H2436" t="str">
            <v>R</v>
          </cell>
          <cell r="I2436" t="str">
            <v>06/07/2024</v>
          </cell>
          <cell r="J2436" t="str">
            <v>06/14/2024</v>
          </cell>
          <cell r="K2436" t="str">
            <v>06/28/2024</v>
          </cell>
          <cell r="L2436">
            <v>5</v>
          </cell>
          <cell r="M2436" t="str">
            <v>6/7/2024 11:44:04 AM</v>
          </cell>
          <cell r="N2436" t="str">
            <v>26</v>
          </cell>
          <cell r="O2436">
            <v>5</v>
          </cell>
          <cell r="P2436">
            <v>2.04</v>
          </cell>
        </row>
        <row r="2437">
          <cell r="A2437" t="str">
            <v>6726134</v>
          </cell>
          <cell r="B2437" t="str">
            <v>1167385</v>
          </cell>
          <cell r="C2437" t="str">
            <v>79-83-03</v>
          </cell>
          <cell r="D2437" t="str">
            <v>79</v>
          </cell>
          <cell r="E2437" t="str">
            <v>79 GLOCK 17/22 BSK COR</v>
          </cell>
          <cell r="F2437" t="str">
            <v>DG-POUCH-F1</v>
          </cell>
          <cell r="G2437" t="str">
            <v>1420-210-FG</v>
          </cell>
          <cell r="H2437" t="str">
            <v>R</v>
          </cell>
          <cell r="I2437" t="str">
            <v>06/07/2024</v>
          </cell>
          <cell r="J2437" t="str">
            <v>06/14/2024</v>
          </cell>
          <cell r="K2437" t="str">
            <v>06/28/2024</v>
          </cell>
          <cell r="L2437">
            <v>1</v>
          </cell>
          <cell r="M2437" t="str">
            <v>6/7/2024 11:44:04 AM</v>
          </cell>
          <cell r="N2437" t="str">
            <v>26</v>
          </cell>
          <cell r="O2437">
            <v>1</v>
          </cell>
          <cell r="P2437">
            <v>0.17</v>
          </cell>
        </row>
        <row r="2438">
          <cell r="A2438" t="str">
            <v>6726212</v>
          </cell>
          <cell r="B2438" t="str">
            <v>1137895</v>
          </cell>
          <cell r="C2438" t="str">
            <v>79-383-2</v>
          </cell>
          <cell r="D2438" t="str">
            <v>79</v>
          </cell>
          <cell r="E2438" t="str">
            <v>79 GLOCK 20/21 PLN BLK</v>
          </cell>
          <cell r="F2438" t="str">
            <v>DG-POUCH-F1</v>
          </cell>
          <cell r="G2438" t="str">
            <v>1420-210-FG</v>
          </cell>
          <cell r="H2438" t="str">
            <v>R</v>
          </cell>
          <cell r="I2438" t="str">
            <v>06/07/2024</v>
          </cell>
          <cell r="J2438" t="str">
            <v>06/14/2024</v>
          </cell>
          <cell r="K2438" t="str">
            <v>06/28/2024</v>
          </cell>
          <cell r="L2438">
            <v>10</v>
          </cell>
          <cell r="M2438" t="str">
            <v>6/7/2024 11:44:04 AM</v>
          </cell>
          <cell r="N2438" t="str">
            <v>26</v>
          </cell>
          <cell r="O2438">
            <v>10</v>
          </cell>
          <cell r="P2438">
            <v>3.2</v>
          </cell>
        </row>
        <row r="2439">
          <cell r="A2439" t="str">
            <v>6727805</v>
          </cell>
          <cell r="B2439" t="str">
            <v>1102596</v>
          </cell>
          <cell r="C2439" t="str">
            <v>87-36-6</v>
          </cell>
          <cell r="D2439" t="str">
            <v>87</v>
          </cell>
          <cell r="E2439" t="str">
            <v>87 SZ36 PLN BLK</v>
          </cell>
          <cell r="F2439" t="str">
            <v>DG-BELT</v>
          </cell>
          <cell r="G2439" t="str">
            <v>1420-210-FG</v>
          </cell>
          <cell r="H2439" t="str">
            <v>F</v>
          </cell>
          <cell r="I2439" t="str">
            <v>06/11/2024</v>
          </cell>
          <cell r="J2439" t="str">
            <v>06/14/2024</v>
          </cell>
          <cell r="K2439" t="str">
            <v>06/28/2024</v>
          </cell>
          <cell r="L2439">
            <v>30</v>
          </cell>
          <cell r="M2439" t="str">
            <v/>
          </cell>
          <cell r="N2439" t="str">
            <v>26</v>
          </cell>
          <cell r="O2439">
            <v>30</v>
          </cell>
          <cell r="P2439">
            <v>11.54</v>
          </cell>
        </row>
        <row r="2440">
          <cell r="A2440" t="str">
            <v>6727836</v>
          </cell>
          <cell r="B2440" t="str">
            <v>1102676</v>
          </cell>
          <cell r="C2440" t="str">
            <v>87-40-07</v>
          </cell>
          <cell r="D2440" t="str">
            <v>87</v>
          </cell>
          <cell r="E2440" t="str">
            <v>87 SZ40 BSK COR</v>
          </cell>
          <cell r="F2440" t="str">
            <v>DG-BELT</v>
          </cell>
          <cell r="G2440" t="str">
            <v>1420-210-FG</v>
          </cell>
          <cell r="H2440" t="str">
            <v>F</v>
          </cell>
          <cell r="I2440" t="str">
            <v>06/11/2024</v>
          </cell>
          <cell r="J2440" t="str">
            <v>06/14/2024</v>
          </cell>
          <cell r="K2440" t="str">
            <v>06/28/2024</v>
          </cell>
          <cell r="L2440">
            <v>5</v>
          </cell>
          <cell r="M2440" t="str">
            <v/>
          </cell>
          <cell r="N2440" t="str">
            <v>26</v>
          </cell>
          <cell r="O2440">
            <v>5</v>
          </cell>
          <cell r="P2440">
            <v>1.97</v>
          </cell>
        </row>
        <row r="2441">
          <cell r="A2441" t="str">
            <v>6727839</v>
          </cell>
          <cell r="B2441" t="str">
            <v>1102745</v>
          </cell>
          <cell r="C2441" t="str">
            <v>87-42-6</v>
          </cell>
          <cell r="D2441" t="str">
            <v>87</v>
          </cell>
          <cell r="E2441" t="str">
            <v>87 SZ42 PLN BLK</v>
          </cell>
          <cell r="F2441" t="str">
            <v>DG-BELT</v>
          </cell>
          <cell r="G2441" t="str">
            <v>1420-210-FG</v>
          </cell>
          <cell r="H2441" t="str">
            <v>F</v>
          </cell>
          <cell r="I2441" t="str">
            <v>06/11/2024</v>
          </cell>
          <cell r="J2441" t="str">
            <v>06/14/2024</v>
          </cell>
          <cell r="K2441" t="str">
            <v>06/28/2024</v>
          </cell>
          <cell r="L2441">
            <v>15</v>
          </cell>
          <cell r="M2441" t="str">
            <v/>
          </cell>
          <cell r="N2441" t="str">
            <v>26</v>
          </cell>
          <cell r="O2441">
            <v>15</v>
          </cell>
          <cell r="P2441">
            <v>5.75</v>
          </cell>
        </row>
        <row r="2442">
          <cell r="A2442" t="str">
            <v>6727843</v>
          </cell>
          <cell r="B2442" t="str">
            <v>1102848</v>
          </cell>
          <cell r="C2442" t="str">
            <v>87V-30-8</v>
          </cell>
          <cell r="D2442" t="str">
            <v>87V</v>
          </cell>
          <cell r="E2442" t="str">
            <v>87V SZ30 BSK BLK</v>
          </cell>
          <cell r="F2442" t="str">
            <v>DG-BELT</v>
          </cell>
          <cell r="G2442" t="str">
            <v>1420-210-FG</v>
          </cell>
          <cell r="H2442" t="str">
            <v>R</v>
          </cell>
          <cell r="I2442" t="str">
            <v>06/11/2024</v>
          </cell>
          <cell r="J2442" t="str">
            <v>06/14/2024</v>
          </cell>
          <cell r="K2442" t="str">
            <v>06/28/2024</v>
          </cell>
          <cell r="L2442">
            <v>5</v>
          </cell>
          <cell r="M2442" t="str">
            <v>6/13/2024 12:33:50 PM</v>
          </cell>
          <cell r="N2442" t="str">
            <v>26</v>
          </cell>
          <cell r="O2442">
            <v>5</v>
          </cell>
          <cell r="P2442">
            <v>1.89</v>
          </cell>
        </row>
        <row r="2443">
          <cell r="A2443" t="str">
            <v>6727862</v>
          </cell>
          <cell r="B2443" t="str">
            <v>1169708</v>
          </cell>
          <cell r="C2443" t="str">
            <v>94B-3-22</v>
          </cell>
          <cell r="D2443" t="str">
            <v>94B</v>
          </cell>
          <cell r="E2443" t="str">
            <v>94B SZ LG NYLLK BLK</v>
          </cell>
          <cell r="F2443" t="str">
            <v>DG-BELT</v>
          </cell>
          <cell r="G2443" t="str">
            <v>1420-210-FG</v>
          </cell>
          <cell r="H2443" t="str">
            <v>R</v>
          </cell>
          <cell r="I2443" t="str">
            <v>06/11/2024</v>
          </cell>
          <cell r="J2443" t="str">
            <v>06/14/2024</v>
          </cell>
          <cell r="K2443" t="str">
            <v>06/28/2024</v>
          </cell>
          <cell r="L2443">
            <v>14</v>
          </cell>
          <cell r="M2443" t="str">
            <v>6/13/2024 12:33:50 PM</v>
          </cell>
          <cell r="N2443" t="str">
            <v>26</v>
          </cell>
          <cell r="O2443">
            <v>14</v>
          </cell>
          <cell r="P2443">
            <v>8.43</v>
          </cell>
        </row>
        <row r="2444">
          <cell r="A2444" t="str">
            <v>6727782</v>
          </cell>
          <cell r="B2444" t="str">
            <v>1017396</v>
          </cell>
          <cell r="C2444" t="str">
            <v>22704</v>
          </cell>
          <cell r="D2444" t="str">
            <v>7923</v>
          </cell>
          <cell r="E2444" t="str">
            <v>ADJUSTABLE RADIO HOLDER PLN  BLK SZ 1</v>
          </cell>
          <cell r="F2444" t="str">
            <v>BN-POUCH</v>
          </cell>
          <cell r="G2444" t="str">
            <v>1420-210-FG</v>
          </cell>
          <cell r="H2444" t="str">
            <v>F</v>
          </cell>
          <cell r="I2444" t="str">
            <v>06/11/2024</v>
          </cell>
          <cell r="J2444" t="str">
            <v>06/14/2024</v>
          </cell>
          <cell r="K2444" t="str">
            <v>06/28/2024</v>
          </cell>
          <cell r="L2444">
            <v>30</v>
          </cell>
          <cell r="M2444" t="str">
            <v/>
          </cell>
          <cell r="N2444" t="str">
            <v>26</v>
          </cell>
          <cell r="O2444">
            <v>30</v>
          </cell>
          <cell r="P2444">
            <v>9.4600000000000009</v>
          </cell>
        </row>
        <row r="2445">
          <cell r="A2445" t="str">
            <v>6726198</v>
          </cell>
          <cell r="B2445" t="str">
            <v>1099141</v>
          </cell>
          <cell r="C2445" t="str">
            <v>35-F26-13</v>
          </cell>
          <cell r="D2445" t="str">
            <v>35</v>
          </cell>
          <cell r="E2445" t="str">
            <v>BATON HOLDER</v>
          </cell>
          <cell r="F2445" t="str">
            <v>DG-POUCH-F1</v>
          </cell>
          <cell r="G2445" t="str">
            <v>1420-210-FG</v>
          </cell>
          <cell r="H2445" t="str">
            <v>R</v>
          </cell>
          <cell r="I2445" t="str">
            <v>06/07/2024</v>
          </cell>
          <cell r="J2445" t="str">
            <v>06/07/2024</v>
          </cell>
          <cell r="K2445" t="str">
            <v>06/28/2024</v>
          </cell>
          <cell r="L2445">
            <v>88</v>
          </cell>
          <cell r="M2445" t="str">
            <v>6/7/2024 11:41:41 AM</v>
          </cell>
          <cell r="N2445" t="str">
            <v>26</v>
          </cell>
          <cell r="O2445">
            <v>88</v>
          </cell>
          <cell r="P2445">
            <v>28.82</v>
          </cell>
        </row>
        <row r="2446">
          <cell r="A2446" t="str">
            <v>6726201</v>
          </cell>
          <cell r="B2446" t="str">
            <v>1099142</v>
          </cell>
          <cell r="C2446" t="str">
            <v>35-F26-2</v>
          </cell>
          <cell r="D2446" t="str">
            <v>35</v>
          </cell>
          <cell r="E2446" t="str">
            <v>BATON HOLDER</v>
          </cell>
          <cell r="F2446" t="str">
            <v>DG-POUCH-F1</v>
          </cell>
          <cell r="G2446" t="str">
            <v>1420-210-FG</v>
          </cell>
          <cell r="H2446" t="str">
            <v>R</v>
          </cell>
          <cell r="I2446" t="str">
            <v>06/07/2024</v>
          </cell>
          <cell r="J2446" t="str">
            <v>06/07/2024</v>
          </cell>
          <cell r="K2446" t="str">
            <v>06/28/2024</v>
          </cell>
          <cell r="L2446">
            <v>58</v>
          </cell>
          <cell r="M2446" t="str">
            <v>6/7/2024 11:44:04 AM</v>
          </cell>
          <cell r="N2446" t="str">
            <v>26</v>
          </cell>
          <cell r="O2446">
            <v>58</v>
          </cell>
          <cell r="P2446">
            <v>19</v>
          </cell>
        </row>
        <row r="2447">
          <cell r="A2447" t="str">
            <v>6726203</v>
          </cell>
          <cell r="B2447" t="str">
            <v>1099142</v>
          </cell>
          <cell r="C2447" t="str">
            <v>35-F26-2</v>
          </cell>
          <cell r="D2447" t="str">
            <v>35</v>
          </cell>
          <cell r="E2447" t="str">
            <v>BATON HOLDER</v>
          </cell>
          <cell r="F2447" t="str">
            <v>DG-POUCH-F1</v>
          </cell>
          <cell r="G2447" t="str">
            <v>1420-210-FG</v>
          </cell>
          <cell r="H2447" t="str">
            <v>R</v>
          </cell>
          <cell r="I2447" t="str">
            <v>06/07/2024</v>
          </cell>
          <cell r="J2447" t="str">
            <v>06/07/2024</v>
          </cell>
          <cell r="K2447" t="str">
            <v>06/28/2024</v>
          </cell>
          <cell r="L2447">
            <v>25</v>
          </cell>
          <cell r="M2447" t="str">
            <v>6/7/2024 11:44:04 AM</v>
          </cell>
          <cell r="N2447" t="str">
            <v>26</v>
          </cell>
          <cell r="O2447">
            <v>25</v>
          </cell>
          <cell r="P2447">
            <v>8.2100000000000009</v>
          </cell>
        </row>
        <row r="2448">
          <cell r="A2448" t="str">
            <v>6728312</v>
          </cell>
          <cell r="B2448" t="str">
            <v>1323593</v>
          </cell>
          <cell r="C2448" t="str">
            <v>J-K2C-NP</v>
          </cell>
          <cell r="D2448" t="str">
            <v>J</v>
          </cell>
          <cell r="E2448" t="str">
            <v>COMP II SPEEDLOADER</v>
          </cell>
          <cell r="F2448" t="str">
            <v>DG-MISC</v>
          </cell>
          <cell r="G2448" t="str">
            <v>1420-210-FG</v>
          </cell>
          <cell r="H2448" t="str">
            <v>F</v>
          </cell>
          <cell r="I2448" t="str">
            <v>06/11/2024</v>
          </cell>
          <cell r="J2448" t="str">
            <v>06/14/2024</v>
          </cell>
          <cell r="K2448" t="str">
            <v>06/28/2024</v>
          </cell>
          <cell r="L2448">
            <v>7</v>
          </cell>
          <cell r="M2448" t="str">
            <v/>
          </cell>
          <cell r="N2448" t="str">
            <v>26</v>
          </cell>
          <cell r="O2448">
            <v>7</v>
          </cell>
          <cell r="P2448">
            <v>0.12</v>
          </cell>
        </row>
        <row r="2449">
          <cell r="A2449" t="str">
            <v>6725982</v>
          </cell>
          <cell r="B2449" t="str">
            <v>1017228</v>
          </cell>
          <cell r="C2449" t="str">
            <v>22064</v>
          </cell>
          <cell r="D2449" t="str">
            <v>7900</v>
          </cell>
          <cell r="E2449" t="str">
            <v>COVERED CUFF CASE PLN BLK-SZ 1 CHROME</v>
          </cell>
          <cell r="F2449" t="str">
            <v>BN-POUCH</v>
          </cell>
          <cell r="G2449" t="str">
            <v>1420-210-FG</v>
          </cell>
          <cell r="H2449" t="str">
            <v>R</v>
          </cell>
          <cell r="I2449" t="str">
            <v>06/07/2024</v>
          </cell>
          <cell r="J2449" t="str">
            <v>06/14/2024</v>
          </cell>
          <cell r="K2449" t="str">
            <v>06/28/2024</v>
          </cell>
          <cell r="L2449">
            <v>20</v>
          </cell>
          <cell r="M2449" t="str">
            <v>6/7/2024 11:33:58 AM</v>
          </cell>
          <cell r="N2449" t="str">
            <v>26</v>
          </cell>
          <cell r="O2449">
            <v>20</v>
          </cell>
          <cell r="P2449">
            <v>4.66</v>
          </cell>
        </row>
        <row r="2450">
          <cell r="A2450" t="str">
            <v>6727886</v>
          </cell>
          <cell r="B2450" t="str">
            <v>1165408</v>
          </cell>
          <cell r="C2450" t="str">
            <v>6009VE-7-2</v>
          </cell>
          <cell r="D2450" t="str">
            <v>6009VE</v>
          </cell>
          <cell r="E2450" t="str">
            <v>D-RING STRAP WITH ENHANCED HOOK - LOOP</v>
          </cell>
          <cell r="F2450" t="str">
            <v>DG-HARNESS-DTC</v>
          </cell>
          <cell r="G2450" t="str">
            <v>1420-210-FG</v>
          </cell>
          <cell r="H2450" t="str">
            <v>F</v>
          </cell>
          <cell r="I2450" t="str">
            <v>06/11/2024</v>
          </cell>
          <cell r="J2450" t="str">
            <v>06/14/2024</v>
          </cell>
          <cell r="K2450" t="str">
            <v>06/28/2024</v>
          </cell>
          <cell r="L2450">
            <v>5</v>
          </cell>
          <cell r="M2450" t="str">
            <v/>
          </cell>
          <cell r="N2450" t="str">
            <v>26</v>
          </cell>
          <cell r="O2450">
            <v>5</v>
          </cell>
          <cell r="P2450">
            <v>0.11</v>
          </cell>
        </row>
        <row r="2451">
          <cell r="A2451" t="str">
            <v>6727899</v>
          </cell>
          <cell r="B2451" t="str">
            <v>1323236</v>
          </cell>
          <cell r="C2451" t="str">
            <v>3004-1-NP</v>
          </cell>
          <cell r="D2451" t="str">
            <v>3004</v>
          </cell>
          <cell r="E2451" t="str">
            <v>DBL ACCSY LEG STRAP</v>
          </cell>
          <cell r="F2451" t="str">
            <v>DG-HARNESS-DTC</v>
          </cell>
          <cell r="G2451" t="str">
            <v>1420-210-FG</v>
          </cell>
          <cell r="H2451" t="str">
            <v>R</v>
          </cell>
          <cell r="I2451" t="str">
            <v>06/11/2024</v>
          </cell>
          <cell r="J2451" t="str">
            <v>06/14/2024</v>
          </cell>
          <cell r="K2451" t="str">
            <v>06/28/2024</v>
          </cell>
          <cell r="L2451">
            <v>50</v>
          </cell>
          <cell r="M2451" t="str">
            <v>6/13/2024 8:15:32 AM</v>
          </cell>
          <cell r="N2451" t="str">
            <v>26</v>
          </cell>
          <cell r="O2451">
            <v>50</v>
          </cell>
          <cell r="P2451">
            <v>1.75</v>
          </cell>
        </row>
        <row r="2452">
          <cell r="A2452" t="str">
            <v>6726108</v>
          </cell>
          <cell r="B2452" t="str">
            <v>1118767</v>
          </cell>
          <cell r="C2452" t="str">
            <v>290-4PBL</v>
          </cell>
          <cell r="D2452" t="str">
            <v>290</v>
          </cell>
          <cell r="E2452" t="str">
            <v>DBL CUFF POUCHTOP FLAP</v>
          </cell>
          <cell r="F2452" t="str">
            <v>DG-POUCH-F1</v>
          </cell>
          <cell r="G2452" t="str">
            <v>1420-210-FG</v>
          </cell>
          <cell r="H2452" t="str">
            <v>R</v>
          </cell>
          <cell r="I2452" t="str">
            <v>06/07/2024</v>
          </cell>
          <cell r="J2452" t="str">
            <v>06/14/2024</v>
          </cell>
          <cell r="K2452" t="str">
            <v>06/28/2024</v>
          </cell>
          <cell r="L2452">
            <v>1</v>
          </cell>
          <cell r="M2452" t="str">
            <v>6/7/2024 11:44:04 AM</v>
          </cell>
          <cell r="N2452" t="str">
            <v>26</v>
          </cell>
          <cell r="O2452">
            <v>1</v>
          </cell>
          <cell r="P2452">
            <v>0.48</v>
          </cell>
        </row>
        <row r="2453">
          <cell r="A2453" t="str">
            <v>6727885</v>
          </cell>
          <cell r="B2453" t="str">
            <v>1152663</v>
          </cell>
          <cell r="C2453" t="str">
            <v>6009-6-123</v>
          </cell>
          <cell r="D2453" t="str">
            <v>6009</v>
          </cell>
          <cell r="E2453" t="str">
            <v>DOUBLE STRAP LEG SHROUD WITH D-RING</v>
          </cell>
          <cell r="F2453" t="str">
            <v>DG-HARNESS-DTC</v>
          </cell>
          <cell r="G2453" t="str">
            <v>1420-210-FG</v>
          </cell>
          <cell r="H2453" t="str">
            <v>F</v>
          </cell>
          <cell r="I2453" t="str">
            <v>06/11/2024</v>
          </cell>
          <cell r="J2453" t="str">
            <v>06/14/2024</v>
          </cell>
          <cell r="K2453" t="str">
            <v>06/28/2024</v>
          </cell>
          <cell r="L2453">
            <v>10</v>
          </cell>
          <cell r="M2453" t="str">
            <v/>
          </cell>
          <cell r="N2453" t="str">
            <v>26</v>
          </cell>
          <cell r="O2453">
            <v>10</v>
          </cell>
          <cell r="P2453">
            <v>0.59</v>
          </cell>
        </row>
        <row r="2454">
          <cell r="A2454" t="str">
            <v>6727889</v>
          </cell>
          <cell r="B2454" t="str">
            <v>1324821</v>
          </cell>
          <cell r="C2454" t="str">
            <v>6009-6-123-NP</v>
          </cell>
          <cell r="D2454" t="str">
            <v>6009</v>
          </cell>
          <cell r="E2454" t="str">
            <v>DOUBLE STRAP LEG SHROUD WITH D-RING</v>
          </cell>
          <cell r="F2454" t="str">
            <v>DG-HARNESS-DTC</v>
          </cell>
          <cell r="G2454" t="str">
            <v>1420-210-FG</v>
          </cell>
          <cell r="H2454" t="str">
            <v>R</v>
          </cell>
          <cell r="I2454" t="str">
            <v>06/11/2024</v>
          </cell>
          <cell r="J2454" t="str">
            <v>06/14/2024</v>
          </cell>
          <cell r="K2454" t="str">
            <v>06/28/2024</v>
          </cell>
          <cell r="L2454">
            <v>2</v>
          </cell>
          <cell r="M2454" t="str">
            <v>6/13/2024 8:15:32 AM</v>
          </cell>
          <cell r="N2454" t="str">
            <v>26</v>
          </cell>
          <cell r="O2454">
            <v>2</v>
          </cell>
          <cell r="P2454">
            <v>0.11</v>
          </cell>
        </row>
        <row r="2455">
          <cell r="A2455" t="str">
            <v>6727851</v>
          </cell>
          <cell r="B2455" t="str">
            <v>1103318</v>
          </cell>
          <cell r="C2455" t="str">
            <v>99-2-9</v>
          </cell>
          <cell r="D2455" t="str">
            <v>99</v>
          </cell>
          <cell r="E2455" t="str">
            <v>DUTY BELTBUCKLELESS</v>
          </cell>
          <cell r="F2455" t="str">
            <v>DG-BELT</v>
          </cell>
          <cell r="G2455" t="str">
            <v>1420-210-FG</v>
          </cell>
          <cell r="H2455" t="str">
            <v>R</v>
          </cell>
          <cell r="I2455" t="str">
            <v>06/11/2024</v>
          </cell>
          <cell r="J2455" t="str">
            <v>06/14/2024</v>
          </cell>
          <cell r="K2455" t="str">
            <v>06/28/2024</v>
          </cell>
          <cell r="L2455">
            <v>15</v>
          </cell>
          <cell r="M2455" t="str">
            <v>6/13/2024 12:33:50 PM</v>
          </cell>
          <cell r="N2455" t="str">
            <v>26</v>
          </cell>
          <cell r="O2455">
            <v>15</v>
          </cell>
          <cell r="P2455">
            <v>5.26</v>
          </cell>
        </row>
        <row r="2456">
          <cell r="A2456" t="str">
            <v>6727855</v>
          </cell>
          <cell r="B2456" t="str">
            <v>1103520</v>
          </cell>
          <cell r="C2456" t="str">
            <v>999-3-2</v>
          </cell>
          <cell r="D2456" t="str">
            <v>999</v>
          </cell>
          <cell r="E2456" t="str">
            <v>GARRISON BELT VELCRO</v>
          </cell>
          <cell r="F2456" t="str">
            <v>DG-BELT</v>
          </cell>
          <cell r="G2456" t="str">
            <v>1420-210-FG</v>
          </cell>
          <cell r="H2456" t="str">
            <v>F</v>
          </cell>
          <cell r="I2456" t="str">
            <v>06/11/2024</v>
          </cell>
          <cell r="J2456" t="str">
            <v>06/14/2024</v>
          </cell>
          <cell r="K2456" t="str">
            <v>06/28/2024</v>
          </cell>
          <cell r="L2456">
            <v>5</v>
          </cell>
          <cell r="M2456" t="str">
            <v/>
          </cell>
          <cell r="N2456" t="str">
            <v>26</v>
          </cell>
          <cell r="O2456">
            <v>5</v>
          </cell>
          <cell r="P2456">
            <v>3.29</v>
          </cell>
        </row>
        <row r="2457">
          <cell r="A2457" t="str">
            <v>6727856</v>
          </cell>
          <cell r="B2457" t="str">
            <v>1103528</v>
          </cell>
          <cell r="C2457" t="str">
            <v>999-4-2</v>
          </cell>
          <cell r="D2457" t="str">
            <v>999</v>
          </cell>
          <cell r="E2457" t="str">
            <v>GARRISON BELT VELCRO</v>
          </cell>
          <cell r="F2457" t="str">
            <v>DG-BELT</v>
          </cell>
          <cell r="G2457" t="str">
            <v>1420-210-FG</v>
          </cell>
          <cell r="H2457" t="str">
            <v>F</v>
          </cell>
          <cell r="I2457" t="str">
            <v>06/11/2024</v>
          </cell>
          <cell r="J2457" t="str">
            <v>06/14/2024</v>
          </cell>
          <cell r="K2457" t="str">
            <v>06/28/2024</v>
          </cell>
          <cell r="L2457">
            <v>5</v>
          </cell>
          <cell r="M2457" t="str">
            <v/>
          </cell>
          <cell r="N2457" t="str">
            <v>26</v>
          </cell>
          <cell r="O2457">
            <v>5</v>
          </cell>
          <cell r="P2457">
            <v>3.29</v>
          </cell>
        </row>
        <row r="2458">
          <cell r="A2458" t="str">
            <v>6726253</v>
          </cell>
          <cell r="B2458" t="str">
            <v>1096891</v>
          </cell>
          <cell r="C2458" t="str">
            <v>190-13PBL</v>
          </cell>
          <cell r="D2458" t="str">
            <v>190</v>
          </cell>
          <cell r="E2458" t="str">
            <v>HANDCUFF POUCH TOP FLAP</v>
          </cell>
          <cell r="F2458" t="str">
            <v>DG-POUCH-F1</v>
          </cell>
          <cell r="G2458" t="str">
            <v>1420-210-FG</v>
          </cell>
          <cell r="H2458" t="str">
            <v>R</v>
          </cell>
          <cell r="I2458" t="str">
            <v>06/07/2024</v>
          </cell>
          <cell r="J2458" t="str">
            <v>06/07/2024</v>
          </cell>
          <cell r="K2458" t="str">
            <v>06/28/2024</v>
          </cell>
          <cell r="L2458">
            <v>50</v>
          </cell>
          <cell r="M2458" t="str">
            <v>6/7/2024 11:48:09 AM</v>
          </cell>
          <cell r="N2458" t="str">
            <v>26</v>
          </cell>
          <cell r="O2458">
            <v>50</v>
          </cell>
          <cell r="P2458">
            <v>18.11</v>
          </cell>
        </row>
        <row r="2459">
          <cell r="A2459" t="str">
            <v>6726292</v>
          </cell>
          <cell r="B2459" t="str">
            <v>1096894</v>
          </cell>
          <cell r="C2459" t="str">
            <v>190-2</v>
          </cell>
          <cell r="D2459" t="str">
            <v>190</v>
          </cell>
          <cell r="E2459" t="str">
            <v>HANDCUFF POUCH TOP FLAP</v>
          </cell>
          <cell r="F2459" t="str">
            <v>DG-POUCH-F1</v>
          </cell>
          <cell r="G2459" t="str">
            <v>1420-210-FG</v>
          </cell>
          <cell r="H2459" t="str">
            <v>R</v>
          </cell>
          <cell r="I2459" t="str">
            <v>06/07/2024</v>
          </cell>
          <cell r="J2459" t="str">
            <v>06/07/2024</v>
          </cell>
          <cell r="K2459" t="str">
            <v>06/28/2024</v>
          </cell>
          <cell r="L2459">
            <v>30</v>
          </cell>
          <cell r="M2459" t="str">
            <v>6/7/2024 11:51:05 AM</v>
          </cell>
          <cell r="N2459" t="str">
            <v>26</v>
          </cell>
          <cell r="O2459">
            <v>30</v>
          </cell>
          <cell r="P2459">
            <v>10.87</v>
          </cell>
        </row>
        <row r="2460">
          <cell r="A2460" t="str">
            <v>6726267</v>
          </cell>
          <cell r="B2460" t="str">
            <v>1124211</v>
          </cell>
          <cell r="C2460" t="str">
            <v>190-2-9HS</v>
          </cell>
          <cell r="D2460" t="str">
            <v>190</v>
          </cell>
          <cell r="E2460" t="str">
            <v>HANDCUFF POUCH TOP FLAP</v>
          </cell>
          <cell r="F2460" t="str">
            <v>DG-POUCH-F1</v>
          </cell>
          <cell r="G2460" t="str">
            <v>1420-210-FG</v>
          </cell>
          <cell r="H2460" t="str">
            <v>R</v>
          </cell>
          <cell r="I2460" t="str">
            <v>06/07/2024</v>
          </cell>
          <cell r="J2460" t="str">
            <v>06/07/2024</v>
          </cell>
          <cell r="K2460" t="str">
            <v>06/28/2024</v>
          </cell>
          <cell r="L2460">
            <v>30</v>
          </cell>
          <cell r="M2460" t="str">
            <v>6/7/2024 11:44:04 AM</v>
          </cell>
          <cell r="N2460" t="str">
            <v>26</v>
          </cell>
          <cell r="O2460">
            <v>30</v>
          </cell>
          <cell r="P2460">
            <v>12.82</v>
          </cell>
        </row>
        <row r="2461">
          <cell r="A2461" t="str">
            <v>6726262</v>
          </cell>
          <cell r="B2461" t="str">
            <v>1096959</v>
          </cell>
          <cell r="C2461" t="str">
            <v>190-4HS</v>
          </cell>
          <cell r="D2461" t="str">
            <v>190</v>
          </cell>
          <cell r="E2461" t="str">
            <v>HANDCUFF POUCH TOP FLAP</v>
          </cell>
          <cell r="F2461" t="str">
            <v>DG-POUCH-F1</v>
          </cell>
          <cell r="G2461" t="str">
            <v>1420-210-FG</v>
          </cell>
          <cell r="H2461" t="str">
            <v>R</v>
          </cell>
          <cell r="I2461" t="str">
            <v>06/07/2024</v>
          </cell>
          <cell r="J2461" t="str">
            <v>06/07/2024</v>
          </cell>
          <cell r="K2461" t="str">
            <v>06/28/2024</v>
          </cell>
          <cell r="L2461">
            <v>30</v>
          </cell>
          <cell r="M2461" t="str">
            <v>6/7/2024 11:51:05 AM</v>
          </cell>
          <cell r="N2461" t="str">
            <v>26</v>
          </cell>
          <cell r="O2461">
            <v>30</v>
          </cell>
          <cell r="P2461">
            <v>12.62</v>
          </cell>
        </row>
        <row r="2462">
          <cell r="A2462" t="str">
            <v>6728317</v>
          </cell>
          <cell r="B2462" t="str">
            <v>1097039</v>
          </cell>
          <cell r="C2462" t="str">
            <v>190H-4</v>
          </cell>
          <cell r="D2462" t="str">
            <v>190H</v>
          </cell>
          <cell r="E2462" t="str">
            <v>HANDCUFF POUCH TOP FLAP</v>
          </cell>
          <cell r="F2462" t="str">
            <v>DG-POUCH-F1</v>
          </cell>
          <cell r="G2462" t="str">
            <v>1420-210-FG</v>
          </cell>
          <cell r="H2462" t="str">
            <v>F</v>
          </cell>
          <cell r="I2462" t="str">
            <v>06/11/2024</v>
          </cell>
          <cell r="J2462" t="str">
            <v>06/14/2024</v>
          </cell>
          <cell r="K2462" t="str">
            <v>06/28/2024</v>
          </cell>
          <cell r="L2462">
            <v>10</v>
          </cell>
          <cell r="M2462" t="str">
            <v/>
          </cell>
          <cell r="N2462" t="str">
            <v>26</v>
          </cell>
          <cell r="O2462">
            <v>10</v>
          </cell>
          <cell r="P2462">
            <v>4.3</v>
          </cell>
        </row>
        <row r="2463">
          <cell r="A2463" t="str">
            <v>6726260</v>
          </cell>
          <cell r="B2463" t="str">
            <v>1103240</v>
          </cell>
          <cell r="C2463" t="str">
            <v>90-2</v>
          </cell>
          <cell r="D2463" t="str">
            <v>90</v>
          </cell>
          <cell r="E2463" t="str">
            <v>HANDCUFF POUCHTOP FLAP</v>
          </cell>
          <cell r="F2463" t="str">
            <v>DG-POUCH-F1</v>
          </cell>
          <cell r="G2463" t="str">
            <v>1420-210-FG</v>
          </cell>
          <cell r="H2463" t="str">
            <v>R</v>
          </cell>
          <cell r="I2463" t="str">
            <v>06/07/2024</v>
          </cell>
          <cell r="J2463" t="str">
            <v>06/07/2024</v>
          </cell>
          <cell r="K2463" t="str">
            <v>06/28/2024</v>
          </cell>
          <cell r="L2463">
            <v>40</v>
          </cell>
          <cell r="M2463" t="str">
            <v>6/7/2024 11:44:04 AM</v>
          </cell>
          <cell r="N2463" t="str">
            <v>26</v>
          </cell>
          <cell r="O2463">
            <v>40</v>
          </cell>
          <cell r="P2463">
            <v>13.63</v>
          </cell>
        </row>
        <row r="2464">
          <cell r="A2464" t="str">
            <v>6726257</v>
          </cell>
          <cell r="B2464" t="str">
            <v>1103203</v>
          </cell>
          <cell r="C2464" t="str">
            <v>90-9HS</v>
          </cell>
          <cell r="D2464" t="str">
            <v>90</v>
          </cell>
          <cell r="E2464" t="str">
            <v>HANDCUFF POUCHTOP FLAP</v>
          </cell>
          <cell r="F2464" t="str">
            <v>DG-POUCH-F1</v>
          </cell>
          <cell r="G2464" t="str">
            <v>1420-210-FG</v>
          </cell>
          <cell r="H2464" t="str">
            <v>R</v>
          </cell>
          <cell r="I2464" t="str">
            <v>06/07/2024</v>
          </cell>
          <cell r="J2464" t="str">
            <v>06/07/2024</v>
          </cell>
          <cell r="K2464" t="str">
            <v>06/28/2024</v>
          </cell>
          <cell r="L2464">
            <v>15</v>
          </cell>
          <cell r="M2464" t="str">
            <v>6/7/2024 11:44:04 AM</v>
          </cell>
          <cell r="N2464" t="str">
            <v>26</v>
          </cell>
          <cell r="O2464">
            <v>15</v>
          </cell>
          <cell r="P2464">
            <v>5.3</v>
          </cell>
        </row>
        <row r="2465">
          <cell r="A2465" t="str">
            <v>6727878</v>
          </cell>
          <cell r="B2465" t="str">
            <v>1323219</v>
          </cell>
          <cell r="C2465" t="str">
            <v>6004-6-123-NP</v>
          </cell>
          <cell r="D2465" t="str">
            <v>6004</v>
          </cell>
          <cell r="E2465" t="str">
            <v>LEG SHROUD</v>
          </cell>
          <cell r="F2465" t="str">
            <v>DG-HARNESS</v>
          </cell>
          <cell r="G2465" t="str">
            <v>1420-210-FG</v>
          </cell>
          <cell r="H2465" t="str">
            <v>R</v>
          </cell>
          <cell r="I2465" t="str">
            <v>06/11/2024</v>
          </cell>
          <cell r="J2465" t="str">
            <v>06/14/2024</v>
          </cell>
          <cell r="K2465" t="str">
            <v>06/28/2024</v>
          </cell>
          <cell r="L2465">
            <v>10</v>
          </cell>
          <cell r="M2465" t="str">
            <v>6/13/2024 8:15:32 AM</v>
          </cell>
          <cell r="N2465" t="str">
            <v>26</v>
          </cell>
          <cell r="O2465">
            <v>10</v>
          </cell>
          <cell r="P2465">
            <v>0.22</v>
          </cell>
        </row>
        <row r="2466">
          <cell r="A2466" t="str">
            <v>6727874</v>
          </cell>
          <cell r="B2466" t="str">
            <v>1132166</v>
          </cell>
          <cell r="C2466" t="str">
            <v>6005-6-563</v>
          </cell>
          <cell r="D2466" t="str">
            <v>6005</v>
          </cell>
          <cell r="E2466" t="str">
            <v>LEG SHROUD</v>
          </cell>
          <cell r="F2466" t="str">
            <v>DG-HARNESS</v>
          </cell>
          <cell r="G2466" t="str">
            <v>1420-210-FG</v>
          </cell>
          <cell r="H2466" t="str">
            <v>R</v>
          </cell>
          <cell r="I2466" t="str">
            <v>06/11/2024</v>
          </cell>
          <cell r="J2466" t="str">
            <v>06/14/2024</v>
          </cell>
          <cell r="K2466" t="str">
            <v>06/28/2024</v>
          </cell>
          <cell r="L2466">
            <v>2</v>
          </cell>
          <cell r="M2466" t="str">
            <v>6/13/2024 8:15:32 AM</v>
          </cell>
          <cell r="N2466" t="str">
            <v>26</v>
          </cell>
          <cell r="O2466">
            <v>2</v>
          </cell>
          <cell r="P2466">
            <v>0.04</v>
          </cell>
        </row>
        <row r="2467">
          <cell r="A2467" t="str">
            <v>6727879</v>
          </cell>
          <cell r="B2467" t="str">
            <v>1323234</v>
          </cell>
          <cell r="C2467" t="str">
            <v>6009-110-2-NP</v>
          </cell>
          <cell r="D2467" t="str">
            <v>6009</v>
          </cell>
          <cell r="E2467" t="str">
            <v>LEG SHROUD SML</v>
          </cell>
          <cell r="F2467" t="str">
            <v>DG-HARNESS</v>
          </cell>
          <cell r="G2467" t="str">
            <v>1420-210-FG</v>
          </cell>
          <cell r="H2467" t="str">
            <v>R</v>
          </cell>
          <cell r="I2467" t="str">
            <v>06/11/2024</v>
          </cell>
          <cell r="J2467" t="str">
            <v>06/14/2024</v>
          </cell>
          <cell r="K2467" t="str">
            <v>06/28/2024</v>
          </cell>
          <cell r="L2467">
            <v>10</v>
          </cell>
          <cell r="M2467" t="str">
            <v>6/13/2024 8:15:32 AM</v>
          </cell>
          <cell r="N2467" t="str">
            <v>26</v>
          </cell>
          <cell r="O2467">
            <v>10</v>
          </cell>
          <cell r="P2467">
            <v>0.57999999999999996</v>
          </cell>
        </row>
        <row r="2468">
          <cell r="A2468" t="str">
            <v>6727876</v>
          </cell>
          <cell r="B2468" t="str">
            <v>1162902</v>
          </cell>
          <cell r="C2468" t="str">
            <v>6005-6-763</v>
          </cell>
          <cell r="D2468" t="str">
            <v>6005</v>
          </cell>
          <cell r="E2468" t="str">
            <v>LEG STRAP W/DETACH 3X LOCKING BCKL</v>
          </cell>
          <cell r="F2468" t="str">
            <v>DG-HARNESS</v>
          </cell>
          <cell r="G2468" t="str">
            <v>1420-210-FG</v>
          </cell>
          <cell r="H2468" t="str">
            <v>R</v>
          </cell>
          <cell r="I2468" t="str">
            <v>06/11/2024</v>
          </cell>
          <cell r="J2468" t="str">
            <v>06/14/2024</v>
          </cell>
          <cell r="K2468" t="str">
            <v>06/28/2024</v>
          </cell>
          <cell r="L2468">
            <v>2</v>
          </cell>
          <cell r="M2468" t="str">
            <v>6/13/2024 8:15:32 AM</v>
          </cell>
          <cell r="N2468" t="str">
            <v>26</v>
          </cell>
          <cell r="O2468">
            <v>2</v>
          </cell>
          <cell r="P2468">
            <v>0.04</v>
          </cell>
        </row>
        <row r="2469">
          <cell r="A2469" t="str">
            <v>6727890</v>
          </cell>
          <cell r="B2469" t="str">
            <v>1324854</v>
          </cell>
          <cell r="C2469" t="str">
            <v>6009VE-110-2-NP</v>
          </cell>
          <cell r="D2469" t="str">
            <v>6009VE</v>
          </cell>
          <cell r="E2469" t="str">
            <v>LIGHTWEIGHT LEG SHROUD WITH D-RING</v>
          </cell>
          <cell r="F2469" t="str">
            <v>DG-HARNESS-DTC</v>
          </cell>
          <cell r="G2469" t="str">
            <v>1420-210-FG</v>
          </cell>
          <cell r="H2469" t="str">
            <v>R</v>
          </cell>
          <cell r="I2469" t="str">
            <v>06/11/2024</v>
          </cell>
          <cell r="J2469" t="str">
            <v>06/14/2024</v>
          </cell>
          <cell r="K2469" t="str">
            <v>06/28/2024</v>
          </cell>
          <cell r="L2469">
            <v>7</v>
          </cell>
          <cell r="M2469" t="str">
            <v>6/13/2024 8:15:32 AM</v>
          </cell>
          <cell r="N2469" t="str">
            <v>26</v>
          </cell>
          <cell r="O2469">
            <v>7</v>
          </cell>
          <cell r="P2469">
            <v>0.41</v>
          </cell>
        </row>
        <row r="2470">
          <cell r="A2470" t="str">
            <v>6726263</v>
          </cell>
          <cell r="B2470" t="str">
            <v>1099264</v>
          </cell>
          <cell r="C2470" t="str">
            <v>37-4-4</v>
          </cell>
          <cell r="D2470" t="str">
            <v>37</v>
          </cell>
          <cell r="E2470" t="str">
            <v>MACE HOLDER OPEN TOP</v>
          </cell>
          <cell r="F2470" t="str">
            <v>DG-POUCH-F1</v>
          </cell>
          <cell r="G2470" t="str">
            <v>1420-210-FG</v>
          </cell>
          <cell r="H2470" t="str">
            <v>R</v>
          </cell>
          <cell r="I2470" t="str">
            <v>06/07/2024</v>
          </cell>
          <cell r="J2470" t="str">
            <v>06/07/2024</v>
          </cell>
          <cell r="K2470" t="str">
            <v>06/28/2024</v>
          </cell>
          <cell r="L2470">
            <v>15</v>
          </cell>
          <cell r="M2470" t="str">
            <v>6/7/2024 11:44:04 AM</v>
          </cell>
          <cell r="N2470" t="str">
            <v>26</v>
          </cell>
          <cell r="O2470">
            <v>15</v>
          </cell>
          <cell r="P2470">
            <v>4.5599999999999996</v>
          </cell>
        </row>
        <row r="2471">
          <cell r="A2471" t="str">
            <v>6728324</v>
          </cell>
          <cell r="B2471" t="str">
            <v>1099264</v>
          </cell>
          <cell r="C2471" t="str">
            <v>37-4-4</v>
          </cell>
          <cell r="D2471" t="str">
            <v>37</v>
          </cell>
          <cell r="E2471" t="str">
            <v>MACE HOLDER OPEN TOP</v>
          </cell>
          <cell r="F2471" t="str">
            <v>DG-POUCH-F1</v>
          </cell>
          <cell r="G2471" t="str">
            <v>1420-210-FG</v>
          </cell>
          <cell r="H2471" t="str">
            <v>F</v>
          </cell>
          <cell r="I2471" t="str">
            <v>06/11/2024</v>
          </cell>
          <cell r="J2471" t="str">
            <v>06/14/2024</v>
          </cell>
          <cell r="K2471" t="str">
            <v>06/28/2024</v>
          </cell>
          <cell r="L2471">
            <v>15</v>
          </cell>
          <cell r="M2471" t="str">
            <v/>
          </cell>
          <cell r="N2471" t="str">
            <v>26</v>
          </cell>
          <cell r="O2471">
            <v>15</v>
          </cell>
          <cell r="P2471">
            <v>4.5599999999999996</v>
          </cell>
        </row>
        <row r="2472">
          <cell r="A2472" t="str">
            <v>6728330</v>
          </cell>
          <cell r="B2472" t="str">
            <v>1122529</v>
          </cell>
          <cell r="C2472" t="str">
            <v>38-2-41HS</v>
          </cell>
          <cell r="D2472" t="str">
            <v>38</v>
          </cell>
          <cell r="E2472" t="str">
            <v>MACE HOLDERTOP FLAP</v>
          </cell>
          <cell r="F2472" t="str">
            <v>DG-POUCH-F1</v>
          </cell>
          <cell r="G2472" t="str">
            <v>1420-210-FG</v>
          </cell>
          <cell r="H2472" t="str">
            <v>F</v>
          </cell>
          <cell r="I2472" t="str">
            <v>06/11/2024</v>
          </cell>
          <cell r="J2472" t="str">
            <v>06/14/2024</v>
          </cell>
          <cell r="K2472" t="str">
            <v>06/28/2024</v>
          </cell>
          <cell r="L2472">
            <v>5</v>
          </cell>
          <cell r="M2472" t="str">
            <v/>
          </cell>
          <cell r="N2472" t="str">
            <v>26</v>
          </cell>
          <cell r="O2472">
            <v>5</v>
          </cell>
          <cell r="P2472">
            <v>1.44</v>
          </cell>
        </row>
        <row r="2473">
          <cell r="A2473" t="str">
            <v>6728334</v>
          </cell>
          <cell r="B2473" t="str">
            <v>1128117</v>
          </cell>
          <cell r="C2473" t="str">
            <v>38-2-48</v>
          </cell>
          <cell r="D2473" t="str">
            <v>38</v>
          </cell>
          <cell r="E2473" t="str">
            <v>MACE HOLDERTOP FLAP</v>
          </cell>
          <cell r="F2473" t="str">
            <v>DG-POUCH-F1</v>
          </cell>
          <cell r="G2473" t="str">
            <v>1420-210-FG</v>
          </cell>
          <cell r="H2473" t="str">
            <v>F</v>
          </cell>
          <cell r="I2473" t="str">
            <v>06/11/2024</v>
          </cell>
          <cell r="J2473" t="str">
            <v>06/14/2024</v>
          </cell>
          <cell r="K2473" t="str">
            <v>06/28/2024</v>
          </cell>
          <cell r="L2473">
            <v>18</v>
          </cell>
          <cell r="M2473" t="str">
            <v/>
          </cell>
          <cell r="N2473" t="str">
            <v>26</v>
          </cell>
          <cell r="O2473">
            <v>18</v>
          </cell>
          <cell r="P2473">
            <v>5.82</v>
          </cell>
        </row>
        <row r="2474">
          <cell r="A2474" t="str">
            <v>6728320</v>
          </cell>
          <cell r="B2474" t="str">
            <v>1098859</v>
          </cell>
          <cell r="C2474" t="str">
            <v>38-3-9HS</v>
          </cell>
          <cell r="D2474" t="str">
            <v>38</v>
          </cell>
          <cell r="E2474" t="str">
            <v>MACE HOLDERTOP FLAP</v>
          </cell>
          <cell r="F2474" t="str">
            <v>DG-POUCH-F1</v>
          </cell>
          <cell r="G2474" t="str">
            <v>1420-210-FG</v>
          </cell>
          <cell r="H2474" t="str">
            <v>F</v>
          </cell>
          <cell r="I2474" t="str">
            <v>06/11/2024</v>
          </cell>
          <cell r="J2474" t="str">
            <v>06/14/2024</v>
          </cell>
          <cell r="K2474" t="str">
            <v>06/28/2024</v>
          </cell>
          <cell r="L2474">
            <v>13</v>
          </cell>
          <cell r="M2474" t="str">
            <v/>
          </cell>
          <cell r="N2474" t="str">
            <v>26</v>
          </cell>
          <cell r="O2474">
            <v>13</v>
          </cell>
          <cell r="P2474">
            <v>3.94</v>
          </cell>
        </row>
        <row r="2475">
          <cell r="A2475" t="str">
            <v>6726259</v>
          </cell>
          <cell r="B2475" t="str">
            <v>1098995</v>
          </cell>
          <cell r="C2475" t="str">
            <v>38-4-9B</v>
          </cell>
          <cell r="D2475" t="str">
            <v>38</v>
          </cell>
          <cell r="E2475" t="str">
            <v>MACE HOLDERTOP FLAP</v>
          </cell>
          <cell r="F2475" t="str">
            <v>DG-POUCH-F1</v>
          </cell>
          <cell r="G2475" t="str">
            <v>1420-210-FG</v>
          </cell>
          <cell r="H2475" t="str">
            <v>R</v>
          </cell>
          <cell r="I2475" t="str">
            <v>06/07/2024</v>
          </cell>
          <cell r="J2475" t="str">
            <v>06/07/2024</v>
          </cell>
          <cell r="K2475" t="str">
            <v>06/28/2024</v>
          </cell>
          <cell r="L2475">
            <v>40</v>
          </cell>
          <cell r="M2475" t="str">
            <v>6/7/2024 11:51:05 AM</v>
          </cell>
          <cell r="N2475" t="str">
            <v>26</v>
          </cell>
          <cell r="O2475">
            <v>40</v>
          </cell>
          <cell r="P2475">
            <v>8.5299999999999994</v>
          </cell>
        </row>
        <row r="2476">
          <cell r="A2476" t="str">
            <v>6728331</v>
          </cell>
          <cell r="B2476" t="str">
            <v>1124580</v>
          </cell>
          <cell r="C2476" t="str">
            <v>77-76-41PBL</v>
          </cell>
          <cell r="D2476" t="str">
            <v>77</v>
          </cell>
          <cell r="E2476" t="str">
            <v>MAGAZINE HOLDER DOUBLE</v>
          </cell>
          <cell r="F2476" t="str">
            <v>DG-POUCH-F1</v>
          </cell>
          <cell r="G2476" t="str">
            <v>1420-210-FG</v>
          </cell>
          <cell r="H2476" t="str">
            <v>R</v>
          </cell>
          <cell r="I2476" t="str">
            <v>06/11/2024</v>
          </cell>
          <cell r="J2476" t="str">
            <v>06/14/2024</v>
          </cell>
          <cell r="K2476" t="str">
            <v>06/28/2024</v>
          </cell>
          <cell r="L2476">
            <v>15</v>
          </cell>
          <cell r="M2476" t="str">
            <v>6/12/2024 11:25:46 AM</v>
          </cell>
          <cell r="N2476" t="str">
            <v>26</v>
          </cell>
          <cell r="O2476">
            <v>15</v>
          </cell>
          <cell r="P2476">
            <v>5.46</v>
          </cell>
        </row>
        <row r="2477">
          <cell r="A2477" t="str">
            <v>6726163</v>
          </cell>
          <cell r="B2477" t="str">
            <v>1102076</v>
          </cell>
          <cell r="C2477" t="str">
            <v>77-76-9HS</v>
          </cell>
          <cell r="D2477" t="str">
            <v>77</v>
          </cell>
          <cell r="E2477" t="str">
            <v>MAGAZINE HOLDER DOUBLE</v>
          </cell>
          <cell r="F2477" t="str">
            <v>DG-POUCH-F1</v>
          </cell>
          <cell r="G2477" t="str">
            <v>1420-210-FG</v>
          </cell>
          <cell r="H2477" t="str">
            <v>R</v>
          </cell>
          <cell r="I2477" t="str">
            <v>06/07/2024</v>
          </cell>
          <cell r="J2477" t="str">
            <v>06/07/2024</v>
          </cell>
          <cell r="K2477" t="str">
            <v>06/28/2024</v>
          </cell>
          <cell r="L2477">
            <v>30</v>
          </cell>
          <cell r="M2477" t="str">
            <v>6/7/2024 11:51:05 AM</v>
          </cell>
          <cell r="N2477" t="str">
            <v>26</v>
          </cell>
          <cell r="O2477">
            <v>30</v>
          </cell>
          <cell r="P2477">
            <v>16.329999999999998</v>
          </cell>
        </row>
        <row r="2478">
          <cell r="A2478" t="str">
            <v>6726170</v>
          </cell>
          <cell r="B2478" t="str">
            <v>1102076</v>
          </cell>
          <cell r="C2478" t="str">
            <v>77-76-9HS</v>
          </cell>
          <cell r="D2478" t="str">
            <v>77</v>
          </cell>
          <cell r="E2478" t="str">
            <v>MAGAZINE HOLDER DOUBLE</v>
          </cell>
          <cell r="F2478" t="str">
            <v>DG-POUCH-F1</v>
          </cell>
          <cell r="G2478" t="str">
            <v>1420-210-FG</v>
          </cell>
          <cell r="H2478" t="str">
            <v>R</v>
          </cell>
          <cell r="I2478" t="str">
            <v>06/07/2024</v>
          </cell>
          <cell r="J2478" t="str">
            <v>06/07/2024</v>
          </cell>
          <cell r="K2478" t="str">
            <v>06/28/2024</v>
          </cell>
          <cell r="L2478">
            <v>100</v>
          </cell>
          <cell r="M2478" t="str">
            <v>6/7/2024 11:51:05 AM</v>
          </cell>
          <cell r="N2478" t="str">
            <v>26</v>
          </cell>
          <cell r="O2478">
            <v>100</v>
          </cell>
          <cell r="P2478">
            <v>54.45</v>
          </cell>
        </row>
        <row r="2479">
          <cell r="A2479" t="str">
            <v>6726423</v>
          </cell>
          <cell r="B2479" t="str">
            <v>1113688</v>
          </cell>
          <cell r="C2479" t="str">
            <v>BA-MMC</v>
          </cell>
          <cell r="D2479" t="str">
            <v>BA</v>
          </cell>
          <cell r="E2479" t="str">
            <v>MOLDED MAG CLIP</v>
          </cell>
          <cell r="F2479" t="str">
            <v>DG-POUCH-F2-F3</v>
          </cell>
          <cell r="G2479" t="str">
            <v>1420-210-FG</v>
          </cell>
          <cell r="H2479" t="str">
            <v>R</v>
          </cell>
          <cell r="I2479" t="str">
            <v>06/07/2024</v>
          </cell>
          <cell r="J2479" t="str">
            <v>06/07/2024</v>
          </cell>
          <cell r="K2479" t="str">
            <v>06/28/2024</v>
          </cell>
          <cell r="L2479">
            <v>200</v>
          </cell>
          <cell r="M2479" t="str">
            <v>6/7/2024 11:55:51 AM</v>
          </cell>
          <cell r="N2479" t="str">
            <v>26</v>
          </cell>
          <cell r="O2479">
            <v>200</v>
          </cell>
          <cell r="P2479">
            <v>8.48</v>
          </cell>
        </row>
        <row r="2480">
          <cell r="A2480" t="str">
            <v>6728365</v>
          </cell>
          <cell r="B2480" t="str">
            <v>1323520</v>
          </cell>
          <cell r="C2480" t="str">
            <v>6004-8-13-NP</v>
          </cell>
          <cell r="D2480" t="str">
            <v>6004</v>
          </cell>
          <cell r="E2480" t="str">
            <v>MOLLE SYSTEM ADAPTER</v>
          </cell>
          <cell r="F2480" t="str">
            <v>DG-POUCH-F2-F3</v>
          </cell>
          <cell r="G2480" t="str">
            <v>1420-210-FG</v>
          </cell>
          <cell r="H2480" t="str">
            <v>F</v>
          </cell>
          <cell r="I2480" t="str">
            <v>06/11/2024</v>
          </cell>
          <cell r="J2480" t="str">
            <v>06/14/2024</v>
          </cell>
          <cell r="K2480" t="str">
            <v>06/28/2024</v>
          </cell>
          <cell r="L2480">
            <v>3</v>
          </cell>
          <cell r="M2480" t="str">
            <v/>
          </cell>
          <cell r="N2480" t="str">
            <v>26</v>
          </cell>
          <cell r="O2480">
            <v>3</v>
          </cell>
          <cell r="P2480">
            <v>0.32</v>
          </cell>
        </row>
        <row r="2481">
          <cell r="A2481" t="str">
            <v>6727797</v>
          </cell>
          <cell r="B2481" t="str">
            <v>1183884</v>
          </cell>
          <cell r="C2481" t="str">
            <v>26793</v>
          </cell>
          <cell r="D2481" t="str">
            <v>7307</v>
          </cell>
          <cell r="E2481" t="str">
            <v>OC/MACE SPRAY POUCH BLK SZXSM HIDDEN</v>
          </cell>
          <cell r="F2481" t="str">
            <v>BN-POUCH</v>
          </cell>
          <cell r="G2481" t="str">
            <v>1420-210-FG</v>
          </cell>
          <cell r="H2481" t="str">
            <v>F</v>
          </cell>
          <cell r="I2481" t="str">
            <v>06/11/2024</v>
          </cell>
          <cell r="J2481" t="str">
            <v>06/14/2024</v>
          </cell>
          <cell r="K2481" t="str">
            <v>06/28/2024</v>
          </cell>
          <cell r="L2481">
            <v>5</v>
          </cell>
          <cell r="M2481" t="str">
            <v/>
          </cell>
          <cell r="N2481" t="str">
            <v>26</v>
          </cell>
          <cell r="O2481">
            <v>5</v>
          </cell>
          <cell r="P2481">
            <v>0.8</v>
          </cell>
        </row>
        <row r="2482">
          <cell r="A2482" t="str">
            <v>6726255</v>
          </cell>
          <cell r="B2482" t="str">
            <v>1102645</v>
          </cell>
          <cell r="C2482" t="str">
            <v>763-4</v>
          </cell>
          <cell r="D2482" t="str">
            <v>763</v>
          </cell>
          <cell r="E2482" t="str">
            <v>RADIO CARRIER</v>
          </cell>
          <cell r="F2482" t="str">
            <v>DG-POUCH-F2-F3</v>
          </cell>
          <cell r="G2482" t="str">
            <v>1420-210-FG</v>
          </cell>
          <cell r="H2482" t="str">
            <v>R</v>
          </cell>
          <cell r="I2482" t="str">
            <v>06/07/2024</v>
          </cell>
          <cell r="J2482" t="str">
            <v>06/07/2024</v>
          </cell>
          <cell r="K2482" t="str">
            <v>06/28/2024</v>
          </cell>
          <cell r="L2482">
            <v>50</v>
          </cell>
          <cell r="M2482" t="str">
            <v>6/7/2024 11:58:41 AM</v>
          </cell>
          <cell r="N2482" t="str">
            <v>26</v>
          </cell>
          <cell r="O2482">
            <v>50</v>
          </cell>
          <cell r="P2482">
            <v>13.79</v>
          </cell>
        </row>
        <row r="2483">
          <cell r="A2483" t="str">
            <v>6726192</v>
          </cell>
          <cell r="B2483" t="str">
            <v>1102397</v>
          </cell>
          <cell r="C2483" t="str">
            <v>761-1-2</v>
          </cell>
          <cell r="D2483" t="str">
            <v>761</v>
          </cell>
          <cell r="E2483" t="str">
            <v>RADIO CARRIER FORMED PCH ADJ</v>
          </cell>
          <cell r="F2483" t="str">
            <v>DG-POUCH-F1</v>
          </cell>
          <cell r="G2483" t="str">
            <v>1420-210-FG</v>
          </cell>
          <cell r="H2483" t="str">
            <v>R</v>
          </cell>
          <cell r="I2483" t="str">
            <v>06/07/2024</v>
          </cell>
          <cell r="J2483" t="str">
            <v>06/14/2024</v>
          </cell>
          <cell r="K2483" t="str">
            <v>06/28/2024</v>
          </cell>
          <cell r="L2483">
            <v>5</v>
          </cell>
          <cell r="M2483" t="str">
            <v>6/7/2024 11:44:04 AM</v>
          </cell>
          <cell r="N2483" t="str">
            <v>26</v>
          </cell>
          <cell r="O2483">
            <v>5</v>
          </cell>
          <cell r="P2483">
            <v>1.76</v>
          </cell>
        </row>
        <row r="2484">
          <cell r="A2484" t="str">
            <v>6726156</v>
          </cell>
          <cell r="B2484" t="str">
            <v>1102400</v>
          </cell>
          <cell r="C2484" t="str">
            <v>761-1-9</v>
          </cell>
          <cell r="D2484" t="str">
            <v>761</v>
          </cell>
          <cell r="E2484" t="str">
            <v>RADIO CARRIER FORMED PCH ADJ</v>
          </cell>
          <cell r="F2484" t="str">
            <v>DG-POUCH-F1</v>
          </cell>
          <cell r="G2484" t="str">
            <v>1420-210-FG</v>
          </cell>
          <cell r="H2484" t="str">
            <v>R</v>
          </cell>
          <cell r="I2484" t="str">
            <v>06/07/2024</v>
          </cell>
          <cell r="J2484" t="str">
            <v>06/14/2024</v>
          </cell>
          <cell r="K2484" t="str">
            <v>06/28/2024</v>
          </cell>
          <cell r="L2484">
            <v>4</v>
          </cell>
          <cell r="M2484" t="str">
            <v>6/7/2024 11:44:04 AM</v>
          </cell>
          <cell r="N2484" t="str">
            <v>26</v>
          </cell>
          <cell r="O2484">
            <v>4</v>
          </cell>
          <cell r="P2484">
            <v>1.39</v>
          </cell>
        </row>
        <row r="2485">
          <cell r="A2485" t="str">
            <v>6728325</v>
          </cell>
          <cell r="B2485" t="str">
            <v>1102562</v>
          </cell>
          <cell r="C2485" t="str">
            <v>761-5-13</v>
          </cell>
          <cell r="D2485" t="str">
            <v>761</v>
          </cell>
          <cell r="E2485" t="str">
            <v>RADIO CARRIER FORMED PCH ADJ</v>
          </cell>
          <cell r="F2485" t="str">
            <v>DG-POUCH-F1</v>
          </cell>
          <cell r="G2485" t="str">
            <v>1420-210-FG</v>
          </cell>
          <cell r="H2485" t="str">
            <v>F</v>
          </cell>
          <cell r="I2485" t="str">
            <v>06/11/2024</v>
          </cell>
          <cell r="J2485" t="str">
            <v>06/14/2024</v>
          </cell>
          <cell r="K2485" t="str">
            <v>06/28/2024</v>
          </cell>
          <cell r="L2485">
            <v>9</v>
          </cell>
          <cell r="M2485" t="str">
            <v/>
          </cell>
          <cell r="N2485" t="str">
            <v>26</v>
          </cell>
          <cell r="O2485">
            <v>9</v>
          </cell>
          <cell r="P2485">
            <v>3.4</v>
          </cell>
        </row>
        <row r="2486">
          <cell r="A2486" t="str">
            <v>6727714</v>
          </cell>
          <cell r="B2486" t="str">
            <v>1016967</v>
          </cell>
          <cell r="C2486" t="str">
            <v>22214</v>
          </cell>
          <cell r="D2486" t="str">
            <v>7960</v>
          </cell>
          <cell r="E2486" t="str">
            <v>SAM BROWNE BELT PLN BLK SZ 30 CHROME</v>
          </cell>
          <cell r="F2486" t="str">
            <v>BN-BELT</v>
          </cell>
          <cell r="G2486" t="str">
            <v>1420-210-FG</v>
          </cell>
          <cell r="H2486" t="str">
            <v>F</v>
          </cell>
          <cell r="I2486" t="str">
            <v>06/11/2024</v>
          </cell>
          <cell r="J2486" t="str">
            <v>06/14/2024</v>
          </cell>
          <cell r="K2486" t="str">
            <v>06/28/2024</v>
          </cell>
          <cell r="L2486">
            <v>5</v>
          </cell>
          <cell r="M2486" t="str">
            <v/>
          </cell>
          <cell r="N2486" t="str">
            <v>26</v>
          </cell>
          <cell r="O2486">
            <v>5</v>
          </cell>
          <cell r="P2486">
            <v>0.95</v>
          </cell>
        </row>
        <row r="2487">
          <cell r="A2487" t="str">
            <v>6726249</v>
          </cell>
          <cell r="B2487" t="str">
            <v>1137598</v>
          </cell>
          <cell r="C2487" t="str">
            <v>775-76-13</v>
          </cell>
          <cell r="D2487" t="str">
            <v>775</v>
          </cell>
          <cell r="E2487" t="str">
            <v>SLIMLINE OPEN-TOP TRIPLE MAGAZINE POUCH</v>
          </cell>
          <cell r="F2487" t="str">
            <v>DG-POUCH-F1</v>
          </cell>
          <cell r="G2487" t="str">
            <v>1420-210-FG</v>
          </cell>
          <cell r="H2487" t="str">
            <v>R</v>
          </cell>
          <cell r="I2487" t="str">
            <v>06/07/2024</v>
          </cell>
          <cell r="J2487" t="str">
            <v>06/14/2024</v>
          </cell>
          <cell r="K2487" t="str">
            <v>06/28/2024</v>
          </cell>
          <cell r="L2487">
            <v>6</v>
          </cell>
          <cell r="M2487" t="str">
            <v>6/7/2024 11:41:41 AM</v>
          </cell>
          <cell r="N2487" t="str">
            <v>26</v>
          </cell>
          <cell r="O2487">
            <v>6</v>
          </cell>
          <cell r="P2487">
            <v>2.1800000000000002</v>
          </cell>
        </row>
        <row r="2488">
          <cell r="A2488" t="str">
            <v>6724273</v>
          </cell>
          <cell r="B2488" t="str">
            <v>1015927</v>
          </cell>
          <cell r="C2488" t="str">
            <v>14869</v>
          </cell>
          <cell r="D2488" t="str">
            <v>UM84R</v>
          </cell>
          <cell r="E2488" t="str">
            <v>UNIV. MIL. HOL. REVOLVER BLACK S-W19 4IN</v>
          </cell>
          <cell r="F2488" t="str">
            <v>BN-RANGER</v>
          </cell>
          <cell r="G2488" t="str">
            <v>1420-210-FG</v>
          </cell>
          <cell r="H2488" t="str">
            <v>R</v>
          </cell>
          <cell r="I2488" t="str">
            <v>06/04/2024</v>
          </cell>
          <cell r="J2488" t="str">
            <v>06/14/2024</v>
          </cell>
          <cell r="K2488" t="str">
            <v>06/28/2024</v>
          </cell>
          <cell r="L2488">
            <v>38</v>
          </cell>
          <cell r="M2488" t="str">
            <v>6/5/2024 10:06:01 AM</v>
          </cell>
          <cell r="N2488" t="str">
            <v>26</v>
          </cell>
          <cell r="O2488">
            <v>38</v>
          </cell>
          <cell r="P2488">
            <v>10.46</v>
          </cell>
        </row>
        <row r="2489">
          <cell r="A2489" t="str">
            <v>6728363</v>
          </cell>
          <cell r="B2489" t="str">
            <v>1331710</v>
          </cell>
          <cell r="C2489" t="str">
            <v>190-23PBL-MSA</v>
          </cell>
          <cell r="D2489" t="str">
            <v>190</v>
          </cell>
          <cell r="E2489" t="str">
            <v>190 HANDCUFF CASE STX TAC BLK</v>
          </cell>
          <cell r="F2489" t="str">
            <v>DG-POUCH-F1</v>
          </cell>
          <cell r="G2489" t="str">
            <v>1420-210-FG</v>
          </cell>
          <cell r="H2489" t="str">
            <v>R</v>
          </cell>
          <cell r="I2489" t="str">
            <v>06/11/2024</v>
          </cell>
          <cell r="J2489" t="str">
            <v>06/17/2024</v>
          </cell>
          <cell r="K2489" t="str">
            <v>07/01/2024</v>
          </cell>
          <cell r="L2489">
            <v>20</v>
          </cell>
          <cell r="M2489" t="str">
            <v>6/12/2024 11:21:16 AM</v>
          </cell>
          <cell r="N2489" t="str">
            <v>27</v>
          </cell>
          <cell r="O2489">
            <v>20</v>
          </cell>
          <cell r="P2489">
            <v>7.8</v>
          </cell>
        </row>
        <row r="2490">
          <cell r="A2490" t="str">
            <v>6728358</v>
          </cell>
          <cell r="B2490" t="str">
            <v>1127828</v>
          </cell>
          <cell r="C2490" t="str">
            <v>306-11-48</v>
          </cell>
          <cell r="D2490" t="str">
            <v>306</v>
          </cell>
          <cell r="E2490" t="str">
            <v>306 STRINGER W/ PLY GRP STX BSK BLK</v>
          </cell>
          <cell r="F2490" t="str">
            <v>DG-POUCH-F1</v>
          </cell>
          <cell r="G2490" t="str">
            <v>1420-210-FG</v>
          </cell>
          <cell r="H2490" t="str">
            <v>F</v>
          </cell>
          <cell r="I2490" t="str">
            <v>06/11/2024</v>
          </cell>
          <cell r="J2490" t="str">
            <v>06/17/2024</v>
          </cell>
          <cell r="K2490" t="str">
            <v>07/01/2024</v>
          </cell>
          <cell r="L2490">
            <v>20</v>
          </cell>
          <cell r="M2490" t="str">
            <v/>
          </cell>
          <cell r="N2490" t="str">
            <v>27</v>
          </cell>
          <cell r="O2490">
            <v>20</v>
          </cell>
          <cell r="P2490">
            <v>9.4700000000000006</v>
          </cell>
        </row>
        <row r="2491">
          <cell r="A2491" t="str">
            <v>6728322</v>
          </cell>
          <cell r="B2491" t="str">
            <v>1099259</v>
          </cell>
          <cell r="C2491" t="str">
            <v>37-3-4</v>
          </cell>
          <cell r="D2491" t="str">
            <v>37</v>
          </cell>
          <cell r="E2491" t="str">
            <v>37 MACE HOLDER OPEN TOP BSK BLK</v>
          </cell>
          <cell r="F2491" t="str">
            <v>DG-POUCH-F1</v>
          </cell>
          <cell r="G2491" t="str">
            <v>1420-210-FG</v>
          </cell>
          <cell r="H2491" t="str">
            <v>F</v>
          </cell>
          <cell r="I2491" t="str">
            <v>06/11/2024</v>
          </cell>
          <cell r="J2491" t="str">
            <v>06/17/2024</v>
          </cell>
          <cell r="K2491" t="str">
            <v>07/01/2024</v>
          </cell>
          <cell r="L2491">
            <v>10</v>
          </cell>
          <cell r="M2491" t="str">
            <v/>
          </cell>
          <cell r="N2491" t="str">
            <v>27</v>
          </cell>
          <cell r="O2491">
            <v>10</v>
          </cell>
          <cell r="P2491">
            <v>3.04</v>
          </cell>
        </row>
        <row r="2492">
          <cell r="A2492" t="str">
            <v>6728288</v>
          </cell>
          <cell r="B2492" t="str">
            <v>1165662</v>
          </cell>
          <cell r="C2492" t="str">
            <v>5198-283-131</v>
          </cell>
          <cell r="D2492" t="str">
            <v>5198</v>
          </cell>
          <cell r="E2492" t="str">
            <v>5198 GLOCK 19/23 STX TAC BLK RH</v>
          </cell>
          <cell r="F2492" t="str">
            <v>DG-HOLSTER-SEW-DTC</v>
          </cell>
          <cell r="G2492" t="str">
            <v>1420-210-FG</v>
          </cell>
          <cell r="H2492" t="str">
            <v>F</v>
          </cell>
          <cell r="I2492" t="str">
            <v>06/11/2024</v>
          </cell>
          <cell r="J2492" t="str">
            <v>06/17/2024</v>
          </cell>
          <cell r="K2492" t="str">
            <v>07/01/2024</v>
          </cell>
          <cell r="L2492">
            <v>10</v>
          </cell>
          <cell r="M2492" t="str">
            <v/>
          </cell>
          <cell r="N2492" t="str">
            <v>27</v>
          </cell>
          <cell r="O2492">
            <v>10</v>
          </cell>
          <cell r="P2492">
            <v>3.14</v>
          </cell>
        </row>
        <row r="2493">
          <cell r="A2493" t="str">
            <v>6728090</v>
          </cell>
          <cell r="B2493" t="str">
            <v>1208477</v>
          </cell>
          <cell r="C2493" t="str">
            <v>557-2832-131</v>
          </cell>
          <cell r="D2493" t="str">
            <v>557</v>
          </cell>
          <cell r="E2493" t="str">
            <v>557 GLOCK 19/23 W/X300 STX TAC BLK RH</v>
          </cell>
          <cell r="F2493" t="str">
            <v>DG-HOLSTER-DTC</v>
          </cell>
          <cell r="G2493" t="str">
            <v>1420-210-FG</v>
          </cell>
          <cell r="H2493" t="str">
            <v>F</v>
          </cell>
          <cell r="I2493" t="str">
            <v>06/11/2024</v>
          </cell>
          <cell r="J2493" t="str">
            <v>06/17/2024</v>
          </cell>
          <cell r="K2493" t="str">
            <v>07/01/2024</v>
          </cell>
          <cell r="L2493">
            <v>5</v>
          </cell>
          <cell r="M2493" t="str">
            <v/>
          </cell>
          <cell r="N2493" t="str">
            <v>27</v>
          </cell>
          <cell r="O2493">
            <v>5</v>
          </cell>
          <cell r="P2493">
            <v>1.03</v>
          </cell>
        </row>
        <row r="2494">
          <cell r="A2494" t="str">
            <v>6727895</v>
          </cell>
          <cell r="B2494" t="str">
            <v>1134059</v>
          </cell>
          <cell r="C2494" t="str">
            <v>6004-25-56</v>
          </cell>
          <cell r="D2494" t="str">
            <v>6004</v>
          </cell>
          <cell r="E2494" t="str">
            <v>6004 SNG LEG STRP W/DFA ODG</v>
          </cell>
          <cell r="F2494" t="str">
            <v>DG-HARNESS-DTC</v>
          </cell>
          <cell r="G2494" t="str">
            <v>1420-210-FG</v>
          </cell>
          <cell r="H2494" t="str">
            <v>F</v>
          </cell>
          <cell r="I2494" t="str">
            <v>06/11/2024</v>
          </cell>
          <cell r="J2494" t="str">
            <v>06/17/2024</v>
          </cell>
          <cell r="K2494" t="str">
            <v>07/01/2024</v>
          </cell>
          <cell r="L2494">
            <v>25</v>
          </cell>
          <cell r="M2494" t="str">
            <v/>
          </cell>
          <cell r="N2494" t="str">
            <v>27</v>
          </cell>
          <cell r="O2494">
            <v>25</v>
          </cell>
          <cell r="P2494">
            <v>1.75</v>
          </cell>
        </row>
        <row r="2495">
          <cell r="A2495" t="str">
            <v>6728030</v>
          </cell>
          <cell r="B2495" t="str">
            <v>1099674</v>
          </cell>
          <cell r="C2495" t="str">
            <v>6280-283-62</v>
          </cell>
          <cell r="D2495" t="str">
            <v>6280</v>
          </cell>
          <cell r="E2495" t="str">
            <v>6280 GLOCK 19/23 PLN BLK LH</v>
          </cell>
          <cell r="F2495" t="str">
            <v>DG-HOLSTER-DTC</v>
          </cell>
          <cell r="G2495" t="str">
            <v>1420-210-FG</v>
          </cell>
          <cell r="H2495" t="str">
            <v>F</v>
          </cell>
          <cell r="I2495" t="str">
            <v>06/11/2024</v>
          </cell>
          <cell r="J2495" t="str">
            <v>06/17/2024</v>
          </cell>
          <cell r="K2495" t="str">
            <v>07/01/2024</v>
          </cell>
          <cell r="L2495">
            <v>5</v>
          </cell>
          <cell r="M2495" t="str">
            <v/>
          </cell>
          <cell r="N2495" t="str">
            <v>27</v>
          </cell>
          <cell r="O2495">
            <v>5</v>
          </cell>
          <cell r="P2495">
            <v>1.8</v>
          </cell>
        </row>
        <row r="2496">
          <cell r="A2496" t="str">
            <v>6728003</v>
          </cell>
          <cell r="B2496" t="str">
            <v>1099667</v>
          </cell>
          <cell r="C2496" t="str">
            <v>6280-283-131</v>
          </cell>
          <cell r="D2496" t="str">
            <v>6280</v>
          </cell>
          <cell r="E2496" t="str">
            <v>6280 GLOCK 19/23 STX TAC BLK RH</v>
          </cell>
          <cell r="F2496" t="str">
            <v>DG-HOLSTER-DTC</v>
          </cell>
          <cell r="G2496" t="str">
            <v>1420-210-FG</v>
          </cell>
          <cell r="H2496" t="str">
            <v>F</v>
          </cell>
          <cell r="I2496" t="str">
            <v>06/11/2024</v>
          </cell>
          <cell r="J2496" t="str">
            <v>06/17/2024</v>
          </cell>
          <cell r="K2496" t="str">
            <v>07/01/2024</v>
          </cell>
          <cell r="L2496">
            <v>20</v>
          </cell>
          <cell r="M2496" t="str">
            <v/>
          </cell>
          <cell r="N2496" t="str">
            <v>27</v>
          </cell>
          <cell r="O2496">
            <v>20</v>
          </cell>
          <cell r="P2496">
            <v>5.85</v>
          </cell>
        </row>
        <row r="2497">
          <cell r="A2497" t="str">
            <v>6727922</v>
          </cell>
          <cell r="B2497" t="str">
            <v>1101161</v>
          </cell>
          <cell r="C2497" t="str">
            <v>6280-383-131</v>
          </cell>
          <cell r="D2497" t="str">
            <v>6280</v>
          </cell>
          <cell r="E2497" t="str">
            <v>6280 GLOCK 20/21 STX TAC BLK RH</v>
          </cell>
          <cell r="F2497" t="str">
            <v>DG-HOLSTER</v>
          </cell>
          <cell r="G2497" t="str">
            <v>1420-210-FG</v>
          </cell>
          <cell r="H2497" t="str">
            <v>F</v>
          </cell>
          <cell r="I2497" t="str">
            <v>06/11/2024</v>
          </cell>
          <cell r="J2497" t="str">
            <v>06/17/2024</v>
          </cell>
          <cell r="K2497" t="str">
            <v>07/01/2024</v>
          </cell>
          <cell r="L2497">
            <v>5</v>
          </cell>
          <cell r="M2497" t="str">
            <v/>
          </cell>
          <cell r="N2497" t="str">
            <v>27</v>
          </cell>
          <cell r="O2497">
            <v>5</v>
          </cell>
          <cell r="P2497">
            <v>1.3</v>
          </cell>
        </row>
        <row r="2498">
          <cell r="A2498" t="str">
            <v>6728238</v>
          </cell>
          <cell r="B2498" t="str">
            <v>1334977</v>
          </cell>
          <cell r="C2498" t="str">
            <v>6304RDS-75227-251-MS19</v>
          </cell>
          <cell r="D2498" t="str">
            <v>6304RDS</v>
          </cell>
          <cell r="E2498" t="str">
            <v>6304RDS SIG P320C RX TLR7 CR ARID MCM RH</v>
          </cell>
          <cell r="F2498" t="str">
            <v>DG-HOLSTER-RDS-DTC</v>
          </cell>
          <cell r="G2498" t="str">
            <v>1420-210-FG</v>
          </cell>
          <cell r="H2498" t="str">
            <v>F</v>
          </cell>
          <cell r="I2498" t="str">
            <v>06/11/2024</v>
          </cell>
          <cell r="J2498" t="str">
            <v>06/17/2024</v>
          </cell>
          <cell r="K2498" t="str">
            <v>07/01/2024</v>
          </cell>
          <cell r="L2498">
            <v>5</v>
          </cell>
          <cell r="M2498" t="str">
            <v/>
          </cell>
          <cell r="N2498" t="str">
            <v>27</v>
          </cell>
          <cell r="O2498">
            <v>5</v>
          </cell>
          <cell r="P2498">
            <v>2.17</v>
          </cell>
        </row>
        <row r="2499">
          <cell r="A2499" t="str">
            <v>6728147</v>
          </cell>
          <cell r="B2499" t="str">
            <v>1305573</v>
          </cell>
          <cell r="C2499" t="str">
            <v>6305RDS-4502-701-SP10</v>
          </cell>
          <cell r="D2499" t="str">
            <v>6305RDS</v>
          </cell>
          <cell r="E2499" t="str">
            <v>6305RDS SIG P320RX X300U CORD MLTCM RH</v>
          </cell>
          <cell r="F2499" t="str">
            <v>DG-HOLSTER-RDS</v>
          </cell>
          <cell r="G2499" t="str">
            <v>1420-210-FG</v>
          </cell>
          <cell r="H2499" t="str">
            <v>F</v>
          </cell>
          <cell r="I2499" t="str">
            <v>06/11/2024</v>
          </cell>
          <cell r="J2499" t="str">
            <v>06/17/2024</v>
          </cell>
          <cell r="K2499" t="str">
            <v>07/01/2024</v>
          </cell>
          <cell r="L2499">
            <v>5</v>
          </cell>
          <cell r="M2499" t="str">
            <v/>
          </cell>
          <cell r="N2499" t="str">
            <v>27</v>
          </cell>
          <cell r="O2499">
            <v>5</v>
          </cell>
          <cell r="P2499">
            <v>2.17</v>
          </cell>
        </row>
        <row r="2500">
          <cell r="A2500" t="str">
            <v>6727983</v>
          </cell>
          <cell r="B2500" t="str">
            <v>1170053</v>
          </cell>
          <cell r="C2500" t="str">
            <v>6354DO-283-701-MS19</v>
          </cell>
          <cell r="D2500" t="str">
            <v>6354DO</v>
          </cell>
          <cell r="E2500" t="str">
            <v>6354DO GLOCK 19/23 CORD MTCM RH</v>
          </cell>
          <cell r="F2500" t="str">
            <v>DG-HOLSTER-DO-DTC</v>
          </cell>
          <cell r="G2500" t="str">
            <v>1420-210-FG</v>
          </cell>
          <cell r="H2500" t="str">
            <v>F</v>
          </cell>
          <cell r="I2500" t="str">
            <v>06/11/2024</v>
          </cell>
          <cell r="J2500" t="str">
            <v>06/17/2024</v>
          </cell>
          <cell r="K2500" t="str">
            <v>07/01/2024</v>
          </cell>
          <cell r="L2500">
            <v>5</v>
          </cell>
          <cell r="M2500" t="str">
            <v/>
          </cell>
          <cell r="N2500" t="str">
            <v>27</v>
          </cell>
          <cell r="O2500">
            <v>5</v>
          </cell>
          <cell r="P2500">
            <v>2.93</v>
          </cell>
        </row>
        <row r="2501">
          <cell r="A2501" t="str">
            <v>6727986</v>
          </cell>
          <cell r="B2501" t="str">
            <v>1184060</v>
          </cell>
          <cell r="C2501" t="str">
            <v>6354DO-2832-741-MS19</v>
          </cell>
          <cell r="D2501" t="str">
            <v>6354DO</v>
          </cell>
          <cell r="E2501" t="str">
            <v>6354DO GLOCK 19/23 X300U CORD CYTB RH</v>
          </cell>
          <cell r="F2501" t="str">
            <v>DG-HOLSTER-DO-DTC</v>
          </cell>
          <cell r="G2501" t="str">
            <v>1420-210-FG</v>
          </cell>
          <cell r="H2501" t="str">
            <v>F</v>
          </cell>
          <cell r="I2501" t="str">
            <v>06/11/2024</v>
          </cell>
          <cell r="J2501" t="str">
            <v>06/17/2024</v>
          </cell>
          <cell r="K2501" t="str">
            <v>07/01/2024</v>
          </cell>
          <cell r="L2501">
            <v>5</v>
          </cell>
          <cell r="M2501" t="str">
            <v/>
          </cell>
          <cell r="N2501" t="str">
            <v>27</v>
          </cell>
          <cell r="O2501">
            <v>5</v>
          </cell>
          <cell r="P2501">
            <v>2.34</v>
          </cell>
        </row>
        <row r="2502">
          <cell r="A2502" t="str">
            <v>6728173</v>
          </cell>
          <cell r="B2502" t="str">
            <v>1334277</v>
          </cell>
          <cell r="C2502" t="str">
            <v>6354RDSO-832-711-MS19</v>
          </cell>
          <cell r="D2502" t="str">
            <v>6354RDSO</v>
          </cell>
          <cell r="E2502" t="str">
            <v>6354RDSO GLOCK 17MOS X300U COR BKMCAM RH</v>
          </cell>
          <cell r="F2502" t="str">
            <v>DG-HOLSTER-RDS</v>
          </cell>
          <cell r="G2502" t="str">
            <v>1420-210-FG</v>
          </cell>
          <cell r="H2502" t="str">
            <v>F</v>
          </cell>
          <cell r="I2502" t="str">
            <v>06/11/2024</v>
          </cell>
          <cell r="J2502" t="str">
            <v>06/17/2024</v>
          </cell>
          <cell r="K2502" t="str">
            <v>07/01/2024</v>
          </cell>
          <cell r="L2502">
            <v>1</v>
          </cell>
          <cell r="M2502" t="str">
            <v/>
          </cell>
          <cell r="N2502" t="str">
            <v>27</v>
          </cell>
          <cell r="O2502">
            <v>1</v>
          </cell>
          <cell r="P2502">
            <v>0.43</v>
          </cell>
        </row>
        <row r="2503">
          <cell r="A2503" t="str">
            <v>6728243</v>
          </cell>
          <cell r="B2503" t="str">
            <v>1335650</v>
          </cell>
          <cell r="C2503" t="str">
            <v>6354RDSO-28328-701-MS19</v>
          </cell>
          <cell r="D2503" t="str">
            <v>6354RDSO</v>
          </cell>
          <cell r="E2503" t="str">
            <v>6354RDSO GLOCK 19MOS TLR-8 COR MLTCM RH</v>
          </cell>
          <cell r="F2503" t="str">
            <v>DG-HOLSTER-RDS-DTC</v>
          </cell>
          <cell r="G2503" t="str">
            <v>1420-210-FG</v>
          </cell>
          <cell r="H2503" t="str">
            <v>F</v>
          </cell>
          <cell r="I2503" t="str">
            <v>06/11/2024</v>
          </cell>
          <cell r="J2503" t="str">
            <v>06/17/2024</v>
          </cell>
          <cell r="K2503" t="str">
            <v>07/01/2024</v>
          </cell>
          <cell r="L2503">
            <v>5</v>
          </cell>
          <cell r="M2503" t="str">
            <v/>
          </cell>
          <cell r="N2503" t="str">
            <v>27</v>
          </cell>
          <cell r="O2503">
            <v>5</v>
          </cell>
          <cell r="P2503">
            <v>2.17</v>
          </cell>
        </row>
        <row r="2504">
          <cell r="A2504" t="str">
            <v>6728237</v>
          </cell>
          <cell r="B2504" t="str">
            <v>1334806</v>
          </cell>
          <cell r="C2504" t="str">
            <v>6354RDSO-2832-721-MS19</v>
          </cell>
          <cell r="D2504" t="str">
            <v>6354RDSO</v>
          </cell>
          <cell r="E2504" t="str">
            <v>6354RDSO GLOCK 19MOS X300U CR OD RGRN RH</v>
          </cell>
          <cell r="F2504" t="str">
            <v>DG-HOLSTER-RDS-DTC</v>
          </cell>
          <cell r="G2504" t="str">
            <v>1420-210-FG</v>
          </cell>
          <cell r="H2504" t="str">
            <v>F</v>
          </cell>
          <cell r="I2504" t="str">
            <v>06/11/2024</v>
          </cell>
          <cell r="J2504" t="str">
            <v>06/17/2024</v>
          </cell>
          <cell r="K2504" t="str">
            <v>07/01/2024</v>
          </cell>
          <cell r="L2504">
            <v>10</v>
          </cell>
          <cell r="M2504" t="str">
            <v/>
          </cell>
          <cell r="N2504" t="str">
            <v>27</v>
          </cell>
          <cell r="O2504">
            <v>10</v>
          </cell>
          <cell r="P2504">
            <v>4.33</v>
          </cell>
        </row>
        <row r="2505">
          <cell r="A2505" t="str">
            <v>6728168</v>
          </cell>
          <cell r="B2505" t="str">
            <v>1333932</v>
          </cell>
          <cell r="C2505" t="str">
            <v>6354RDSO-6832-701-MS19</v>
          </cell>
          <cell r="D2505" t="str">
            <v>6354RDSO</v>
          </cell>
          <cell r="E2505" t="str">
            <v>6354RDSO GLOCK 34/35 X300U COR MLTCM RH</v>
          </cell>
          <cell r="F2505" t="str">
            <v>DG-HOLSTER-RDS</v>
          </cell>
          <cell r="G2505" t="str">
            <v>1420-210-FG</v>
          </cell>
          <cell r="H2505" t="str">
            <v>F</v>
          </cell>
          <cell r="I2505" t="str">
            <v>06/11/2024</v>
          </cell>
          <cell r="J2505" t="str">
            <v>06/17/2024</v>
          </cell>
          <cell r="K2505" t="str">
            <v>07/01/2024</v>
          </cell>
          <cell r="L2505">
            <v>3</v>
          </cell>
          <cell r="M2505" t="str">
            <v/>
          </cell>
          <cell r="N2505" t="str">
            <v>27</v>
          </cell>
          <cell r="O2505">
            <v>3</v>
          </cell>
          <cell r="P2505">
            <v>1.2</v>
          </cell>
        </row>
        <row r="2506">
          <cell r="A2506" t="str">
            <v>6728092</v>
          </cell>
          <cell r="B2506" t="str">
            <v>1208507</v>
          </cell>
          <cell r="C2506" t="str">
            <v>6360-8325-91</v>
          </cell>
          <cell r="D2506" t="str">
            <v>6360</v>
          </cell>
          <cell r="E2506" t="str">
            <v>6360 GLOCK 17 GEN5 X300U HGS BLK RH</v>
          </cell>
          <cell r="F2506" t="str">
            <v>DG-HOLSTER-DTC</v>
          </cell>
          <cell r="G2506" t="str">
            <v>1420-210-FG</v>
          </cell>
          <cell r="H2506" t="str">
            <v>F</v>
          </cell>
          <cell r="I2506" t="str">
            <v>06/11/2024</v>
          </cell>
          <cell r="J2506" t="str">
            <v>06/17/2024</v>
          </cell>
          <cell r="K2506" t="str">
            <v>07/01/2024</v>
          </cell>
          <cell r="L2506">
            <v>5</v>
          </cell>
          <cell r="M2506" t="str">
            <v/>
          </cell>
          <cell r="N2506" t="str">
            <v>27</v>
          </cell>
          <cell r="O2506">
            <v>5</v>
          </cell>
          <cell r="P2506">
            <v>1.66</v>
          </cell>
        </row>
        <row r="2507">
          <cell r="A2507" t="str">
            <v>6728023</v>
          </cell>
          <cell r="B2507" t="str">
            <v>1208499</v>
          </cell>
          <cell r="C2507" t="str">
            <v>6360-8325-481</v>
          </cell>
          <cell r="D2507" t="str">
            <v>6360</v>
          </cell>
          <cell r="E2507" t="str">
            <v>6360 GLOCK 17 GEN5 X300U STX BSK BLK RH</v>
          </cell>
          <cell r="F2507" t="str">
            <v>DG-HOLSTER-DTC</v>
          </cell>
          <cell r="G2507" t="str">
            <v>1420-210-FG</v>
          </cell>
          <cell r="H2507" t="str">
            <v>F</v>
          </cell>
          <cell r="I2507" t="str">
            <v>06/11/2024</v>
          </cell>
          <cell r="J2507" t="str">
            <v>06/17/2024</v>
          </cell>
          <cell r="K2507" t="str">
            <v>07/01/2024</v>
          </cell>
          <cell r="L2507">
            <v>50</v>
          </cell>
          <cell r="M2507" t="str">
            <v/>
          </cell>
          <cell r="N2507" t="str">
            <v>27</v>
          </cell>
          <cell r="O2507">
            <v>50</v>
          </cell>
          <cell r="P2507">
            <v>16.149999999999999</v>
          </cell>
        </row>
        <row r="2508">
          <cell r="A2508" t="str">
            <v>6728024</v>
          </cell>
          <cell r="B2508" t="str">
            <v>1208499</v>
          </cell>
          <cell r="C2508" t="str">
            <v>6360-8325-481</v>
          </cell>
          <cell r="D2508" t="str">
            <v>6360</v>
          </cell>
          <cell r="E2508" t="str">
            <v>6360 GLOCK 17 GEN5 X300U STX BSK BLK RH</v>
          </cell>
          <cell r="F2508" t="str">
            <v>DG-HOLSTER-DTC</v>
          </cell>
          <cell r="G2508" t="str">
            <v>1420-210-FG</v>
          </cell>
          <cell r="H2508" t="str">
            <v>F</v>
          </cell>
          <cell r="I2508" t="str">
            <v>06/11/2024</v>
          </cell>
          <cell r="J2508" t="str">
            <v>06/17/2024</v>
          </cell>
          <cell r="K2508" t="str">
            <v>07/01/2024</v>
          </cell>
          <cell r="L2508">
            <v>50</v>
          </cell>
          <cell r="M2508" t="str">
            <v/>
          </cell>
          <cell r="N2508" t="str">
            <v>27</v>
          </cell>
          <cell r="O2508">
            <v>50</v>
          </cell>
          <cell r="P2508">
            <v>16.149999999999999</v>
          </cell>
        </row>
        <row r="2509">
          <cell r="A2509" t="str">
            <v>6728015</v>
          </cell>
          <cell r="B2509" t="str">
            <v>1208495</v>
          </cell>
          <cell r="C2509" t="str">
            <v>6360-8325-131</v>
          </cell>
          <cell r="D2509" t="str">
            <v>6360</v>
          </cell>
          <cell r="E2509" t="str">
            <v>6360 GLOCK 17 GEN5 X300U STX TAC BLK RH</v>
          </cell>
          <cell r="F2509" t="str">
            <v>DG-HOLSTER-DTC</v>
          </cell>
          <cell r="G2509" t="str">
            <v>1420-210-FG</v>
          </cell>
          <cell r="H2509" t="str">
            <v>F</v>
          </cell>
          <cell r="I2509" t="str">
            <v>06/11/2024</v>
          </cell>
          <cell r="J2509" t="str">
            <v>06/17/2024</v>
          </cell>
          <cell r="K2509" t="str">
            <v>07/01/2024</v>
          </cell>
          <cell r="L2509">
            <v>50</v>
          </cell>
          <cell r="M2509" t="str">
            <v/>
          </cell>
          <cell r="N2509" t="str">
            <v>27</v>
          </cell>
          <cell r="O2509">
            <v>50</v>
          </cell>
          <cell r="P2509">
            <v>16.149999999999999</v>
          </cell>
        </row>
        <row r="2510">
          <cell r="A2510" t="str">
            <v>6727934</v>
          </cell>
          <cell r="B2510" t="str">
            <v>1127512</v>
          </cell>
          <cell r="C2510" t="str">
            <v>6360-3832-482</v>
          </cell>
          <cell r="D2510" t="str">
            <v>6360</v>
          </cell>
          <cell r="E2510" t="str">
            <v>6360 GLOCK 20/21 X300U STX BSK BLK LH</v>
          </cell>
          <cell r="F2510" t="str">
            <v>DG-HOLSTER</v>
          </cell>
          <cell r="G2510" t="str">
            <v>1420-210-FG</v>
          </cell>
          <cell r="H2510" t="str">
            <v>F</v>
          </cell>
          <cell r="I2510" t="str">
            <v>06/11/2024</v>
          </cell>
          <cell r="J2510" t="str">
            <v>06/17/2024</v>
          </cell>
          <cell r="K2510" t="str">
            <v>07/01/2024</v>
          </cell>
          <cell r="L2510">
            <v>5</v>
          </cell>
          <cell r="M2510" t="str">
            <v/>
          </cell>
          <cell r="N2510" t="str">
            <v>27</v>
          </cell>
          <cell r="O2510">
            <v>5</v>
          </cell>
          <cell r="P2510">
            <v>1.87</v>
          </cell>
        </row>
        <row r="2511">
          <cell r="A2511" t="str">
            <v>6727923</v>
          </cell>
          <cell r="B2511" t="str">
            <v>1119250</v>
          </cell>
          <cell r="C2511" t="str">
            <v>6360-219-481</v>
          </cell>
          <cell r="D2511" t="str">
            <v>6360</v>
          </cell>
          <cell r="E2511" t="str">
            <v>6360 S&amp;W M&amp;P9/40 1.0 STX BSK BLK RH</v>
          </cell>
          <cell r="F2511" t="str">
            <v>DG-HOLSTER</v>
          </cell>
          <cell r="G2511" t="str">
            <v>1420-210-FG</v>
          </cell>
          <cell r="H2511" t="str">
            <v>F</v>
          </cell>
          <cell r="I2511" t="str">
            <v>06/11/2024</v>
          </cell>
          <cell r="J2511" t="str">
            <v>06/17/2024</v>
          </cell>
          <cell r="K2511" t="str">
            <v>07/01/2024</v>
          </cell>
          <cell r="L2511">
            <v>10</v>
          </cell>
          <cell r="M2511" t="str">
            <v/>
          </cell>
          <cell r="N2511" t="str">
            <v>27</v>
          </cell>
          <cell r="O2511">
            <v>10</v>
          </cell>
          <cell r="P2511">
            <v>2.34</v>
          </cell>
        </row>
        <row r="2512">
          <cell r="A2512" t="str">
            <v>6728264</v>
          </cell>
          <cell r="B2512" t="str">
            <v>1200315</v>
          </cell>
          <cell r="C2512" t="str">
            <v>6360RDS-832-131</v>
          </cell>
          <cell r="D2512" t="str">
            <v>6360RDS</v>
          </cell>
          <cell r="E2512" t="str">
            <v>6360RDS GLOCK 17MOS X300U STX TAC BLK RH</v>
          </cell>
          <cell r="F2512" t="str">
            <v>DG-HOLSTER-RDS-DTC</v>
          </cell>
          <cell r="G2512" t="str">
            <v>1420-210-FG</v>
          </cell>
          <cell r="H2512" t="str">
            <v>F</v>
          </cell>
          <cell r="I2512" t="str">
            <v>06/11/2024</v>
          </cell>
          <cell r="J2512" t="str">
            <v>06/17/2024</v>
          </cell>
          <cell r="K2512" t="str">
            <v>07/01/2024</v>
          </cell>
          <cell r="L2512">
            <v>100</v>
          </cell>
          <cell r="M2512" t="str">
            <v/>
          </cell>
          <cell r="N2512" t="str">
            <v>27</v>
          </cell>
          <cell r="O2512">
            <v>100</v>
          </cell>
          <cell r="P2512">
            <v>43.3</v>
          </cell>
        </row>
        <row r="2513">
          <cell r="A2513" t="str">
            <v>6728152</v>
          </cell>
          <cell r="B2513" t="str">
            <v>1320403</v>
          </cell>
          <cell r="C2513" t="str">
            <v>6360RDS-2222-412</v>
          </cell>
          <cell r="D2513" t="str">
            <v>6360RDS</v>
          </cell>
          <cell r="E2513" t="str">
            <v>6360RDS MP2.0 9 CORE X300U STXPLN BLK LH</v>
          </cell>
          <cell r="F2513" t="str">
            <v>DG-HOLSTER-RDS</v>
          </cell>
          <cell r="G2513" t="str">
            <v>1420-210-FG</v>
          </cell>
          <cell r="H2513" t="str">
            <v>F</v>
          </cell>
          <cell r="I2513" t="str">
            <v>06/11/2024</v>
          </cell>
          <cell r="J2513" t="str">
            <v>06/17/2024</v>
          </cell>
          <cell r="K2513" t="str">
            <v>07/01/2024</v>
          </cell>
          <cell r="L2513">
            <v>5</v>
          </cell>
          <cell r="M2513" t="str">
            <v/>
          </cell>
          <cell r="N2513" t="str">
            <v>27</v>
          </cell>
          <cell r="O2513">
            <v>5</v>
          </cell>
          <cell r="P2513">
            <v>2</v>
          </cell>
        </row>
        <row r="2514">
          <cell r="A2514" t="str">
            <v>6728140</v>
          </cell>
          <cell r="B2514" t="str">
            <v>1207981</v>
          </cell>
          <cell r="C2514" t="str">
            <v>6360RDS-4502-482</v>
          </cell>
          <cell r="D2514" t="str">
            <v>6360RDS</v>
          </cell>
          <cell r="E2514" t="str">
            <v>6360RDS SIG 320RX X300U STX BSK BLK LH</v>
          </cell>
          <cell r="F2514" t="str">
            <v>DG-HOLSTER-RDS</v>
          </cell>
          <cell r="G2514" t="str">
            <v>1420-210-FG</v>
          </cell>
          <cell r="H2514" t="str">
            <v>F</v>
          </cell>
          <cell r="I2514" t="str">
            <v>06/11/2024</v>
          </cell>
          <cell r="J2514" t="str">
            <v>06/17/2024</v>
          </cell>
          <cell r="K2514" t="str">
            <v>07/01/2024</v>
          </cell>
          <cell r="L2514">
            <v>5</v>
          </cell>
          <cell r="M2514" t="str">
            <v/>
          </cell>
          <cell r="N2514" t="str">
            <v>27</v>
          </cell>
          <cell r="O2514">
            <v>5</v>
          </cell>
          <cell r="P2514">
            <v>2.17</v>
          </cell>
        </row>
        <row r="2515">
          <cell r="A2515" t="str">
            <v>6728036</v>
          </cell>
          <cell r="B2515" t="str">
            <v>1118410</v>
          </cell>
          <cell r="C2515" t="str">
            <v>6365-832-481</v>
          </cell>
          <cell r="D2515" t="str">
            <v>6365</v>
          </cell>
          <cell r="E2515" t="str">
            <v>6365 GLOCK 17/22 X300U STX BSK BLK RH</v>
          </cell>
          <cell r="F2515" t="str">
            <v>DG-HOLSTER-DTC</v>
          </cell>
          <cell r="G2515" t="str">
            <v>1420-210-FG</v>
          </cell>
          <cell r="H2515" t="str">
            <v>F</v>
          </cell>
          <cell r="I2515" t="str">
            <v>06/11/2024</v>
          </cell>
          <cell r="J2515" t="str">
            <v>06/17/2024</v>
          </cell>
          <cell r="K2515" t="str">
            <v>07/01/2024</v>
          </cell>
          <cell r="L2515">
            <v>5</v>
          </cell>
          <cell r="M2515" t="str">
            <v/>
          </cell>
          <cell r="N2515" t="str">
            <v>27</v>
          </cell>
          <cell r="O2515">
            <v>5</v>
          </cell>
          <cell r="P2515">
            <v>2.04</v>
          </cell>
        </row>
        <row r="2516">
          <cell r="A2516" t="str">
            <v>6728194</v>
          </cell>
          <cell r="B2516" t="str">
            <v>1204680</v>
          </cell>
          <cell r="C2516" t="str">
            <v>6365RDS-832-701</v>
          </cell>
          <cell r="D2516" t="str">
            <v>6365RDS</v>
          </cell>
          <cell r="E2516" t="str">
            <v>6365RDS GLOCK 17MOS X300U COR MLTCM RH</v>
          </cell>
          <cell r="F2516" t="str">
            <v>DG-HOLSTER-RDS-DTC</v>
          </cell>
          <cell r="G2516" t="str">
            <v>1420-210-FG</v>
          </cell>
          <cell r="H2516" t="str">
            <v>F</v>
          </cell>
          <cell r="I2516" t="str">
            <v>06/11/2024</v>
          </cell>
          <cell r="J2516" t="str">
            <v>06/17/2024</v>
          </cell>
          <cell r="K2516" t="str">
            <v>07/01/2024</v>
          </cell>
          <cell r="L2516">
            <v>5</v>
          </cell>
          <cell r="M2516" t="str">
            <v/>
          </cell>
          <cell r="N2516" t="str">
            <v>27</v>
          </cell>
          <cell r="O2516">
            <v>5</v>
          </cell>
          <cell r="P2516">
            <v>2.17</v>
          </cell>
        </row>
        <row r="2517">
          <cell r="A2517" t="str">
            <v>6728229</v>
          </cell>
          <cell r="B2517" t="str">
            <v>1333012</v>
          </cell>
          <cell r="C2517" t="str">
            <v>6365RDS-28327-131</v>
          </cell>
          <cell r="D2517" t="str">
            <v>6365RDS</v>
          </cell>
          <cell r="E2517" t="str">
            <v>6365RDS GLOCK 19MOS TLR-7 STX TAC BLK RH</v>
          </cell>
          <cell r="F2517" t="str">
            <v>DG-HOLSTER-RDS-DTC</v>
          </cell>
          <cell r="G2517" t="str">
            <v>1420-210-FG</v>
          </cell>
          <cell r="H2517" t="str">
            <v>F</v>
          </cell>
          <cell r="I2517" t="str">
            <v>06/11/2024</v>
          </cell>
          <cell r="J2517" t="str">
            <v>06/17/2024</v>
          </cell>
          <cell r="K2517" t="str">
            <v>07/01/2024</v>
          </cell>
          <cell r="L2517">
            <v>5</v>
          </cell>
          <cell r="M2517" t="str">
            <v/>
          </cell>
          <cell r="N2517" t="str">
            <v>27</v>
          </cell>
          <cell r="O2517">
            <v>5</v>
          </cell>
          <cell r="P2517">
            <v>2.17</v>
          </cell>
        </row>
        <row r="2518">
          <cell r="A2518" t="str">
            <v>6728295</v>
          </cell>
          <cell r="B2518" t="str">
            <v>1323767</v>
          </cell>
          <cell r="C2518" t="str">
            <v>637-83-61</v>
          </cell>
          <cell r="D2518" t="str">
            <v>637</v>
          </cell>
          <cell r="E2518" t="str">
            <v>637 GLOCK 17/22  PLN BLK RH</v>
          </cell>
          <cell r="F2518" t="str">
            <v>DG-HOLSTER-SEW-DTC</v>
          </cell>
          <cell r="G2518" t="str">
            <v>1420-210-FG</v>
          </cell>
          <cell r="H2518" t="str">
            <v>F</v>
          </cell>
          <cell r="I2518" t="str">
            <v>06/11/2024</v>
          </cell>
          <cell r="J2518" t="str">
            <v>06/17/2024</v>
          </cell>
          <cell r="K2518" t="str">
            <v>07/01/2024</v>
          </cell>
          <cell r="L2518">
            <v>10</v>
          </cell>
          <cell r="M2518" t="str">
            <v/>
          </cell>
          <cell r="N2518" t="str">
            <v>27</v>
          </cell>
          <cell r="O2518">
            <v>10</v>
          </cell>
          <cell r="P2518">
            <v>4.83</v>
          </cell>
        </row>
        <row r="2519">
          <cell r="A2519" t="str">
            <v>6728054</v>
          </cell>
          <cell r="B2519" t="str">
            <v>1129437</v>
          </cell>
          <cell r="C2519" t="str">
            <v>6378-53-551</v>
          </cell>
          <cell r="D2519" t="str">
            <v>6378</v>
          </cell>
          <cell r="E2519" t="str">
            <v>6378 COLT 1911 STX TAC FDE RH</v>
          </cell>
          <cell r="F2519" t="str">
            <v>DG-HOLSTER-DTC</v>
          </cell>
          <cell r="G2519" t="str">
            <v>1420-210-FG</v>
          </cell>
          <cell r="H2519" t="str">
            <v>F</v>
          </cell>
          <cell r="I2519" t="str">
            <v>06/11/2024</v>
          </cell>
          <cell r="J2519" t="str">
            <v>06/17/2024</v>
          </cell>
          <cell r="K2519" t="str">
            <v>07/01/2024</v>
          </cell>
          <cell r="L2519">
            <v>5</v>
          </cell>
          <cell r="M2519" t="str">
            <v/>
          </cell>
          <cell r="N2519" t="str">
            <v>27</v>
          </cell>
          <cell r="O2519">
            <v>5</v>
          </cell>
          <cell r="P2519">
            <v>2.09</v>
          </cell>
        </row>
        <row r="2520">
          <cell r="A2520" t="str">
            <v>6728067</v>
          </cell>
          <cell r="B2520" t="str">
            <v>1140187</v>
          </cell>
          <cell r="C2520" t="str">
            <v>6378-2832-561</v>
          </cell>
          <cell r="D2520" t="str">
            <v>6378</v>
          </cell>
          <cell r="E2520" t="str">
            <v>6378 GLOCK 19/23 W/X300 STX TAC ODG RH</v>
          </cell>
          <cell r="F2520" t="str">
            <v>DG-HOLSTER-DTC</v>
          </cell>
          <cell r="G2520" t="str">
            <v>1420-210-FG</v>
          </cell>
          <cell r="H2520" t="str">
            <v>F</v>
          </cell>
          <cell r="I2520" t="str">
            <v>06/11/2024</v>
          </cell>
          <cell r="J2520" t="str">
            <v>06/17/2024</v>
          </cell>
          <cell r="K2520" t="str">
            <v>07/01/2024</v>
          </cell>
          <cell r="L2520">
            <v>5</v>
          </cell>
          <cell r="M2520" t="str">
            <v/>
          </cell>
          <cell r="N2520" t="str">
            <v>27</v>
          </cell>
          <cell r="O2520">
            <v>5</v>
          </cell>
          <cell r="P2520">
            <v>3.4</v>
          </cell>
        </row>
        <row r="2521">
          <cell r="A2521" t="str">
            <v>6728046</v>
          </cell>
          <cell r="B2521" t="str">
            <v>1127028</v>
          </cell>
          <cell r="C2521" t="str">
            <v>6378-77-131</v>
          </cell>
          <cell r="D2521" t="str">
            <v>6378</v>
          </cell>
          <cell r="E2521" t="str">
            <v>6378 SIG P226 STX TAC BLK RH</v>
          </cell>
          <cell r="F2521" t="str">
            <v>DG-HOLSTER-DTC</v>
          </cell>
          <cell r="G2521" t="str">
            <v>1420-210-FG</v>
          </cell>
          <cell r="H2521" t="str">
            <v>F</v>
          </cell>
          <cell r="I2521" t="str">
            <v>06/11/2024</v>
          </cell>
          <cell r="J2521" t="str">
            <v>06/17/2024</v>
          </cell>
          <cell r="K2521" t="str">
            <v>07/01/2024</v>
          </cell>
          <cell r="L2521">
            <v>10</v>
          </cell>
          <cell r="M2521" t="str">
            <v/>
          </cell>
          <cell r="N2521" t="str">
            <v>27</v>
          </cell>
          <cell r="O2521">
            <v>10</v>
          </cell>
          <cell r="P2521">
            <v>4.17</v>
          </cell>
        </row>
        <row r="2522">
          <cell r="A2522" t="str">
            <v>6728198</v>
          </cell>
          <cell r="B2522" t="str">
            <v>1204990</v>
          </cell>
          <cell r="C2522" t="str">
            <v>6378RDS-832-701</v>
          </cell>
          <cell r="D2522" t="str">
            <v>6378RDS</v>
          </cell>
          <cell r="E2522" t="str">
            <v>6378RDS GLOCK 17MOS X300U COR MLTCM RH</v>
          </cell>
          <cell r="F2522" t="str">
            <v>DG-HOLSTER-RDS-DTC</v>
          </cell>
          <cell r="G2522" t="str">
            <v>1420-210-FG</v>
          </cell>
          <cell r="H2522" t="str">
            <v>F</v>
          </cell>
          <cell r="I2522" t="str">
            <v>06/11/2024</v>
          </cell>
          <cell r="J2522" t="str">
            <v>06/17/2024</v>
          </cell>
          <cell r="K2522" t="str">
            <v>07/01/2024</v>
          </cell>
          <cell r="L2522">
            <v>10</v>
          </cell>
          <cell r="M2522" t="str">
            <v/>
          </cell>
          <cell r="N2522" t="str">
            <v>27</v>
          </cell>
          <cell r="O2522">
            <v>10</v>
          </cell>
          <cell r="P2522">
            <v>4.33</v>
          </cell>
        </row>
        <row r="2523">
          <cell r="A2523" t="str">
            <v>6728071</v>
          </cell>
          <cell r="B2523" t="str">
            <v>1151430</v>
          </cell>
          <cell r="C2523" t="str">
            <v>6390-832-131</v>
          </cell>
          <cell r="D2523" t="str">
            <v>6390</v>
          </cell>
          <cell r="E2523" t="str">
            <v>6390 GLOCK 17/22 X300U STX TAC BLK RH</v>
          </cell>
          <cell r="F2523" t="str">
            <v>DG-HOLSTER-DTC</v>
          </cell>
          <cell r="G2523" t="str">
            <v>1420-210-FG</v>
          </cell>
          <cell r="H2523" t="str">
            <v>F</v>
          </cell>
          <cell r="I2523" t="str">
            <v>06/11/2024</v>
          </cell>
          <cell r="J2523" t="str">
            <v>06/17/2024</v>
          </cell>
          <cell r="K2523" t="str">
            <v>07/01/2024</v>
          </cell>
          <cell r="L2523">
            <v>5</v>
          </cell>
          <cell r="M2523" t="str">
            <v/>
          </cell>
          <cell r="N2523" t="str">
            <v>27</v>
          </cell>
          <cell r="O2523">
            <v>5</v>
          </cell>
          <cell r="P2523">
            <v>2.04</v>
          </cell>
        </row>
        <row r="2524">
          <cell r="A2524" t="str">
            <v>6728075</v>
          </cell>
          <cell r="B2524" t="str">
            <v>1152850</v>
          </cell>
          <cell r="C2524" t="str">
            <v>6390-283-411</v>
          </cell>
          <cell r="D2524" t="str">
            <v>6390</v>
          </cell>
          <cell r="E2524" t="str">
            <v>6390 GLOCK 19/23 STX PLN BLK RH</v>
          </cell>
          <cell r="F2524" t="str">
            <v>DG-HOLSTER-DTC</v>
          </cell>
          <cell r="G2524" t="str">
            <v>1420-210-FG</v>
          </cell>
          <cell r="H2524" t="str">
            <v>F</v>
          </cell>
          <cell r="I2524" t="str">
            <v>06/11/2024</v>
          </cell>
          <cell r="J2524" t="str">
            <v>06/17/2024</v>
          </cell>
          <cell r="K2524" t="str">
            <v>07/01/2024</v>
          </cell>
          <cell r="L2524">
            <v>5</v>
          </cell>
          <cell r="M2524" t="str">
            <v/>
          </cell>
          <cell r="N2524" t="str">
            <v>27</v>
          </cell>
          <cell r="O2524">
            <v>5</v>
          </cell>
          <cell r="P2524">
            <v>1.06</v>
          </cell>
        </row>
        <row r="2525">
          <cell r="A2525" t="str">
            <v>6728177</v>
          </cell>
          <cell r="B2525" t="str">
            <v>1200310</v>
          </cell>
          <cell r="C2525" t="str">
            <v>6390RDS-832-132</v>
          </cell>
          <cell r="D2525" t="str">
            <v>6390RDS</v>
          </cell>
          <cell r="E2525" t="str">
            <v>6390RDS GLOCK 17MOS X300U STX TAC BLK LH</v>
          </cell>
          <cell r="F2525" t="str">
            <v>DG-HOLSTER-RDS-DTC</v>
          </cell>
          <cell r="G2525" t="str">
            <v>1420-210-FG</v>
          </cell>
          <cell r="H2525" t="str">
            <v>F</v>
          </cell>
          <cell r="I2525" t="str">
            <v>06/11/2024</v>
          </cell>
          <cell r="J2525" t="str">
            <v>06/17/2024</v>
          </cell>
          <cell r="K2525" t="str">
            <v>07/01/2024</v>
          </cell>
          <cell r="L2525">
            <v>5</v>
          </cell>
          <cell r="M2525" t="str">
            <v/>
          </cell>
          <cell r="N2525" t="str">
            <v>27</v>
          </cell>
          <cell r="O2525">
            <v>5</v>
          </cell>
          <cell r="P2525">
            <v>2.17</v>
          </cell>
        </row>
        <row r="2526">
          <cell r="A2526" t="str">
            <v>6728232</v>
          </cell>
          <cell r="B2526" t="str">
            <v>1333044</v>
          </cell>
          <cell r="C2526" t="str">
            <v>6390RDS-28327-781</v>
          </cell>
          <cell r="D2526" t="str">
            <v>6390RDS</v>
          </cell>
          <cell r="E2526" t="str">
            <v>6390RDS GLOCK 19MOS TLR-7 CORD BLK RH</v>
          </cell>
          <cell r="F2526" t="str">
            <v>DG-HOLSTER-RDS-DTC</v>
          </cell>
          <cell r="G2526" t="str">
            <v>1420-210-FG</v>
          </cell>
          <cell r="H2526" t="str">
            <v>F</v>
          </cell>
          <cell r="I2526" t="str">
            <v>06/11/2024</v>
          </cell>
          <cell r="J2526" t="str">
            <v>06/17/2024</v>
          </cell>
          <cell r="K2526" t="str">
            <v>07/01/2024</v>
          </cell>
          <cell r="L2526">
            <v>5</v>
          </cell>
          <cell r="M2526" t="str">
            <v/>
          </cell>
          <cell r="N2526" t="str">
            <v>27</v>
          </cell>
          <cell r="O2526">
            <v>5</v>
          </cell>
          <cell r="P2526">
            <v>2</v>
          </cell>
        </row>
        <row r="2527">
          <cell r="A2527" t="str">
            <v>6728207</v>
          </cell>
          <cell r="B2527" t="str">
            <v>1207508</v>
          </cell>
          <cell r="C2527" t="str">
            <v>6390RDS-2832-561</v>
          </cell>
          <cell r="D2527" t="str">
            <v>6390RDS</v>
          </cell>
          <cell r="E2527" t="str">
            <v>6390RDS GLOCK 19MOS X300U STX TAC ODG RH</v>
          </cell>
          <cell r="F2527" t="str">
            <v>DG-HOLSTER-RDS-DTC</v>
          </cell>
          <cell r="G2527" t="str">
            <v>1420-210-FG</v>
          </cell>
          <cell r="H2527" t="str">
            <v>F</v>
          </cell>
          <cell r="I2527" t="str">
            <v>06/11/2024</v>
          </cell>
          <cell r="J2527" t="str">
            <v>06/17/2024</v>
          </cell>
          <cell r="K2527" t="str">
            <v>07/01/2024</v>
          </cell>
          <cell r="L2527">
            <v>10</v>
          </cell>
          <cell r="M2527" t="str">
            <v/>
          </cell>
          <cell r="N2527" t="str">
            <v>27</v>
          </cell>
          <cell r="O2527">
            <v>10</v>
          </cell>
          <cell r="P2527">
            <v>4</v>
          </cell>
        </row>
        <row r="2528">
          <cell r="A2528" t="str">
            <v>6728137</v>
          </cell>
          <cell r="B2528" t="str">
            <v>1204856</v>
          </cell>
          <cell r="C2528" t="str">
            <v>6390RDS-6832-701</v>
          </cell>
          <cell r="D2528" t="str">
            <v>6390RDS</v>
          </cell>
          <cell r="E2528" t="str">
            <v>6390RDS GLOCK 34/35 X300U COR MLTCM RH</v>
          </cell>
          <cell r="F2528" t="str">
            <v>DG-HOLSTER-RDS</v>
          </cell>
          <cell r="G2528" t="str">
            <v>1420-210-FG</v>
          </cell>
          <cell r="H2528" t="str">
            <v>F</v>
          </cell>
          <cell r="I2528" t="str">
            <v>06/11/2024</v>
          </cell>
          <cell r="J2528" t="str">
            <v>06/17/2024</v>
          </cell>
          <cell r="K2528" t="str">
            <v>07/01/2024</v>
          </cell>
          <cell r="L2528">
            <v>5</v>
          </cell>
          <cell r="M2528" t="str">
            <v/>
          </cell>
          <cell r="N2528" t="str">
            <v>27</v>
          </cell>
          <cell r="O2528">
            <v>5</v>
          </cell>
          <cell r="P2528">
            <v>2</v>
          </cell>
        </row>
        <row r="2529">
          <cell r="A2529" t="str">
            <v>6728149</v>
          </cell>
          <cell r="B2529" t="str">
            <v>1305860</v>
          </cell>
          <cell r="C2529" t="str">
            <v>6390RDS-7502-701</v>
          </cell>
          <cell r="D2529" t="str">
            <v>6390RDS</v>
          </cell>
          <cell r="E2529" t="str">
            <v>6390RDS SIG 320CRX X300U COR MLTCM RH</v>
          </cell>
          <cell r="F2529" t="str">
            <v>DG-HOLSTER-RDS</v>
          </cell>
          <cell r="G2529" t="str">
            <v>1420-210-FG</v>
          </cell>
          <cell r="H2529" t="str">
            <v>F</v>
          </cell>
          <cell r="I2529" t="str">
            <v>06/11/2024</v>
          </cell>
          <cell r="J2529" t="str">
            <v>06/17/2024</v>
          </cell>
          <cell r="K2529" t="str">
            <v>07/01/2024</v>
          </cell>
          <cell r="L2529">
            <v>5</v>
          </cell>
          <cell r="M2529" t="str">
            <v/>
          </cell>
          <cell r="N2529" t="str">
            <v>27</v>
          </cell>
          <cell r="O2529">
            <v>5</v>
          </cell>
          <cell r="P2529">
            <v>2</v>
          </cell>
        </row>
        <row r="2530">
          <cell r="A2530" t="str">
            <v>6728141</v>
          </cell>
          <cell r="B2530" t="str">
            <v>1208019</v>
          </cell>
          <cell r="C2530" t="str">
            <v>6390RDS-4502-132</v>
          </cell>
          <cell r="D2530" t="str">
            <v>6390RDS</v>
          </cell>
          <cell r="E2530" t="str">
            <v>6390RDS SIG 320RX X300U STX TAC BLK LH</v>
          </cell>
          <cell r="F2530" t="str">
            <v>DG-HOLSTER-RDS</v>
          </cell>
          <cell r="G2530" t="str">
            <v>1420-210-FG</v>
          </cell>
          <cell r="H2530" t="str">
            <v>F</v>
          </cell>
          <cell r="I2530" t="str">
            <v>06/11/2024</v>
          </cell>
          <cell r="J2530" t="str">
            <v>06/17/2024</v>
          </cell>
          <cell r="K2530" t="str">
            <v>07/01/2024</v>
          </cell>
          <cell r="L2530">
            <v>6</v>
          </cell>
          <cell r="M2530" t="str">
            <v/>
          </cell>
          <cell r="N2530" t="str">
            <v>27</v>
          </cell>
          <cell r="O2530">
            <v>6</v>
          </cell>
          <cell r="P2530">
            <v>2.6</v>
          </cell>
        </row>
        <row r="2531">
          <cell r="A2531" t="str">
            <v>6728167</v>
          </cell>
          <cell r="B2531" t="str">
            <v>1333922</v>
          </cell>
          <cell r="C2531" t="str">
            <v>6390RDSO-6832-131</v>
          </cell>
          <cell r="D2531" t="str">
            <v>6390RDSO</v>
          </cell>
          <cell r="E2531" t="str">
            <v>6390RDSO GLOCK 34/35 X300U STXTAC BLK RH</v>
          </cell>
          <cell r="F2531" t="str">
            <v>DG-HOLSTER-RDS</v>
          </cell>
          <cell r="G2531" t="str">
            <v>1420-210-FG</v>
          </cell>
          <cell r="H2531" t="str">
            <v>F</v>
          </cell>
          <cell r="I2531" t="str">
            <v>06/11/2024</v>
          </cell>
          <cell r="J2531" t="str">
            <v>06/17/2024</v>
          </cell>
          <cell r="K2531" t="str">
            <v>07/01/2024</v>
          </cell>
          <cell r="L2531">
            <v>1</v>
          </cell>
          <cell r="M2531" t="str">
            <v/>
          </cell>
          <cell r="N2531" t="str">
            <v>27</v>
          </cell>
          <cell r="O2531">
            <v>1</v>
          </cell>
          <cell r="P2531">
            <v>0.4</v>
          </cell>
        </row>
        <row r="2532">
          <cell r="A2532" t="str">
            <v>6728176</v>
          </cell>
          <cell r="B2532" t="str">
            <v>1335344</v>
          </cell>
          <cell r="C2532" t="str">
            <v>6390RDSO-1582-131</v>
          </cell>
          <cell r="D2532" t="str">
            <v>6390RDSO</v>
          </cell>
          <cell r="E2532" t="str">
            <v>6390RDSO STI STACCP 4.4" X300U STXBLK RH</v>
          </cell>
          <cell r="F2532" t="str">
            <v>DG-HOLSTER-RDS</v>
          </cell>
          <cell r="G2532" t="str">
            <v>1420-210-FG</v>
          </cell>
          <cell r="H2532" t="str">
            <v>F</v>
          </cell>
          <cell r="I2532" t="str">
            <v>06/11/2024</v>
          </cell>
          <cell r="J2532" t="str">
            <v>06/17/2024</v>
          </cell>
          <cell r="K2532" t="str">
            <v>07/01/2024</v>
          </cell>
          <cell r="L2532">
            <v>5</v>
          </cell>
          <cell r="M2532" t="str">
            <v/>
          </cell>
          <cell r="N2532" t="str">
            <v>27</v>
          </cell>
          <cell r="O2532">
            <v>5</v>
          </cell>
          <cell r="P2532">
            <v>2</v>
          </cell>
        </row>
        <row r="2533">
          <cell r="A2533" t="str">
            <v>6728205</v>
          </cell>
          <cell r="B2533" t="str">
            <v>1206398</v>
          </cell>
          <cell r="C2533" t="str">
            <v>6395RDS-2832-701</v>
          </cell>
          <cell r="D2533" t="str">
            <v>6395RDS</v>
          </cell>
          <cell r="E2533" t="str">
            <v>6395RDS GLOCK 19MOS X300U CORD MLTCM RH</v>
          </cell>
          <cell r="F2533" t="str">
            <v>DG-HOLSTER-RDS-DTC</v>
          </cell>
          <cell r="G2533" t="str">
            <v>1420-210-FG</v>
          </cell>
          <cell r="H2533" t="str">
            <v>F</v>
          </cell>
          <cell r="I2533" t="str">
            <v>06/11/2024</v>
          </cell>
          <cell r="J2533" t="str">
            <v>06/17/2024</v>
          </cell>
          <cell r="K2533" t="str">
            <v>07/01/2024</v>
          </cell>
          <cell r="L2533">
            <v>5</v>
          </cell>
          <cell r="M2533" t="str">
            <v/>
          </cell>
          <cell r="N2533" t="str">
            <v>27</v>
          </cell>
          <cell r="O2533">
            <v>5</v>
          </cell>
          <cell r="P2533">
            <v>2</v>
          </cell>
        </row>
        <row r="2534">
          <cell r="A2534" t="str">
            <v>6728187</v>
          </cell>
          <cell r="B2534" t="str">
            <v>1204228</v>
          </cell>
          <cell r="C2534" t="str">
            <v>6395RDS-2832-411</v>
          </cell>
          <cell r="D2534" t="str">
            <v>6395RDS</v>
          </cell>
          <cell r="E2534" t="str">
            <v>6395RDS GLOCK 19MOS X300U STX PLN BLK RH</v>
          </cell>
          <cell r="F2534" t="str">
            <v>DG-HOLSTER-RDS-DTC</v>
          </cell>
          <cell r="G2534" t="str">
            <v>1420-210-FG</v>
          </cell>
          <cell r="H2534" t="str">
            <v>F</v>
          </cell>
          <cell r="I2534" t="str">
            <v>06/11/2024</v>
          </cell>
          <cell r="J2534" t="str">
            <v>06/17/2024</v>
          </cell>
          <cell r="K2534" t="str">
            <v>07/01/2024</v>
          </cell>
          <cell r="L2534">
            <v>5</v>
          </cell>
          <cell r="M2534" t="str">
            <v/>
          </cell>
          <cell r="N2534" t="str">
            <v>27</v>
          </cell>
          <cell r="O2534">
            <v>5</v>
          </cell>
          <cell r="P2534">
            <v>2</v>
          </cell>
        </row>
        <row r="2535">
          <cell r="A2535" t="str">
            <v>6728156</v>
          </cell>
          <cell r="B2535" t="str">
            <v>1327706</v>
          </cell>
          <cell r="C2535" t="str">
            <v>6395RDS-1582-411</v>
          </cell>
          <cell r="D2535" t="str">
            <v>6395RDS</v>
          </cell>
          <cell r="E2535" t="str">
            <v>6395RDS STI STACC P 4.4" X300U PLNBLK RH</v>
          </cell>
          <cell r="F2535" t="str">
            <v>DG-HOLSTER-RDS</v>
          </cell>
          <cell r="G2535" t="str">
            <v>1420-210-FG</v>
          </cell>
          <cell r="H2535" t="str">
            <v>F</v>
          </cell>
          <cell r="I2535" t="str">
            <v>06/11/2024</v>
          </cell>
          <cell r="J2535" t="str">
            <v>06/17/2024</v>
          </cell>
          <cell r="K2535" t="str">
            <v>07/01/2024</v>
          </cell>
          <cell r="L2535">
            <v>5</v>
          </cell>
          <cell r="M2535" t="str">
            <v/>
          </cell>
          <cell r="N2535" t="str">
            <v>27</v>
          </cell>
          <cell r="O2535">
            <v>5</v>
          </cell>
          <cell r="P2535">
            <v>2</v>
          </cell>
        </row>
        <row r="2536">
          <cell r="A2536" t="str">
            <v>6728332</v>
          </cell>
          <cell r="B2536" t="str">
            <v>1125205</v>
          </cell>
          <cell r="C2536" t="str">
            <v>72-83-9</v>
          </cell>
          <cell r="D2536" t="str">
            <v>72</v>
          </cell>
          <cell r="E2536" t="str">
            <v>72 GLOCK 17/22 HI GLS BLK</v>
          </cell>
          <cell r="F2536" t="str">
            <v>DG-POUCH-F1</v>
          </cell>
          <cell r="G2536" t="str">
            <v>1420-210-FG</v>
          </cell>
          <cell r="H2536" t="str">
            <v>F</v>
          </cell>
          <cell r="I2536" t="str">
            <v>06/11/2024</v>
          </cell>
          <cell r="J2536" t="str">
            <v>06/17/2024</v>
          </cell>
          <cell r="K2536" t="str">
            <v>07/01/2024</v>
          </cell>
          <cell r="L2536">
            <v>10</v>
          </cell>
          <cell r="M2536" t="str">
            <v/>
          </cell>
          <cell r="N2536" t="str">
            <v>27</v>
          </cell>
          <cell r="O2536">
            <v>10</v>
          </cell>
          <cell r="P2536">
            <v>5.04</v>
          </cell>
        </row>
        <row r="2537">
          <cell r="A2537" t="str">
            <v>6727762</v>
          </cell>
          <cell r="B2537" t="str">
            <v>1015918</v>
          </cell>
          <cell r="C2537" t="str">
            <v>15635</v>
          </cell>
          <cell r="D2537" t="str">
            <v>7406</v>
          </cell>
          <cell r="E2537" t="str">
            <v>7406 BELT KEEPER ACU 4PK BLK SNAP 2.25IN</v>
          </cell>
          <cell r="F2537" t="str">
            <v>BN-KEEPER</v>
          </cell>
          <cell r="G2537" t="str">
            <v>1420-210-FG</v>
          </cell>
          <cell r="H2537" t="str">
            <v>F</v>
          </cell>
          <cell r="I2537" t="str">
            <v>06/11/2024</v>
          </cell>
          <cell r="J2537" t="str">
            <v>06/17/2024</v>
          </cell>
          <cell r="K2537" t="str">
            <v>07/01/2024</v>
          </cell>
          <cell r="L2537">
            <v>100</v>
          </cell>
          <cell r="M2537" t="str">
            <v/>
          </cell>
          <cell r="N2537" t="str">
            <v>27</v>
          </cell>
          <cell r="O2537">
            <v>100</v>
          </cell>
          <cell r="P2537">
            <v>5.29</v>
          </cell>
        </row>
        <row r="2538">
          <cell r="A2538" t="str">
            <v>6727763</v>
          </cell>
          <cell r="B2538" t="str">
            <v>1015918</v>
          </cell>
          <cell r="C2538" t="str">
            <v>15635</v>
          </cell>
          <cell r="D2538" t="str">
            <v>7406</v>
          </cell>
          <cell r="E2538" t="str">
            <v>7406 BELT KEEPER ACU 4PK BLK SNAP 2.25IN</v>
          </cell>
          <cell r="F2538" t="str">
            <v>BN-KEEPER</v>
          </cell>
          <cell r="G2538" t="str">
            <v>1420-210-FG</v>
          </cell>
          <cell r="H2538" t="str">
            <v>F</v>
          </cell>
          <cell r="I2538" t="str">
            <v>06/11/2024</v>
          </cell>
          <cell r="J2538" t="str">
            <v>06/17/2024</v>
          </cell>
          <cell r="K2538" t="str">
            <v>07/01/2024</v>
          </cell>
          <cell r="L2538">
            <v>100</v>
          </cell>
          <cell r="M2538" t="str">
            <v/>
          </cell>
          <cell r="N2538" t="str">
            <v>27</v>
          </cell>
          <cell r="O2538">
            <v>100</v>
          </cell>
          <cell r="P2538">
            <v>5.29</v>
          </cell>
        </row>
        <row r="2539">
          <cell r="A2539" t="str">
            <v>6727764</v>
          </cell>
          <cell r="B2539" t="str">
            <v>1015918</v>
          </cell>
          <cell r="C2539" t="str">
            <v>15635</v>
          </cell>
          <cell r="D2539" t="str">
            <v>7406</v>
          </cell>
          <cell r="E2539" t="str">
            <v>7406 BELT KEEPER ACU 4PK BLK SNAP 2.25IN</v>
          </cell>
          <cell r="F2539" t="str">
            <v>BN-KEEPER</v>
          </cell>
          <cell r="G2539" t="str">
            <v>1420-210-FG</v>
          </cell>
          <cell r="H2539" t="str">
            <v>F</v>
          </cell>
          <cell r="I2539" t="str">
            <v>06/11/2024</v>
          </cell>
          <cell r="J2539" t="str">
            <v>06/17/2024</v>
          </cell>
          <cell r="K2539" t="str">
            <v>07/01/2024</v>
          </cell>
          <cell r="L2539">
            <v>100</v>
          </cell>
          <cell r="M2539" t="str">
            <v/>
          </cell>
          <cell r="N2539" t="str">
            <v>27</v>
          </cell>
          <cell r="O2539">
            <v>100</v>
          </cell>
          <cell r="P2539">
            <v>5.29</v>
          </cell>
        </row>
        <row r="2540">
          <cell r="A2540" t="str">
            <v>6728343</v>
          </cell>
          <cell r="B2540" t="str">
            <v>1331666</v>
          </cell>
          <cell r="C2540" t="str">
            <v>766-8-23-MSA</v>
          </cell>
          <cell r="D2540" t="str">
            <v>766</v>
          </cell>
          <cell r="E2540" t="str">
            <v>766 APX 6000 STX TAC BLK</v>
          </cell>
          <cell r="F2540" t="str">
            <v>DG-POUCH-F1</v>
          </cell>
          <cell r="G2540" t="str">
            <v>1420-210-FG</v>
          </cell>
          <cell r="H2540" t="str">
            <v>F</v>
          </cell>
          <cell r="I2540" t="str">
            <v>06/11/2024</v>
          </cell>
          <cell r="J2540" t="str">
            <v>06/17/2024</v>
          </cell>
          <cell r="K2540" t="str">
            <v>07/01/2024</v>
          </cell>
          <cell r="L2540">
            <v>15</v>
          </cell>
          <cell r="M2540" t="str">
            <v/>
          </cell>
          <cell r="N2540" t="str">
            <v>27</v>
          </cell>
          <cell r="O2540">
            <v>15</v>
          </cell>
          <cell r="P2540">
            <v>6.15</v>
          </cell>
        </row>
        <row r="2541">
          <cell r="A2541" t="str">
            <v>6728355</v>
          </cell>
          <cell r="B2541" t="str">
            <v>1102214</v>
          </cell>
          <cell r="C2541" t="str">
            <v>77-83-9HS</v>
          </cell>
          <cell r="D2541" t="str">
            <v>77</v>
          </cell>
          <cell r="E2541" t="str">
            <v>77 GLOCK 17/22 HI GLS BLK</v>
          </cell>
          <cell r="F2541" t="str">
            <v>DG-POUCH-F1</v>
          </cell>
          <cell r="G2541" t="str">
            <v>1420-210-FG</v>
          </cell>
          <cell r="H2541" t="str">
            <v>R</v>
          </cell>
          <cell r="I2541" t="str">
            <v>06/11/2024</v>
          </cell>
          <cell r="J2541" t="str">
            <v>06/17/2024</v>
          </cell>
          <cell r="K2541" t="str">
            <v>07/01/2024</v>
          </cell>
          <cell r="L2541">
            <v>30</v>
          </cell>
          <cell r="M2541" t="str">
            <v>6/12/2024 11:27:53 AM</v>
          </cell>
          <cell r="N2541" t="str">
            <v>27</v>
          </cell>
          <cell r="O2541">
            <v>30</v>
          </cell>
          <cell r="P2541">
            <v>16.329999999999998</v>
          </cell>
        </row>
        <row r="2542">
          <cell r="A2542" t="str">
            <v>6726209</v>
          </cell>
          <cell r="B2542" t="str">
            <v>1116020</v>
          </cell>
          <cell r="C2542" t="str">
            <v>77-283-4B</v>
          </cell>
          <cell r="D2542" t="str">
            <v>77</v>
          </cell>
          <cell r="E2542" t="str">
            <v>77 GLOCK 19/23 BSK BLK</v>
          </cell>
          <cell r="F2542" t="str">
            <v>DG-POUCH-F1</v>
          </cell>
          <cell r="G2542" t="str">
            <v>1420-210-FG</v>
          </cell>
          <cell r="H2542" t="str">
            <v>R</v>
          </cell>
          <cell r="I2542" t="str">
            <v>06/07/2024</v>
          </cell>
          <cell r="J2542" t="str">
            <v>06/17/2024</v>
          </cell>
          <cell r="K2542" t="str">
            <v>07/01/2024</v>
          </cell>
          <cell r="L2542">
            <v>10</v>
          </cell>
          <cell r="M2542" t="str">
            <v>6/7/2024 11:51:05 AM</v>
          </cell>
          <cell r="N2542" t="str">
            <v>27</v>
          </cell>
          <cell r="O2542">
            <v>10</v>
          </cell>
          <cell r="P2542">
            <v>4</v>
          </cell>
        </row>
        <row r="2543">
          <cell r="A2543" t="str">
            <v>6728340</v>
          </cell>
          <cell r="B2543" t="str">
            <v>1138602</v>
          </cell>
          <cell r="C2543" t="str">
            <v>775-83-22</v>
          </cell>
          <cell r="D2543" t="str">
            <v>775</v>
          </cell>
          <cell r="E2543" t="str">
            <v>775 GLOCK 17/22 NYLLK BLK</v>
          </cell>
          <cell r="F2543" t="str">
            <v>DG-POUCH-F1</v>
          </cell>
          <cell r="G2543" t="str">
            <v>1420-210-FG</v>
          </cell>
          <cell r="H2543" t="str">
            <v>F</v>
          </cell>
          <cell r="I2543" t="str">
            <v>06/11/2024</v>
          </cell>
          <cell r="J2543" t="str">
            <v>06/17/2024</v>
          </cell>
          <cell r="K2543" t="str">
            <v>07/01/2024</v>
          </cell>
          <cell r="L2543">
            <v>5</v>
          </cell>
          <cell r="M2543" t="str">
            <v/>
          </cell>
          <cell r="N2543" t="str">
            <v>27</v>
          </cell>
          <cell r="O2543">
            <v>5</v>
          </cell>
          <cell r="P2543">
            <v>1.84</v>
          </cell>
        </row>
        <row r="2544">
          <cell r="A2544" t="str">
            <v>6728360</v>
          </cell>
          <cell r="B2544" t="str">
            <v>1138499</v>
          </cell>
          <cell r="C2544" t="str">
            <v>775-83-41</v>
          </cell>
          <cell r="D2544" t="str">
            <v>775</v>
          </cell>
          <cell r="E2544" t="str">
            <v>775 GLOCK 17/22 STX PLN BLK</v>
          </cell>
          <cell r="F2544" t="str">
            <v>DG-POUCH-F1</v>
          </cell>
          <cell r="G2544" t="str">
            <v>1420-210-FG</v>
          </cell>
          <cell r="H2544" t="str">
            <v>F</v>
          </cell>
          <cell r="I2544" t="str">
            <v>06/11/2024</v>
          </cell>
          <cell r="J2544" t="str">
            <v>06/17/2024</v>
          </cell>
          <cell r="K2544" t="str">
            <v>07/01/2024</v>
          </cell>
          <cell r="L2544">
            <v>25</v>
          </cell>
          <cell r="M2544" t="str">
            <v/>
          </cell>
          <cell r="N2544" t="str">
            <v>27</v>
          </cell>
          <cell r="O2544">
            <v>25</v>
          </cell>
          <cell r="P2544">
            <v>9.17</v>
          </cell>
        </row>
        <row r="2545">
          <cell r="A2545" t="str">
            <v>6728344</v>
          </cell>
          <cell r="B2545" t="str">
            <v>1331925</v>
          </cell>
          <cell r="C2545" t="str">
            <v>775-83-23-MSA</v>
          </cell>
          <cell r="D2545" t="str">
            <v>775</v>
          </cell>
          <cell r="E2545" t="str">
            <v>775 GLOCK 17/22 STX TAC BLK</v>
          </cell>
          <cell r="F2545" t="str">
            <v>DG-POUCH-F1</v>
          </cell>
          <cell r="G2545" t="str">
            <v>1420-210-FG</v>
          </cell>
          <cell r="H2545" t="str">
            <v>R</v>
          </cell>
          <cell r="I2545" t="str">
            <v>06/11/2024</v>
          </cell>
          <cell r="J2545" t="str">
            <v>06/17/2024</v>
          </cell>
          <cell r="K2545" t="str">
            <v>07/01/2024</v>
          </cell>
          <cell r="L2545">
            <v>5</v>
          </cell>
          <cell r="M2545" t="str">
            <v>6/12/2024 11:27:19 AM</v>
          </cell>
          <cell r="N2545" t="str">
            <v>27</v>
          </cell>
          <cell r="O2545">
            <v>5</v>
          </cell>
          <cell r="P2545">
            <v>1.84</v>
          </cell>
        </row>
        <row r="2546">
          <cell r="A2546" t="str">
            <v>6728362</v>
          </cell>
          <cell r="B2546" t="str">
            <v>1331270</v>
          </cell>
          <cell r="C2546" t="str">
            <v>79-83-23-MSA</v>
          </cell>
          <cell r="D2546" t="str">
            <v>79</v>
          </cell>
          <cell r="E2546" t="str">
            <v>79 GLOCK 17/22 STX TAC BLK</v>
          </cell>
          <cell r="F2546" t="str">
            <v>DG-POUCH-F1</v>
          </cell>
          <cell r="G2546" t="str">
            <v>1420-210-FG</v>
          </cell>
          <cell r="H2546" t="str">
            <v>R</v>
          </cell>
          <cell r="I2546" t="str">
            <v>06/11/2024</v>
          </cell>
          <cell r="J2546" t="str">
            <v>06/17/2024</v>
          </cell>
          <cell r="K2546" t="str">
            <v>07/01/2024</v>
          </cell>
          <cell r="L2546">
            <v>30</v>
          </cell>
          <cell r="M2546" t="str">
            <v>6/12/2024 11:21:00 AM</v>
          </cell>
          <cell r="N2546" t="str">
            <v>27</v>
          </cell>
          <cell r="O2546">
            <v>30</v>
          </cell>
          <cell r="P2546">
            <v>9.3000000000000007</v>
          </cell>
        </row>
        <row r="2547">
          <cell r="A2547" t="str">
            <v>6728339</v>
          </cell>
          <cell r="B2547" t="str">
            <v>1138393</v>
          </cell>
          <cell r="C2547" t="str">
            <v>79-383-48</v>
          </cell>
          <cell r="D2547" t="str">
            <v>79</v>
          </cell>
          <cell r="E2547" t="str">
            <v>79 GLOCK 20/21 STX BSK BLK</v>
          </cell>
          <cell r="F2547" t="str">
            <v>DG-POUCH-F1</v>
          </cell>
          <cell r="G2547" t="str">
            <v>1420-210-FG</v>
          </cell>
          <cell r="H2547" t="str">
            <v>R</v>
          </cell>
          <cell r="I2547" t="str">
            <v>06/11/2024</v>
          </cell>
          <cell r="J2547" t="str">
            <v>06/17/2024</v>
          </cell>
          <cell r="K2547" t="str">
            <v>07/01/2024</v>
          </cell>
          <cell r="L2547">
            <v>10</v>
          </cell>
          <cell r="M2547" t="str">
            <v>6/12/2024 11:19:30 AM</v>
          </cell>
          <cell r="N2547" t="str">
            <v>27</v>
          </cell>
          <cell r="O2547">
            <v>10</v>
          </cell>
          <cell r="P2547">
            <v>3.2</v>
          </cell>
        </row>
        <row r="2548">
          <cell r="A2548" t="str">
            <v>6727831</v>
          </cell>
          <cell r="B2548" t="str">
            <v>1102435</v>
          </cell>
          <cell r="C2548" t="str">
            <v>87-30-6</v>
          </cell>
          <cell r="D2548" t="str">
            <v>87</v>
          </cell>
          <cell r="E2548" t="str">
            <v>87 SZ30 PLN BLK</v>
          </cell>
          <cell r="F2548" t="str">
            <v>DG-BELT</v>
          </cell>
          <cell r="G2548" t="str">
            <v>1420-210-FG</v>
          </cell>
          <cell r="H2548" t="str">
            <v>F</v>
          </cell>
          <cell r="I2548" t="str">
            <v>06/11/2024</v>
          </cell>
          <cell r="J2548" t="str">
            <v>06/17/2024</v>
          </cell>
          <cell r="K2548" t="str">
            <v>07/01/2024</v>
          </cell>
          <cell r="L2548">
            <v>5</v>
          </cell>
          <cell r="M2548" t="str">
            <v/>
          </cell>
          <cell r="N2548" t="str">
            <v>27</v>
          </cell>
          <cell r="O2548">
            <v>5</v>
          </cell>
          <cell r="P2548">
            <v>1.85</v>
          </cell>
        </row>
        <row r="2549">
          <cell r="A2549" t="str">
            <v>6727833</v>
          </cell>
          <cell r="B2549" t="str">
            <v>1102515</v>
          </cell>
          <cell r="C2549" t="str">
            <v>87-32-9B</v>
          </cell>
          <cell r="D2549" t="str">
            <v>87</v>
          </cell>
          <cell r="E2549" t="str">
            <v>87 SZ32 HGS BLK</v>
          </cell>
          <cell r="F2549" t="str">
            <v>DG-BELT</v>
          </cell>
          <cell r="G2549" t="str">
            <v>1420-210-FG</v>
          </cell>
          <cell r="H2549" t="str">
            <v>R</v>
          </cell>
          <cell r="I2549" t="str">
            <v>06/11/2024</v>
          </cell>
          <cell r="J2549" t="str">
            <v>06/17/2024</v>
          </cell>
          <cell r="K2549" t="str">
            <v>07/01/2024</v>
          </cell>
          <cell r="L2549">
            <v>11</v>
          </cell>
          <cell r="M2549" t="str">
            <v>6/13/2024 12:33:50 PM</v>
          </cell>
          <cell r="N2549" t="str">
            <v>27</v>
          </cell>
          <cell r="O2549">
            <v>11</v>
          </cell>
          <cell r="P2549">
            <v>4.29</v>
          </cell>
        </row>
        <row r="2550">
          <cell r="A2550" t="str">
            <v>6727840</v>
          </cell>
          <cell r="B2550" t="str">
            <v>1102751</v>
          </cell>
          <cell r="C2550" t="str">
            <v>87-42-9B</v>
          </cell>
          <cell r="D2550" t="str">
            <v>87</v>
          </cell>
          <cell r="E2550" t="str">
            <v>87 SZ42 HGS BLK</v>
          </cell>
          <cell r="F2550" t="str">
            <v>DG-BELT</v>
          </cell>
          <cell r="G2550" t="str">
            <v>1420-210-FG</v>
          </cell>
          <cell r="H2550" t="str">
            <v>R</v>
          </cell>
          <cell r="I2550" t="str">
            <v>06/11/2024</v>
          </cell>
          <cell r="J2550" t="str">
            <v>06/17/2024</v>
          </cell>
          <cell r="K2550" t="str">
            <v>07/01/2024</v>
          </cell>
          <cell r="L2550">
            <v>8</v>
          </cell>
          <cell r="M2550" t="str">
            <v>6/13/2024 12:33:50 PM</v>
          </cell>
          <cell r="N2550" t="str">
            <v>27</v>
          </cell>
          <cell r="O2550">
            <v>8</v>
          </cell>
          <cell r="P2550">
            <v>3.14</v>
          </cell>
        </row>
        <row r="2551">
          <cell r="A2551" t="str">
            <v>6727841</v>
          </cell>
          <cell r="B2551" t="str">
            <v>1102760</v>
          </cell>
          <cell r="C2551" t="str">
            <v>87-44-8</v>
          </cell>
          <cell r="D2551" t="str">
            <v>87</v>
          </cell>
          <cell r="E2551" t="str">
            <v>87 SZ44 BSK BLK</v>
          </cell>
          <cell r="F2551" t="str">
            <v>DG-BELT</v>
          </cell>
          <cell r="G2551" t="str">
            <v>1420-210-FG</v>
          </cell>
          <cell r="H2551" t="str">
            <v>F</v>
          </cell>
          <cell r="I2551" t="str">
            <v>06/11/2024</v>
          </cell>
          <cell r="J2551" t="str">
            <v>06/17/2024</v>
          </cell>
          <cell r="K2551" t="str">
            <v>07/01/2024</v>
          </cell>
          <cell r="L2551">
            <v>10</v>
          </cell>
          <cell r="M2551" t="str">
            <v/>
          </cell>
          <cell r="N2551" t="str">
            <v>27</v>
          </cell>
          <cell r="O2551">
            <v>10</v>
          </cell>
          <cell r="P2551">
            <v>3.98</v>
          </cell>
        </row>
        <row r="2552">
          <cell r="A2552" t="str">
            <v>6727842</v>
          </cell>
          <cell r="B2552" t="str">
            <v>1102818</v>
          </cell>
          <cell r="C2552" t="str">
            <v>87-44-9B</v>
          </cell>
          <cell r="D2552" t="str">
            <v>87</v>
          </cell>
          <cell r="E2552" t="str">
            <v>87 SZ44 HGS BLK</v>
          </cell>
          <cell r="F2552" t="str">
            <v>DG-BELT</v>
          </cell>
          <cell r="G2552" t="str">
            <v>1420-210-FG</v>
          </cell>
          <cell r="H2552" t="str">
            <v>R</v>
          </cell>
          <cell r="I2552" t="str">
            <v>06/11/2024</v>
          </cell>
          <cell r="J2552" t="str">
            <v>06/17/2024</v>
          </cell>
          <cell r="K2552" t="str">
            <v>07/01/2024</v>
          </cell>
          <cell r="L2552">
            <v>8</v>
          </cell>
          <cell r="M2552" t="str">
            <v>6/13/2024 12:33:50 PM</v>
          </cell>
          <cell r="N2552" t="str">
            <v>27</v>
          </cell>
          <cell r="O2552">
            <v>8</v>
          </cell>
          <cell r="P2552">
            <v>3.14</v>
          </cell>
        </row>
        <row r="2553">
          <cell r="A2553" t="str">
            <v>6727829</v>
          </cell>
          <cell r="B2553" t="str">
            <v>1102309</v>
          </cell>
          <cell r="C2553" t="str">
            <v>875-36-9</v>
          </cell>
          <cell r="D2553" t="str">
            <v>875</v>
          </cell>
          <cell r="E2553" t="str">
            <v>875 SZ36 HGS BLK</v>
          </cell>
          <cell r="F2553" t="str">
            <v>DG-BELT</v>
          </cell>
          <cell r="G2553" t="str">
            <v>1420-210-FG</v>
          </cell>
          <cell r="H2553" t="str">
            <v>F</v>
          </cell>
          <cell r="I2553" t="str">
            <v>06/11/2024</v>
          </cell>
          <cell r="J2553" t="str">
            <v>06/17/2024</v>
          </cell>
          <cell r="K2553" t="str">
            <v>07/01/2024</v>
          </cell>
          <cell r="L2553">
            <v>5</v>
          </cell>
          <cell r="M2553" t="str">
            <v/>
          </cell>
          <cell r="N2553" t="str">
            <v>27</v>
          </cell>
          <cell r="O2553">
            <v>5</v>
          </cell>
          <cell r="P2553">
            <v>2.31</v>
          </cell>
        </row>
        <row r="2554">
          <cell r="A2554" t="str">
            <v>6727832</v>
          </cell>
          <cell r="B2554" t="str">
            <v>1102450</v>
          </cell>
          <cell r="C2554" t="str">
            <v>875-42-9</v>
          </cell>
          <cell r="D2554" t="str">
            <v>875</v>
          </cell>
          <cell r="E2554" t="str">
            <v>875 SZ42 HGS BLK</v>
          </cell>
          <cell r="F2554" t="str">
            <v>DG-BELT</v>
          </cell>
          <cell r="G2554" t="str">
            <v>1420-210-FG</v>
          </cell>
          <cell r="H2554" t="str">
            <v>F</v>
          </cell>
          <cell r="I2554" t="str">
            <v>06/11/2024</v>
          </cell>
          <cell r="J2554" t="str">
            <v>06/17/2024</v>
          </cell>
          <cell r="K2554" t="str">
            <v>07/01/2024</v>
          </cell>
          <cell r="L2554">
            <v>5</v>
          </cell>
          <cell r="M2554" t="str">
            <v/>
          </cell>
          <cell r="N2554" t="str">
            <v>27</v>
          </cell>
          <cell r="O2554">
            <v>5</v>
          </cell>
          <cell r="P2554">
            <v>2.31</v>
          </cell>
        </row>
        <row r="2555">
          <cell r="A2555" t="str">
            <v>6727824</v>
          </cell>
          <cell r="B2555" t="str">
            <v>1101809</v>
          </cell>
          <cell r="C2555" t="str">
            <v>87V-38-9B</v>
          </cell>
          <cell r="D2555" t="str">
            <v>87V</v>
          </cell>
          <cell r="E2555" t="str">
            <v>87V SZ38 HGS BLK</v>
          </cell>
          <cell r="F2555" t="str">
            <v>DG-BELT</v>
          </cell>
          <cell r="G2555" t="str">
            <v>1420-210-FG</v>
          </cell>
          <cell r="H2555" t="str">
            <v>R</v>
          </cell>
          <cell r="I2555" t="str">
            <v>06/11/2024</v>
          </cell>
          <cell r="J2555" t="str">
            <v>06/17/2024</v>
          </cell>
          <cell r="K2555" t="str">
            <v>07/01/2024</v>
          </cell>
          <cell r="L2555">
            <v>10</v>
          </cell>
          <cell r="M2555" t="str">
            <v>6/13/2024 12:33:50 PM</v>
          </cell>
          <cell r="N2555" t="str">
            <v>27</v>
          </cell>
          <cell r="O2555">
            <v>10</v>
          </cell>
          <cell r="P2555">
            <v>3.78</v>
          </cell>
        </row>
        <row r="2556">
          <cell r="A2556" t="str">
            <v>6727823</v>
          </cell>
          <cell r="B2556" t="str">
            <v>1101802</v>
          </cell>
          <cell r="C2556" t="str">
            <v>87V-38-26</v>
          </cell>
          <cell r="D2556" t="str">
            <v>87V</v>
          </cell>
          <cell r="E2556" t="str">
            <v>87V SZ38 NYL BLK</v>
          </cell>
          <cell r="F2556" t="str">
            <v>DG-BELT</v>
          </cell>
          <cell r="G2556" t="str">
            <v>1420-210-FG</v>
          </cell>
          <cell r="H2556" t="str">
            <v>F</v>
          </cell>
          <cell r="I2556" t="str">
            <v>06/11/2024</v>
          </cell>
          <cell r="J2556" t="str">
            <v>06/17/2024</v>
          </cell>
          <cell r="K2556" t="str">
            <v>07/01/2024</v>
          </cell>
          <cell r="L2556">
            <v>8</v>
          </cell>
          <cell r="M2556" t="str">
            <v/>
          </cell>
          <cell r="N2556" t="str">
            <v>27</v>
          </cell>
          <cell r="O2556">
            <v>8</v>
          </cell>
          <cell r="P2556">
            <v>2.99</v>
          </cell>
        </row>
        <row r="2557">
          <cell r="A2557" t="str">
            <v>6727852</v>
          </cell>
          <cell r="B2557" t="str">
            <v>1103490</v>
          </cell>
          <cell r="C2557" t="str">
            <v>94-42-4</v>
          </cell>
          <cell r="D2557" t="str">
            <v>94</v>
          </cell>
          <cell r="E2557" t="str">
            <v>94 SZ42 BSK BLK</v>
          </cell>
          <cell r="F2557" t="str">
            <v>DG-BELT</v>
          </cell>
          <cell r="G2557" t="str">
            <v>1420-210-FG</v>
          </cell>
          <cell r="H2557" t="str">
            <v>F</v>
          </cell>
          <cell r="I2557" t="str">
            <v>06/11/2024</v>
          </cell>
          <cell r="J2557" t="str">
            <v>06/17/2024</v>
          </cell>
          <cell r="K2557" t="str">
            <v>07/01/2024</v>
          </cell>
          <cell r="L2557">
            <v>10</v>
          </cell>
          <cell r="M2557" t="str">
            <v/>
          </cell>
          <cell r="N2557" t="str">
            <v>27</v>
          </cell>
          <cell r="O2557">
            <v>10</v>
          </cell>
          <cell r="P2557">
            <v>5.35</v>
          </cell>
        </row>
        <row r="2558">
          <cell r="A2558" t="str">
            <v>6727869</v>
          </cell>
          <cell r="B2558" t="str">
            <v>1304873</v>
          </cell>
          <cell r="C2558" t="str">
            <v>94B-1-4</v>
          </cell>
          <cell r="D2558" t="str">
            <v>94B</v>
          </cell>
          <cell r="E2558" t="str">
            <v>94B SZ SM BSK BLK</v>
          </cell>
          <cell r="F2558" t="str">
            <v>DG-BELT</v>
          </cell>
          <cell r="G2558" t="str">
            <v>1420-210-FG</v>
          </cell>
          <cell r="H2558" t="str">
            <v>R</v>
          </cell>
          <cell r="I2558" t="str">
            <v>06/11/2024</v>
          </cell>
          <cell r="J2558" t="str">
            <v>06/17/2024</v>
          </cell>
          <cell r="K2558" t="str">
            <v>07/01/2024</v>
          </cell>
          <cell r="L2558">
            <v>15</v>
          </cell>
          <cell r="M2558" t="str">
            <v>6/13/2024 12:33:50 PM</v>
          </cell>
          <cell r="N2558" t="str">
            <v>27</v>
          </cell>
          <cell r="O2558">
            <v>15</v>
          </cell>
          <cell r="P2558">
            <v>4.9000000000000004</v>
          </cell>
        </row>
        <row r="2559">
          <cell r="A2559" t="str">
            <v>6727867</v>
          </cell>
          <cell r="B2559" t="str">
            <v>1192619</v>
          </cell>
          <cell r="C2559" t="str">
            <v>94B-1-2-EB</v>
          </cell>
          <cell r="D2559" t="str">
            <v>94B</v>
          </cell>
          <cell r="E2559" t="str">
            <v>94B SZ SM PLN BLK</v>
          </cell>
          <cell r="F2559" t="str">
            <v>DG-BELT</v>
          </cell>
          <cell r="G2559" t="str">
            <v>1420-210-FG</v>
          </cell>
          <cell r="H2559" t="str">
            <v>R</v>
          </cell>
          <cell r="I2559" t="str">
            <v>06/11/2024</v>
          </cell>
          <cell r="J2559" t="str">
            <v>06/17/2024</v>
          </cell>
          <cell r="K2559" t="str">
            <v>07/01/2024</v>
          </cell>
          <cell r="L2559">
            <v>5</v>
          </cell>
          <cell r="M2559" t="str">
            <v>6/13/2024 12:33:50 PM</v>
          </cell>
          <cell r="N2559" t="str">
            <v>27</v>
          </cell>
          <cell r="O2559">
            <v>5</v>
          </cell>
          <cell r="P2559">
            <v>1.64</v>
          </cell>
        </row>
        <row r="2560">
          <cell r="A2560" t="str">
            <v>6727868</v>
          </cell>
          <cell r="B2560" t="str">
            <v>1195538</v>
          </cell>
          <cell r="C2560" t="str">
            <v>94B-4-22-EB</v>
          </cell>
          <cell r="D2560" t="str">
            <v>94B</v>
          </cell>
          <cell r="E2560" t="str">
            <v>94B SZ XL NYLLK BLK</v>
          </cell>
          <cell r="F2560" t="str">
            <v>DG-BELT</v>
          </cell>
          <cell r="G2560" t="str">
            <v>1420-210-FG</v>
          </cell>
          <cell r="H2560" t="str">
            <v>R</v>
          </cell>
          <cell r="I2560" t="str">
            <v>06/11/2024</v>
          </cell>
          <cell r="J2560" t="str">
            <v>06/17/2024</v>
          </cell>
          <cell r="K2560" t="str">
            <v>07/01/2024</v>
          </cell>
          <cell r="L2560">
            <v>10</v>
          </cell>
          <cell r="M2560" t="str">
            <v>6/13/2024 12:33:50 PM</v>
          </cell>
          <cell r="N2560" t="str">
            <v>27</v>
          </cell>
          <cell r="O2560">
            <v>10</v>
          </cell>
          <cell r="P2560">
            <v>3.26</v>
          </cell>
        </row>
        <row r="2561">
          <cell r="A2561" t="str">
            <v>6727848</v>
          </cell>
          <cell r="B2561" t="str">
            <v>1103186</v>
          </cell>
          <cell r="C2561" t="str">
            <v>94P-40-4</v>
          </cell>
          <cell r="D2561" t="str">
            <v>94P</v>
          </cell>
          <cell r="E2561" t="str">
            <v>94P SZ40 BSK BLK</v>
          </cell>
          <cell r="F2561" t="str">
            <v>DG-BELT</v>
          </cell>
          <cell r="G2561" t="str">
            <v>1420-210-FG</v>
          </cell>
          <cell r="H2561" t="str">
            <v>F</v>
          </cell>
          <cell r="I2561" t="str">
            <v>06/11/2024</v>
          </cell>
          <cell r="J2561" t="str">
            <v>06/17/2024</v>
          </cell>
          <cell r="K2561" t="str">
            <v>07/01/2024</v>
          </cell>
          <cell r="L2561">
            <v>5</v>
          </cell>
          <cell r="M2561" t="str">
            <v/>
          </cell>
          <cell r="N2561" t="str">
            <v>27</v>
          </cell>
          <cell r="O2561">
            <v>5</v>
          </cell>
          <cell r="P2561">
            <v>2.4300000000000002</v>
          </cell>
        </row>
        <row r="2562">
          <cell r="A2562" t="str">
            <v>6727777</v>
          </cell>
          <cell r="B2562" t="str">
            <v>1017264</v>
          </cell>
          <cell r="C2562" t="str">
            <v>22094</v>
          </cell>
          <cell r="D2562" t="str">
            <v>7926</v>
          </cell>
          <cell r="E2562" t="str">
            <v>COMPACT LIGHT HOLDER PLN-OLDER BLK SZ 1</v>
          </cell>
          <cell r="F2562" t="str">
            <v>BN-POUCH</v>
          </cell>
          <cell r="G2562" t="str">
            <v>1420-210-FG</v>
          </cell>
          <cell r="H2562" t="str">
            <v>F</v>
          </cell>
          <cell r="I2562" t="str">
            <v>06/11/2024</v>
          </cell>
          <cell r="J2562" t="str">
            <v>06/17/2024</v>
          </cell>
          <cell r="K2562" t="str">
            <v>07/01/2024</v>
          </cell>
          <cell r="L2562">
            <v>40</v>
          </cell>
          <cell r="M2562" t="str">
            <v/>
          </cell>
          <cell r="N2562" t="str">
            <v>27</v>
          </cell>
          <cell r="O2562">
            <v>40</v>
          </cell>
          <cell r="P2562">
            <v>3.74</v>
          </cell>
        </row>
        <row r="2563">
          <cell r="A2563" t="str">
            <v>6725974</v>
          </cell>
          <cell r="B2563" t="str">
            <v>1018084</v>
          </cell>
          <cell r="C2563" t="str">
            <v>24027</v>
          </cell>
          <cell r="D2563" t="str">
            <v>7311</v>
          </cell>
          <cell r="E2563" t="str">
            <v>COMPACT LIGHT POUCH BLK SZ 4 VELCRO</v>
          </cell>
          <cell r="F2563" t="str">
            <v>BN-POUCH</v>
          </cell>
          <cell r="G2563" t="str">
            <v>1420-210-FG</v>
          </cell>
          <cell r="H2563" t="str">
            <v>R</v>
          </cell>
          <cell r="I2563" t="str">
            <v>06/07/2024</v>
          </cell>
          <cell r="J2563" t="str">
            <v>06/17/2024</v>
          </cell>
          <cell r="K2563" t="str">
            <v>07/01/2024</v>
          </cell>
          <cell r="L2563">
            <v>1</v>
          </cell>
          <cell r="M2563" t="str">
            <v>6/7/2024 11:27:17 AM</v>
          </cell>
          <cell r="N2563" t="str">
            <v>27</v>
          </cell>
          <cell r="O2563">
            <v>1</v>
          </cell>
          <cell r="P2563">
            <v>0.19</v>
          </cell>
        </row>
        <row r="2564">
          <cell r="A2564" t="str">
            <v>6727788</v>
          </cell>
          <cell r="B2564" t="str">
            <v>1018225</v>
          </cell>
          <cell r="C2564" t="str">
            <v>31300</v>
          </cell>
          <cell r="D2564" t="str">
            <v>8000</v>
          </cell>
          <cell r="E2564" t="str">
            <v>COVERED HANDCUFF CASE BLK SZ 2 HIDDEN</v>
          </cell>
          <cell r="F2564" t="str">
            <v>BN-POUCH</v>
          </cell>
          <cell r="G2564" t="str">
            <v>1420-210-FG</v>
          </cell>
          <cell r="H2564" t="str">
            <v>F</v>
          </cell>
          <cell r="I2564" t="str">
            <v>06/11/2024</v>
          </cell>
          <cell r="J2564" t="str">
            <v>06/17/2024</v>
          </cell>
          <cell r="K2564" t="str">
            <v>07/01/2024</v>
          </cell>
          <cell r="L2564">
            <v>25</v>
          </cell>
          <cell r="M2564" t="str">
            <v/>
          </cell>
          <cell r="N2564" t="str">
            <v>27</v>
          </cell>
          <cell r="O2564">
            <v>25</v>
          </cell>
          <cell r="P2564">
            <v>5.46</v>
          </cell>
        </row>
        <row r="2565">
          <cell r="A2565" t="str">
            <v>6727758</v>
          </cell>
          <cell r="B2565" t="str">
            <v>1016154</v>
          </cell>
          <cell r="C2565" t="str">
            <v>18422</v>
          </cell>
          <cell r="D2565" t="str">
            <v>7105</v>
          </cell>
          <cell r="E2565" t="str">
            <v>CRUISER BLK RH SZ 13 GLOCK 17</v>
          </cell>
          <cell r="F2565" t="str">
            <v>BN-HOLSTER</v>
          </cell>
          <cell r="G2565" t="str">
            <v>1420-210-FG</v>
          </cell>
          <cell r="H2565" t="str">
            <v>F</v>
          </cell>
          <cell r="I2565" t="str">
            <v>06/11/2024</v>
          </cell>
          <cell r="J2565" t="str">
            <v>06/17/2024</v>
          </cell>
          <cell r="K2565" t="str">
            <v>07/01/2024</v>
          </cell>
          <cell r="L2565">
            <v>5</v>
          </cell>
          <cell r="M2565" t="str">
            <v/>
          </cell>
          <cell r="N2565" t="str">
            <v>27</v>
          </cell>
          <cell r="O2565">
            <v>5</v>
          </cell>
          <cell r="P2565">
            <v>1.01</v>
          </cell>
        </row>
        <row r="2566">
          <cell r="A2566" t="str">
            <v>6727892</v>
          </cell>
          <cell r="B2566" t="str">
            <v>1130428</v>
          </cell>
          <cell r="C2566" t="str">
            <v>3004-1-55</v>
          </cell>
          <cell r="D2566" t="str">
            <v>3004</v>
          </cell>
          <cell r="E2566" t="str">
            <v>DBL ACCSY LEG STRAP</v>
          </cell>
          <cell r="F2566" t="str">
            <v>DG-HARNESS-DTC</v>
          </cell>
          <cell r="G2566" t="str">
            <v>1420-210-FG</v>
          </cell>
          <cell r="H2566" t="str">
            <v>F</v>
          </cell>
          <cell r="I2566" t="str">
            <v>06/11/2024</v>
          </cell>
          <cell r="J2566" t="str">
            <v>06/17/2024</v>
          </cell>
          <cell r="K2566" t="str">
            <v>07/01/2024</v>
          </cell>
          <cell r="L2566">
            <v>50</v>
          </cell>
          <cell r="M2566" t="str">
            <v/>
          </cell>
          <cell r="N2566" t="str">
            <v>27</v>
          </cell>
          <cell r="O2566">
            <v>50</v>
          </cell>
          <cell r="P2566">
            <v>2.75</v>
          </cell>
        </row>
        <row r="2567">
          <cell r="A2567" t="str">
            <v>6727893</v>
          </cell>
          <cell r="B2567" t="str">
            <v>1133291</v>
          </cell>
          <cell r="C2567" t="str">
            <v>3004-1-56</v>
          </cell>
          <cell r="D2567" t="str">
            <v>3004</v>
          </cell>
          <cell r="E2567" t="str">
            <v>DBL ACCSY LEG STRAP</v>
          </cell>
          <cell r="F2567" t="str">
            <v>DG-HARNESS-DTC</v>
          </cell>
          <cell r="G2567" t="str">
            <v>1420-210-FG</v>
          </cell>
          <cell r="H2567" t="str">
            <v>F</v>
          </cell>
          <cell r="I2567" t="str">
            <v>06/11/2024</v>
          </cell>
          <cell r="J2567" t="str">
            <v>06/17/2024</v>
          </cell>
          <cell r="K2567" t="str">
            <v>07/01/2024</v>
          </cell>
          <cell r="L2567">
            <v>20</v>
          </cell>
          <cell r="M2567" t="str">
            <v/>
          </cell>
          <cell r="N2567" t="str">
            <v>27</v>
          </cell>
          <cell r="O2567">
            <v>20</v>
          </cell>
          <cell r="P2567">
            <v>1.1000000000000001</v>
          </cell>
        </row>
        <row r="2568">
          <cell r="A2568" t="str">
            <v>6727894</v>
          </cell>
          <cell r="B2568" t="str">
            <v>1133291</v>
          </cell>
          <cell r="C2568" t="str">
            <v>3004-1-56</v>
          </cell>
          <cell r="D2568" t="str">
            <v>3004</v>
          </cell>
          <cell r="E2568" t="str">
            <v>DBL ACCSY LEG STRAP</v>
          </cell>
          <cell r="F2568" t="str">
            <v>DG-HARNESS-DTC</v>
          </cell>
          <cell r="G2568" t="str">
            <v>1420-210-FG</v>
          </cell>
          <cell r="H2568" t="str">
            <v>F</v>
          </cell>
          <cell r="I2568" t="str">
            <v>06/11/2024</v>
          </cell>
          <cell r="J2568" t="str">
            <v>06/17/2024</v>
          </cell>
          <cell r="K2568" t="str">
            <v>07/01/2024</v>
          </cell>
          <cell r="L2568">
            <v>20</v>
          </cell>
          <cell r="M2568" t="str">
            <v/>
          </cell>
          <cell r="N2568" t="str">
            <v>27</v>
          </cell>
          <cell r="O2568">
            <v>20</v>
          </cell>
          <cell r="P2568">
            <v>1.1000000000000001</v>
          </cell>
        </row>
        <row r="2569">
          <cell r="A2569" t="str">
            <v>6728318</v>
          </cell>
          <cell r="B2569" t="str">
            <v>1098093</v>
          </cell>
          <cell r="C2569" t="str">
            <v>290-4</v>
          </cell>
          <cell r="D2569" t="str">
            <v>290</v>
          </cell>
          <cell r="E2569" t="str">
            <v>DBL CUFF POUCHTOP FLAP</v>
          </cell>
          <cell r="F2569" t="str">
            <v>DG-POUCH-F1</v>
          </cell>
          <cell r="G2569" t="str">
            <v>1420-210-FG</v>
          </cell>
          <cell r="H2569" t="str">
            <v>F</v>
          </cell>
          <cell r="I2569" t="str">
            <v>06/11/2024</v>
          </cell>
          <cell r="J2569" t="str">
            <v>06/17/2024</v>
          </cell>
          <cell r="K2569" t="str">
            <v>07/01/2024</v>
          </cell>
          <cell r="L2569">
            <v>15</v>
          </cell>
          <cell r="M2569" t="str">
            <v/>
          </cell>
          <cell r="N2569" t="str">
            <v>27</v>
          </cell>
          <cell r="O2569">
            <v>15</v>
          </cell>
          <cell r="P2569">
            <v>6.79</v>
          </cell>
        </row>
        <row r="2570">
          <cell r="A2570" t="str">
            <v>6727759</v>
          </cell>
          <cell r="B2570" t="str">
            <v>1018012</v>
          </cell>
          <cell r="C2570" t="str">
            <v>23280</v>
          </cell>
          <cell r="D2570" t="str">
            <v>7920</v>
          </cell>
          <cell r="E2570" t="str">
            <v>DEFENDER II BSK BLK RH SZ13AR SIG P220R</v>
          </cell>
          <cell r="F2570" t="str">
            <v>BN-HOLSTER</v>
          </cell>
          <cell r="G2570" t="str">
            <v>1420-210-FG</v>
          </cell>
          <cell r="H2570" t="str">
            <v>F</v>
          </cell>
          <cell r="I2570" t="str">
            <v>06/11/2024</v>
          </cell>
          <cell r="J2570" t="str">
            <v>06/17/2024</v>
          </cell>
          <cell r="K2570" t="str">
            <v>07/01/2024</v>
          </cell>
          <cell r="L2570">
            <v>1</v>
          </cell>
          <cell r="M2570" t="str">
            <v/>
          </cell>
          <cell r="N2570" t="str">
            <v>27</v>
          </cell>
          <cell r="O2570">
            <v>1</v>
          </cell>
          <cell r="P2570">
            <v>0.96</v>
          </cell>
        </row>
        <row r="2571">
          <cell r="A2571" t="str">
            <v>6725964</v>
          </cell>
          <cell r="B2571" t="str">
            <v>1160751</v>
          </cell>
          <cell r="C2571" t="str">
            <v>25333</v>
          </cell>
          <cell r="D2571" t="str">
            <v>7302</v>
          </cell>
          <cell r="E2571" t="str">
            <v>DOUBLE MAG POUCH BLK SZ 2 HIDDEN HR</v>
          </cell>
          <cell r="F2571" t="str">
            <v>BN-POUCH</v>
          </cell>
          <cell r="G2571" t="str">
            <v>1420-210-FG</v>
          </cell>
          <cell r="H2571" t="str">
            <v>R</v>
          </cell>
          <cell r="I2571" t="str">
            <v>06/07/2024</v>
          </cell>
          <cell r="J2571" t="str">
            <v>06/17/2024</v>
          </cell>
          <cell r="K2571" t="str">
            <v>07/01/2024</v>
          </cell>
          <cell r="L2571">
            <v>100</v>
          </cell>
          <cell r="M2571" t="str">
            <v>6/7/2024 11:33:58 AM</v>
          </cell>
          <cell r="N2571" t="str">
            <v>27</v>
          </cell>
          <cell r="O2571">
            <v>100</v>
          </cell>
          <cell r="P2571">
            <v>21.52</v>
          </cell>
        </row>
        <row r="2572">
          <cell r="A2572" t="str">
            <v>6725983</v>
          </cell>
          <cell r="B2572" t="str">
            <v>1159799</v>
          </cell>
          <cell r="C2572" t="str">
            <v>25341</v>
          </cell>
          <cell r="D2572" t="str">
            <v>7902</v>
          </cell>
          <cell r="E2572" t="str">
            <v>DOUBLE MAG POUCH BSK SZ 2 HIDDEN HR</v>
          </cell>
          <cell r="F2572" t="str">
            <v>BN-POUCH</v>
          </cell>
          <cell r="G2572" t="str">
            <v>1420-210-FG</v>
          </cell>
          <cell r="H2572" t="str">
            <v>R</v>
          </cell>
          <cell r="I2572" t="str">
            <v>06/07/2024</v>
          </cell>
          <cell r="J2572" t="str">
            <v>06/17/2024</v>
          </cell>
          <cell r="K2572" t="str">
            <v>07/01/2024</v>
          </cell>
          <cell r="L2572">
            <v>100</v>
          </cell>
          <cell r="M2572" t="str">
            <v>6/7/2024 11:33:58 AM</v>
          </cell>
          <cell r="N2572" t="str">
            <v>27</v>
          </cell>
          <cell r="O2572">
            <v>100</v>
          </cell>
          <cell r="P2572">
            <v>21.41</v>
          </cell>
        </row>
        <row r="2573">
          <cell r="A2573" t="str">
            <v>6728337</v>
          </cell>
          <cell r="B2573" t="str">
            <v>1134230</v>
          </cell>
          <cell r="C2573" t="str">
            <v>75-76-48</v>
          </cell>
          <cell r="D2573" t="str">
            <v>75</v>
          </cell>
          <cell r="E2573" t="str">
            <v>DOUBLE MAG POUCH W/O FLAPS</v>
          </cell>
          <cell r="F2573" t="str">
            <v>DG-POUCH-F1</v>
          </cell>
          <cell r="G2573" t="str">
            <v>1420-210-FG</v>
          </cell>
          <cell r="H2573" t="str">
            <v>R</v>
          </cell>
          <cell r="I2573" t="str">
            <v>06/11/2024</v>
          </cell>
          <cell r="J2573" t="str">
            <v>06/17/2024</v>
          </cell>
          <cell r="K2573" t="str">
            <v>07/01/2024</v>
          </cell>
          <cell r="L2573">
            <v>5</v>
          </cell>
          <cell r="M2573" t="str">
            <v>6/12/2024 11:18:59 AM</v>
          </cell>
          <cell r="N2573" t="str">
            <v>27</v>
          </cell>
          <cell r="O2573">
            <v>5</v>
          </cell>
          <cell r="P2573">
            <v>1.3</v>
          </cell>
        </row>
        <row r="2574">
          <cell r="A2574" t="str">
            <v>6727742</v>
          </cell>
          <cell r="B2574" t="str">
            <v>1017367</v>
          </cell>
          <cell r="C2574" t="str">
            <v>22123</v>
          </cell>
          <cell r="D2574" t="str">
            <v>7950</v>
          </cell>
          <cell r="E2574" t="str">
            <v>DUTY BELT BSK BLK SML 28-34</v>
          </cell>
          <cell r="F2574" t="str">
            <v>BN-BELT</v>
          </cell>
          <cell r="G2574" t="str">
            <v>1420-210-FG</v>
          </cell>
          <cell r="H2574" t="str">
            <v>F</v>
          </cell>
          <cell r="I2574" t="str">
            <v>06/11/2024</v>
          </cell>
          <cell r="J2574" t="str">
            <v>06/17/2024</v>
          </cell>
          <cell r="K2574" t="str">
            <v>07/01/2024</v>
          </cell>
          <cell r="L2574">
            <v>100</v>
          </cell>
          <cell r="M2574" t="str">
            <v/>
          </cell>
          <cell r="N2574" t="str">
            <v>27</v>
          </cell>
          <cell r="O2574">
            <v>100</v>
          </cell>
          <cell r="P2574">
            <v>15.13</v>
          </cell>
        </row>
        <row r="2575">
          <cell r="A2575" t="str">
            <v>6727723</v>
          </cell>
          <cell r="B2575" t="str">
            <v>1017656</v>
          </cell>
          <cell r="C2575" t="str">
            <v>23703</v>
          </cell>
          <cell r="D2575" t="str">
            <v>7980</v>
          </cell>
          <cell r="E2575" t="str">
            <v>DUTY BELT BSK BLK SML 28-34</v>
          </cell>
          <cell r="F2575" t="str">
            <v>BN-BELT</v>
          </cell>
          <cell r="G2575" t="str">
            <v>1420-210-FG</v>
          </cell>
          <cell r="H2575" t="str">
            <v>F</v>
          </cell>
          <cell r="I2575" t="str">
            <v>06/11/2024</v>
          </cell>
          <cell r="J2575" t="str">
            <v>06/17/2024</v>
          </cell>
          <cell r="K2575" t="str">
            <v>07/01/2024</v>
          </cell>
          <cell r="L2575">
            <v>10</v>
          </cell>
          <cell r="M2575" t="str">
            <v/>
          </cell>
          <cell r="N2575" t="str">
            <v>27</v>
          </cell>
          <cell r="O2575">
            <v>10</v>
          </cell>
          <cell r="P2575">
            <v>1.51</v>
          </cell>
        </row>
        <row r="2576">
          <cell r="A2576" t="str">
            <v>6727748</v>
          </cell>
          <cell r="B2576" t="str">
            <v>1017372</v>
          </cell>
          <cell r="C2576" t="str">
            <v>22129</v>
          </cell>
          <cell r="D2576" t="str">
            <v>7950</v>
          </cell>
          <cell r="E2576" t="str">
            <v>DUTY BELT BSK BLK XLG 46-52</v>
          </cell>
          <cell r="F2576" t="str">
            <v>BN-BELT</v>
          </cell>
          <cell r="G2576" t="str">
            <v>1420-210-FG</v>
          </cell>
          <cell r="H2576" t="str">
            <v>F</v>
          </cell>
          <cell r="I2576" t="str">
            <v>06/11/2024</v>
          </cell>
          <cell r="J2576" t="str">
            <v>06/17/2024</v>
          </cell>
          <cell r="K2576" t="str">
            <v>07/01/2024</v>
          </cell>
          <cell r="L2576">
            <v>100</v>
          </cell>
          <cell r="M2576" t="str">
            <v/>
          </cell>
          <cell r="N2576" t="str">
            <v>27</v>
          </cell>
          <cell r="O2576">
            <v>100</v>
          </cell>
          <cell r="P2576">
            <v>15.13</v>
          </cell>
        </row>
        <row r="2577">
          <cell r="A2577" t="str">
            <v>6727743</v>
          </cell>
          <cell r="B2577" t="str">
            <v>1017368</v>
          </cell>
          <cell r="C2577" t="str">
            <v>22124</v>
          </cell>
          <cell r="D2577" t="str">
            <v>7950</v>
          </cell>
          <cell r="E2577" t="str">
            <v>DUTY BELT PLN BLK MED 34-40</v>
          </cell>
          <cell r="F2577" t="str">
            <v>BN-BELT</v>
          </cell>
          <cell r="G2577" t="str">
            <v>1420-210-FG</v>
          </cell>
          <cell r="H2577" t="str">
            <v>F</v>
          </cell>
          <cell r="I2577" t="str">
            <v>06/11/2024</v>
          </cell>
          <cell r="J2577" t="str">
            <v>06/17/2024</v>
          </cell>
          <cell r="K2577" t="str">
            <v>07/01/2024</v>
          </cell>
          <cell r="L2577">
            <v>100</v>
          </cell>
          <cell r="M2577" t="str">
            <v/>
          </cell>
          <cell r="N2577" t="str">
            <v>27</v>
          </cell>
          <cell r="O2577">
            <v>100</v>
          </cell>
          <cell r="P2577">
            <v>15.13</v>
          </cell>
        </row>
        <row r="2578">
          <cell r="A2578" t="str">
            <v>6727850</v>
          </cell>
          <cell r="B2578" t="str">
            <v>1103315</v>
          </cell>
          <cell r="C2578" t="str">
            <v>99-2-22</v>
          </cell>
          <cell r="D2578" t="str">
            <v>99</v>
          </cell>
          <cell r="E2578" t="str">
            <v>DUTY BELTBUCKLELESS</v>
          </cell>
          <cell r="F2578" t="str">
            <v>DG-BELT</v>
          </cell>
          <cell r="G2578" t="str">
            <v>1420-210-FG</v>
          </cell>
          <cell r="H2578" t="str">
            <v>R</v>
          </cell>
          <cell r="I2578" t="str">
            <v>06/11/2024</v>
          </cell>
          <cell r="J2578" t="str">
            <v>06/17/2024</v>
          </cell>
          <cell r="K2578" t="str">
            <v>07/01/2024</v>
          </cell>
          <cell r="L2578">
            <v>10</v>
          </cell>
          <cell r="M2578" t="str">
            <v>6/13/2024 12:33:50 PM</v>
          </cell>
          <cell r="N2578" t="str">
            <v>27</v>
          </cell>
          <cell r="O2578">
            <v>10</v>
          </cell>
          <cell r="P2578">
            <v>2.92</v>
          </cell>
        </row>
        <row r="2579">
          <cell r="A2579" t="str">
            <v>6726012</v>
          </cell>
          <cell r="B2579" t="str">
            <v>1017915</v>
          </cell>
          <cell r="C2579" t="str">
            <v>22963</v>
          </cell>
          <cell r="D2579" t="str">
            <v>7928</v>
          </cell>
          <cell r="E2579" t="str">
            <v xml:space="preserve">FLAT GLOVE POUCH HI-GLOSS </v>
          </cell>
          <cell r="F2579" t="str">
            <v>BN-POUCH</v>
          </cell>
          <cell r="G2579" t="str">
            <v>1420-210-FG</v>
          </cell>
          <cell r="H2579" t="str">
            <v>R</v>
          </cell>
          <cell r="I2579" t="str">
            <v>06/07/2024</v>
          </cell>
          <cell r="J2579" t="str">
            <v>06/17/2024</v>
          </cell>
          <cell r="K2579" t="str">
            <v>07/01/2024</v>
          </cell>
          <cell r="L2579">
            <v>10</v>
          </cell>
          <cell r="M2579" t="str">
            <v>6/7/2024 11:27:37 AM</v>
          </cell>
          <cell r="N2579" t="str">
            <v>27</v>
          </cell>
          <cell r="O2579">
            <v>10</v>
          </cell>
          <cell r="P2579">
            <v>2.1</v>
          </cell>
        </row>
        <row r="2580">
          <cell r="A2580" t="str">
            <v>6725622</v>
          </cell>
          <cell r="B2580" t="str">
            <v>1119017</v>
          </cell>
          <cell r="C2580" t="str">
            <v>730-2PBL</v>
          </cell>
          <cell r="D2580" t="str">
            <v>730</v>
          </cell>
          <cell r="E2580" t="str">
            <v>FLSHLIGHT CARRIERHVY DTY</v>
          </cell>
          <cell r="F2580" t="str">
            <v>DG-KEEPER</v>
          </cell>
          <cell r="G2580" t="str">
            <v>1420-210-FG</v>
          </cell>
          <cell r="H2580" t="str">
            <v>R</v>
          </cell>
          <cell r="I2580" t="str">
            <v>06/06/2024</v>
          </cell>
          <cell r="J2580" t="str">
            <v>06/17/2024</v>
          </cell>
          <cell r="K2580" t="str">
            <v>07/01/2024</v>
          </cell>
          <cell r="L2580">
            <v>16</v>
          </cell>
          <cell r="M2580" t="str">
            <v>6/7/2024 11:32:48 AM</v>
          </cell>
          <cell r="N2580" t="str">
            <v>27</v>
          </cell>
          <cell r="O2580">
            <v>16</v>
          </cell>
          <cell r="P2580">
            <v>1.29</v>
          </cell>
        </row>
        <row r="2581">
          <cell r="A2581" t="str">
            <v>6727819</v>
          </cell>
          <cell r="B2581" t="str">
            <v>1100591</v>
          </cell>
          <cell r="C2581" t="str">
            <v>51-34-2</v>
          </cell>
          <cell r="D2581" t="str">
            <v>51</v>
          </cell>
          <cell r="E2581" t="str">
            <v>GARRISON W/SQUARE BUCKLE</v>
          </cell>
          <cell r="F2581" t="str">
            <v>DG-BELT</v>
          </cell>
          <cell r="G2581" t="str">
            <v>1420-210-FG</v>
          </cell>
          <cell r="H2581" t="str">
            <v>F</v>
          </cell>
          <cell r="I2581" t="str">
            <v>06/11/2024</v>
          </cell>
          <cell r="J2581" t="str">
            <v>06/17/2024</v>
          </cell>
          <cell r="K2581" t="str">
            <v>07/01/2024</v>
          </cell>
          <cell r="L2581">
            <v>17</v>
          </cell>
          <cell r="M2581" t="str">
            <v/>
          </cell>
          <cell r="N2581" t="str">
            <v>27</v>
          </cell>
          <cell r="O2581">
            <v>17</v>
          </cell>
          <cell r="P2581">
            <v>5.55</v>
          </cell>
        </row>
        <row r="2582">
          <cell r="A2582" t="str">
            <v>6727820</v>
          </cell>
          <cell r="B2582" t="str">
            <v>1100599</v>
          </cell>
          <cell r="C2582" t="str">
            <v>51-36-2</v>
          </cell>
          <cell r="D2582" t="str">
            <v>51</v>
          </cell>
          <cell r="E2582" t="str">
            <v>GARRISON W/SQUARE BUCKLE</v>
          </cell>
          <cell r="F2582" t="str">
            <v>DG-BELT</v>
          </cell>
          <cell r="G2582" t="str">
            <v>1420-210-FG</v>
          </cell>
          <cell r="H2582" t="str">
            <v>F</v>
          </cell>
          <cell r="I2582" t="str">
            <v>06/11/2024</v>
          </cell>
          <cell r="J2582" t="str">
            <v>06/17/2024</v>
          </cell>
          <cell r="K2582" t="str">
            <v>07/01/2024</v>
          </cell>
          <cell r="L2582">
            <v>15</v>
          </cell>
          <cell r="M2582" t="str">
            <v/>
          </cell>
          <cell r="N2582" t="str">
            <v>27</v>
          </cell>
          <cell r="O2582">
            <v>15</v>
          </cell>
          <cell r="P2582">
            <v>4.91</v>
          </cell>
        </row>
        <row r="2583">
          <cell r="A2583" t="str">
            <v>6727799</v>
          </cell>
          <cell r="B2583" t="str">
            <v>1100504</v>
          </cell>
          <cell r="C2583" t="str">
            <v>51-38-2</v>
          </cell>
          <cell r="D2583" t="str">
            <v>51</v>
          </cell>
          <cell r="E2583" t="str">
            <v>GARRISON W/SQUARE BUCKLE</v>
          </cell>
          <cell r="F2583" t="str">
            <v>DG-BELT</v>
          </cell>
          <cell r="G2583" t="str">
            <v>1420-210-FG</v>
          </cell>
          <cell r="H2583" t="str">
            <v>F</v>
          </cell>
          <cell r="I2583" t="str">
            <v>06/11/2024</v>
          </cell>
          <cell r="J2583" t="str">
            <v>06/17/2024</v>
          </cell>
          <cell r="K2583" t="str">
            <v>07/01/2024</v>
          </cell>
          <cell r="L2583">
            <v>22</v>
          </cell>
          <cell r="M2583" t="str">
            <v/>
          </cell>
          <cell r="N2583" t="str">
            <v>27</v>
          </cell>
          <cell r="O2583">
            <v>22</v>
          </cell>
          <cell r="P2583">
            <v>7.19</v>
          </cell>
        </row>
        <row r="2584">
          <cell r="A2584" t="str">
            <v>6727800</v>
          </cell>
          <cell r="B2584" t="str">
            <v>1100514</v>
          </cell>
          <cell r="C2584" t="str">
            <v>51-40-2</v>
          </cell>
          <cell r="D2584" t="str">
            <v>51</v>
          </cell>
          <cell r="E2584" t="str">
            <v>GARRISON W/SQUARE BUCKLE</v>
          </cell>
          <cell r="F2584" t="str">
            <v>DG-BELT</v>
          </cell>
          <cell r="G2584" t="str">
            <v>1420-210-FG</v>
          </cell>
          <cell r="H2584" t="str">
            <v>F</v>
          </cell>
          <cell r="I2584" t="str">
            <v>06/11/2024</v>
          </cell>
          <cell r="J2584" t="str">
            <v>06/17/2024</v>
          </cell>
          <cell r="K2584" t="str">
            <v>07/01/2024</v>
          </cell>
          <cell r="L2584">
            <v>22</v>
          </cell>
          <cell r="M2584" t="str">
            <v/>
          </cell>
          <cell r="N2584" t="str">
            <v>27</v>
          </cell>
          <cell r="O2584">
            <v>22</v>
          </cell>
          <cell r="P2584">
            <v>7.19</v>
          </cell>
        </row>
        <row r="2585">
          <cell r="A2585" t="str">
            <v>6727801</v>
          </cell>
          <cell r="B2585" t="str">
            <v>1100664</v>
          </cell>
          <cell r="C2585" t="str">
            <v>51-42-2</v>
          </cell>
          <cell r="D2585" t="str">
            <v>51</v>
          </cell>
          <cell r="E2585" t="str">
            <v>GARRISON W/SQUARE BUCKLE</v>
          </cell>
          <cell r="F2585" t="str">
            <v>DG-BELT</v>
          </cell>
          <cell r="G2585" t="str">
            <v>1420-210-FG</v>
          </cell>
          <cell r="H2585" t="str">
            <v>F</v>
          </cell>
          <cell r="I2585" t="str">
            <v>06/11/2024</v>
          </cell>
          <cell r="J2585" t="str">
            <v>06/17/2024</v>
          </cell>
          <cell r="K2585" t="str">
            <v>07/01/2024</v>
          </cell>
          <cell r="L2585">
            <v>20</v>
          </cell>
          <cell r="M2585" t="str">
            <v/>
          </cell>
          <cell r="N2585" t="str">
            <v>27</v>
          </cell>
          <cell r="O2585">
            <v>20</v>
          </cell>
          <cell r="P2585">
            <v>6.54</v>
          </cell>
        </row>
        <row r="2586">
          <cell r="A2586" t="str">
            <v>6727802</v>
          </cell>
          <cell r="B2586" t="str">
            <v>1100673</v>
          </cell>
          <cell r="C2586" t="str">
            <v>51-44-2</v>
          </cell>
          <cell r="D2586" t="str">
            <v>51</v>
          </cell>
          <cell r="E2586" t="str">
            <v>GARRISON W/SQUARE BUCKLE</v>
          </cell>
          <cell r="F2586" t="str">
            <v>DG-BELT</v>
          </cell>
          <cell r="G2586" t="str">
            <v>1420-210-FG</v>
          </cell>
          <cell r="H2586" t="str">
            <v>F</v>
          </cell>
          <cell r="I2586" t="str">
            <v>06/11/2024</v>
          </cell>
          <cell r="J2586" t="str">
            <v>06/17/2024</v>
          </cell>
          <cell r="K2586" t="str">
            <v>07/01/2024</v>
          </cell>
          <cell r="L2586">
            <v>23</v>
          </cell>
          <cell r="M2586" t="str">
            <v/>
          </cell>
          <cell r="N2586" t="str">
            <v>27</v>
          </cell>
          <cell r="O2586">
            <v>23</v>
          </cell>
          <cell r="P2586">
            <v>7.53</v>
          </cell>
        </row>
        <row r="2587">
          <cell r="A2587" t="str">
            <v>6727803</v>
          </cell>
          <cell r="B2587" t="str">
            <v>1100681</v>
          </cell>
          <cell r="C2587" t="str">
            <v>51-46-2</v>
          </cell>
          <cell r="D2587" t="str">
            <v>51</v>
          </cell>
          <cell r="E2587" t="str">
            <v>GARRISON W/SQUARE BUCKLE</v>
          </cell>
          <cell r="F2587" t="str">
            <v>DG-BELT</v>
          </cell>
          <cell r="G2587" t="str">
            <v>1420-210-FG</v>
          </cell>
          <cell r="H2587" t="str">
            <v>R</v>
          </cell>
          <cell r="I2587" t="str">
            <v>06/11/2024</v>
          </cell>
          <cell r="J2587" t="str">
            <v>06/17/2024</v>
          </cell>
          <cell r="K2587" t="str">
            <v>07/01/2024</v>
          </cell>
          <cell r="L2587">
            <v>21</v>
          </cell>
          <cell r="M2587" t="str">
            <v>6/13/2024 12:33:50 PM</v>
          </cell>
          <cell r="N2587" t="str">
            <v>27</v>
          </cell>
          <cell r="O2587">
            <v>21</v>
          </cell>
          <cell r="P2587">
            <v>6.87</v>
          </cell>
        </row>
        <row r="2588">
          <cell r="A2588" t="str">
            <v>6727804</v>
          </cell>
          <cell r="B2588" t="str">
            <v>1100746</v>
          </cell>
          <cell r="C2588" t="str">
            <v>51-48-2</v>
          </cell>
          <cell r="D2588" t="str">
            <v>51</v>
          </cell>
          <cell r="E2588" t="str">
            <v>GARRISON W/SQUARE BUCKLE</v>
          </cell>
          <cell r="F2588" t="str">
            <v>DG-BELT</v>
          </cell>
          <cell r="G2588" t="str">
            <v>1420-210-FG</v>
          </cell>
          <cell r="H2588" t="str">
            <v>R</v>
          </cell>
          <cell r="I2588" t="str">
            <v>06/11/2024</v>
          </cell>
          <cell r="J2588" t="str">
            <v>06/17/2024</v>
          </cell>
          <cell r="K2588" t="str">
            <v>07/01/2024</v>
          </cell>
          <cell r="L2588">
            <v>20</v>
          </cell>
          <cell r="M2588" t="str">
            <v>6/13/2024 12:33:50 PM</v>
          </cell>
          <cell r="N2588" t="str">
            <v>27</v>
          </cell>
          <cell r="O2588">
            <v>20</v>
          </cell>
          <cell r="P2588">
            <v>6.54</v>
          </cell>
        </row>
        <row r="2589">
          <cell r="A2589" t="str">
            <v>6727821</v>
          </cell>
          <cell r="B2589" t="str">
            <v>1100746</v>
          </cell>
          <cell r="C2589" t="str">
            <v>51-48-2</v>
          </cell>
          <cell r="D2589" t="str">
            <v>51</v>
          </cell>
          <cell r="E2589" t="str">
            <v>GARRISON W/SQUARE BUCKLE</v>
          </cell>
          <cell r="F2589" t="str">
            <v>DG-BELT</v>
          </cell>
          <cell r="G2589" t="str">
            <v>1420-210-FG</v>
          </cell>
          <cell r="H2589" t="str">
            <v>F</v>
          </cell>
          <cell r="I2589" t="str">
            <v>06/11/2024</v>
          </cell>
          <cell r="J2589" t="str">
            <v>06/17/2024</v>
          </cell>
          <cell r="K2589" t="str">
            <v>07/01/2024</v>
          </cell>
          <cell r="L2589">
            <v>5</v>
          </cell>
          <cell r="M2589" t="str">
            <v/>
          </cell>
          <cell r="N2589" t="str">
            <v>27</v>
          </cell>
          <cell r="O2589">
            <v>5</v>
          </cell>
          <cell r="P2589">
            <v>1.65</v>
          </cell>
        </row>
        <row r="2590">
          <cell r="A2590" t="str">
            <v>6727822</v>
          </cell>
          <cell r="B2590" t="str">
            <v>1100754</v>
          </cell>
          <cell r="C2590" t="str">
            <v>51-50-2</v>
          </cell>
          <cell r="D2590" t="str">
            <v>51</v>
          </cell>
          <cell r="E2590" t="str">
            <v>GARRISON W/SQUARE BUCKLE</v>
          </cell>
          <cell r="F2590" t="str">
            <v>DG-BELT</v>
          </cell>
          <cell r="G2590" t="str">
            <v>1420-210-FG</v>
          </cell>
          <cell r="H2590" t="str">
            <v>R</v>
          </cell>
          <cell r="I2590" t="str">
            <v>06/11/2024</v>
          </cell>
          <cell r="J2590" t="str">
            <v>06/17/2024</v>
          </cell>
          <cell r="K2590" t="str">
            <v>07/01/2024</v>
          </cell>
          <cell r="L2590">
            <v>12</v>
          </cell>
          <cell r="M2590" t="str">
            <v>6/13/2024 12:33:50 PM</v>
          </cell>
          <cell r="N2590" t="str">
            <v>27</v>
          </cell>
          <cell r="O2590">
            <v>12</v>
          </cell>
          <cell r="P2590">
            <v>3.91</v>
          </cell>
        </row>
        <row r="2591">
          <cell r="A2591" t="str">
            <v>6728315</v>
          </cell>
          <cell r="B2591" t="str">
            <v>1096958</v>
          </cell>
          <cell r="C2591" t="str">
            <v>190-4B</v>
          </cell>
          <cell r="D2591" t="str">
            <v>190</v>
          </cell>
          <cell r="E2591" t="str">
            <v>HANDCUFF POUCH TOP FLAP</v>
          </cell>
          <cell r="F2591" t="str">
            <v>DG-POUCH-F1</v>
          </cell>
          <cell r="G2591" t="str">
            <v>1420-210-FG</v>
          </cell>
          <cell r="H2591" t="str">
            <v>F</v>
          </cell>
          <cell r="I2591" t="str">
            <v>06/11/2024</v>
          </cell>
          <cell r="J2591" t="str">
            <v>06/17/2024</v>
          </cell>
          <cell r="K2591" t="str">
            <v>07/01/2024</v>
          </cell>
          <cell r="L2591">
            <v>10</v>
          </cell>
          <cell r="M2591" t="str">
            <v/>
          </cell>
          <cell r="N2591" t="str">
            <v>27</v>
          </cell>
          <cell r="O2591">
            <v>10</v>
          </cell>
          <cell r="P2591">
            <v>3.97</v>
          </cell>
        </row>
        <row r="2592">
          <cell r="A2592" t="str">
            <v>6728356</v>
          </cell>
          <cell r="B2592" t="str">
            <v>1118620</v>
          </cell>
          <cell r="C2592" t="str">
            <v>190-553PBL</v>
          </cell>
          <cell r="D2592" t="str">
            <v>190</v>
          </cell>
          <cell r="E2592" t="str">
            <v>HANDCUFF POUCH TOP FLAP</v>
          </cell>
          <cell r="F2592" t="str">
            <v>DG-POUCH-F1</v>
          </cell>
          <cell r="G2592" t="str">
            <v>1420-210-FG</v>
          </cell>
          <cell r="H2592" t="str">
            <v>F</v>
          </cell>
          <cell r="I2592" t="str">
            <v>06/11/2024</v>
          </cell>
          <cell r="J2592" t="str">
            <v>06/17/2024</v>
          </cell>
          <cell r="K2592" t="str">
            <v>07/01/2024</v>
          </cell>
          <cell r="L2592">
            <v>20</v>
          </cell>
          <cell r="M2592" t="str">
            <v/>
          </cell>
          <cell r="N2592" t="str">
            <v>27</v>
          </cell>
          <cell r="O2592">
            <v>20</v>
          </cell>
          <cell r="P2592">
            <v>7.67</v>
          </cell>
        </row>
        <row r="2593">
          <cell r="A2593" t="str">
            <v>6728316</v>
          </cell>
          <cell r="B2593" t="str">
            <v>1096966</v>
          </cell>
          <cell r="C2593" t="str">
            <v>190-9HS</v>
          </cell>
          <cell r="D2593" t="str">
            <v>190</v>
          </cell>
          <cell r="E2593" t="str">
            <v>HANDCUFF POUCH TOP FLAP</v>
          </cell>
          <cell r="F2593" t="str">
            <v>DG-POUCH-F1</v>
          </cell>
          <cell r="G2593" t="str">
            <v>1420-210-FG</v>
          </cell>
          <cell r="H2593" t="str">
            <v>F</v>
          </cell>
          <cell r="I2593" t="str">
            <v>06/11/2024</v>
          </cell>
          <cell r="J2593" t="str">
            <v>06/17/2024</v>
          </cell>
          <cell r="K2593" t="str">
            <v>07/01/2024</v>
          </cell>
          <cell r="L2593">
            <v>15</v>
          </cell>
          <cell r="M2593" t="str">
            <v/>
          </cell>
          <cell r="N2593" t="str">
            <v>27</v>
          </cell>
          <cell r="O2593">
            <v>15</v>
          </cell>
          <cell r="P2593">
            <v>6.4</v>
          </cell>
        </row>
        <row r="2594">
          <cell r="A2594" t="str">
            <v>6728367</v>
          </cell>
          <cell r="B2594" t="str">
            <v>1165339</v>
          </cell>
          <cell r="C2594" t="str">
            <v>MH6005VE-7-BLK</v>
          </cell>
          <cell r="D2594" t="str">
            <v>H6005VE</v>
          </cell>
          <cell r="E2594" t="str">
            <v>HARNESS BLK FOR 6005VE</v>
          </cell>
          <cell r="F2594" t="str">
            <v>DG-HARNESS</v>
          </cell>
          <cell r="G2594" t="str">
            <v>1420-210-SB</v>
          </cell>
          <cell r="H2594" t="str">
            <v>R</v>
          </cell>
          <cell r="I2594" t="str">
            <v>06/11/2024</v>
          </cell>
          <cell r="J2594" t="str">
            <v>06/17/2024</v>
          </cell>
          <cell r="K2594" t="str">
            <v>07/01/2024</v>
          </cell>
          <cell r="L2594">
            <v>124</v>
          </cell>
          <cell r="M2594" t="str">
            <v>6/13/2024 8:18:44 AM</v>
          </cell>
          <cell r="N2594" t="str">
            <v>27</v>
          </cell>
          <cell r="O2594">
            <v>124</v>
          </cell>
          <cell r="P2594">
            <v>10.71</v>
          </cell>
        </row>
        <row r="2595">
          <cell r="A2595" t="str">
            <v>6727880</v>
          </cell>
          <cell r="B2595" t="str">
            <v>1323517</v>
          </cell>
          <cell r="C2595" t="str">
            <v>6005-6-123-NP</v>
          </cell>
          <cell r="D2595" t="str">
            <v>6005</v>
          </cell>
          <cell r="E2595" t="str">
            <v>LEG SHROUD</v>
          </cell>
          <cell r="F2595" t="str">
            <v>DG-HARNESS</v>
          </cell>
          <cell r="G2595" t="str">
            <v>1420-210-FG</v>
          </cell>
          <cell r="H2595" t="str">
            <v>R</v>
          </cell>
          <cell r="I2595" t="str">
            <v>06/11/2024</v>
          </cell>
          <cell r="J2595" t="str">
            <v>06/17/2024</v>
          </cell>
          <cell r="K2595" t="str">
            <v>07/01/2024</v>
          </cell>
          <cell r="L2595">
            <v>4</v>
          </cell>
          <cell r="M2595" t="str">
            <v>6/13/2024 8:15:32 AM</v>
          </cell>
          <cell r="N2595" t="str">
            <v>27</v>
          </cell>
          <cell r="O2595">
            <v>4</v>
          </cell>
          <cell r="P2595">
            <v>0.09</v>
          </cell>
        </row>
        <row r="2596">
          <cell r="A2596" t="str">
            <v>6727875</v>
          </cell>
          <cell r="B2596" t="str">
            <v>1133747</v>
          </cell>
          <cell r="C2596" t="str">
            <v>6004-10-2-MS22</v>
          </cell>
          <cell r="D2596" t="str">
            <v>6004</v>
          </cell>
          <cell r="E2596" t="str">
            <v>LEG SHROUD SINGLE STRAP W/ QLS 22</v>
          </cell>
          <cell r="F2596" t="str">
            <v>DG-HARNESS</v>
          </cell>
          <cell r="G2596" t="str">
            <v>1420-210-FG</v>
          </cell>
          <cell r="H2596" t="str">
            <v>F</v>
          </cell>
          <cell r="I2596" t="str">
            <v>06/11/2024</v>
          </cell>
          <cell r="J2596" t="str">
            <v>06/17/2024</v>
          </cell>
          <cell r="K2596" t="str">
            <v>07/01/2024</v>
          </cell>
          <cell r="L2596">
            <v>5</v>
          </cell>
          <cell r="M2596" t="str">
            <v/>
          </cell>
          <cell r="N2596" t="str">
            <v>27</v>
          </cell>
          <cell r="O2596">
            <v>5</v>
          </cell>
          <cell r="P2596">
            <v>0.28999999999999998</v>
          </cell>
        </row>
        <row r="2597">
          <cell r="A2597" t="str">
            <v>6727887</v>
          </cell>
          <cell r="B2597" t="str">
            <v>1323795</v>
          </cell>
          <cell r="C2597" t="str">
            <v>6005-10-2-NP</v>
          </cell>
          <cell r="D2597" t="str">
            <v>6005</v>
          </cell>
          <cell r="E2597" t="str">
            <v>LEG SHROUD SML ONE ELASTIC STRAP W/REM</v>
          </cell>
          <cell r="F2597" t="str">
            <v>DG-HARNESS-DTC</v>
          </cell>
          <cell r="G2597" t="str">
            <v>1420-210-FG</v>
          </cell>
          <cell r="H2597" t="str">
            <v>R</v>
          </cell>
          <cell r="I2597" t="str">
            <v>06/11/2024</v>
          </cell>
          <cell r="J2597" t="str">
            <v>06/17/2024</v>
          </cell>
          <cell r="K2597" t="str">
            <v>07/01/2024</v>
          </cell>
          <cell r="L2597">
            <v>6</v>
          </cell>
          <cell r="M2597" t="str">
            <v>6/13/2024 8:15:32 AM</v>
          </cell>
          <cell r="N2597" t="str">
            <v>27</v>
          </cell>
          <cell r="O2597">
            <v>6</v>
          </cell>
          <cell r="P2597">
            <v>0.35</v>
          </cell>
        </row>
        <row r="2598">
          <cell r="A2598" t="str">
            <v>6727897</v>
          </cell>
          <cell r="B2598" t="str">
            <v>1150802</v>
          </cell>
          <cell r="C2598" t="str">
            <v>6005-110-2</v>
          </cell>
          <cell r="D2598" t="str">
            <v>6005</v>
          </cell>
          <cell r="E2598" t="str">
            <v>LIGHTWEIGHT LEG SHROUD WITH QUICK RELEAS</v>
          </cell>
          <cell r="F2598" t="str">
            <v>DG-HARNESS-DTC</v>
          </cell>
          <cell r="G2598" t="str">
            <v>1420-210-FG</v>
          </cell>
          <cell r="H2598" t="str">
            <v>R</v>
          </cell>
          <cell r="I2598" t="str">
            <v>06/11/2024</v>
          </cell>
          <cell r="J2598" t="str">
            <v>06/17/2024</v>
          </cell>
          <cell r="K2598" t="str">
            <v>07/01/2024</v>
          </cell>
          <cell r="L2598">
            <v>94</v>
          </cell>
          <cell r="M2598" t="str">
            <v>6/13/2024 8:15:32 AM</v>
          </cell>
          <cell r="N2598" t="str">
            <v>27</v>
          </cell>
          <cell r="O2598">
            <v>94</v>
          </cell>
          <cell r="P2598">
            <v>5.53</v>
          </cell>
        </row>
        <row r="2599">
          <cell r="A2599" t="str">
            <v>6728361</v>
          </cell>
          <cell r="B2599" t="str">
            <v>1166138</v>
          </cell>
          <cell r="C2599" t="str">
            <v>38-763PBL</v>
          </cell>
          <cell r="D2599" t="str">
            <v>38</v>
          </cell>
          <cell r="E2599" t="str">
            <v>MACE HOLDER TOP FLAP</v>
          </cell>
          <cell r="F2599" t="str">
            <v>DG-POUCH-F1</v>
          </cell>
          <cell r="G2599" t="str">
            <v>1420-210-FG</v>
          </cell>
          <cell r="H2599" t="str">
            <v>F</v>
          </cell>
          <cell r="I2599" t="str">
            <v>06/11/2024</v>
          </cell>
          <cell r="J2599" t="str">
            <v>06/17/2024</v>
          </cell>
          <cell r="K2599" t="str">
            <v>07/01/2024</v>
          </cell>
          <cell r="L2599">
            <v>20</v>
          </cell>
          <cell r="M2599" t="str">
            <v/>
          </cell>
          <cell r="N2599" t="str">
            <v>27</v>
          </cell>
          <cell r="O2599">
            <v>20</v>
          </cell>
          <cell r="P2599">
            <v>7.05</v>
          </cell>
        </row>
        <row r="2600">
          <cell r="A2600" t="str">
            <v>6728345</v>
          </cell>
          <cell r="B2600" t="str">
            <v>1098800</v>
          </cell>
          <cell r="C2600" t="str">
            <v>38-2HS</v>
          </cell>
          <cell r="D2600" t="str">
            <v>38</v>
          </cell>
          <cell r="E2600" t="str">
            <v>MACE HOLDERTOP FLAP</v>
          </cell>
          <cell r="F2600" t="str">
            <v>DG-POUCH-F1</v>
          </cell>
          <cell r="G2600" t="str">
            <v>1420-210-FG</v>
          </cell>
          <cell r="H2600" t="str">
            <v>F</v>
          </cell>
          <cell r="I2600" t="str">
            <v>06/11/2024</v>
          </cell>
          <cell r="J2600" t="str">
            <v>06/17/2024</v>
          </cell>
          <cell r="K2600" t="str">
            <v>07/01/2024</v>
          </cell>
          <cell r="L2600">
            <v>20</v>
          </cell>
          <cell r="M2600" t="str">
            <v/>
          </cell>
          <cell r="N2600" t="str">
            <v>27</v>
          </cell>
          <cell r="O2600">
            <v>20</v>
          </cell>
          <cell r="P2600">
            <v>5.73</v>
          </cell>
        </row>
        <row r="2601">
          <cell r="A2601" t="str">
            <v>6728346</v>
          </cell>
          <cell r="B2601" t="str">
            <v>1098852</v>
          </cell>
          <cell r="C2601" t="str">
            <v>38-3-4</v>
          </cell>
          <cell r="D2601" t="str">
            <v>38</v>
          </cell>
          <cell r="E2601" t="str">
            <v>MACE HOLDERTOP FLAP</v>
          </cell>
          <cell r="F2601" t="str">
            <v>DG-POUCH-F1</v>
          </cell>
          <cell r="G2601" t="str">
            <v>1420-210-FG</v>
          </cell>
          <cell r="H2601" t="str">
            <v>F</v>
          </cell>
          <cell r="I2601" t="str">
            <v>06/11/2024</v>
          </cell>
          <cell r="J2601" t="str">
            <v>06/17/2024</v>
          </cell>
          <cell r="K2601" t="str">
            <v>07/01/2024</v>
          </cell>
          <cell r="L2601">
            <v>21</v>
          </cell>
          <cell r="M2601" t="str">
            <v/>
          </cell>
          <cell r="N2601" t="str">
            <v>27</v>
          </cell>
          <cell r="O2601">
            <v>21</v>
          </cell>
          <cell r="P2601">
            <v>6.79</v>
          </cell>
        </row>
        <row r="2602">
          <cell r="A2602" t="str">
            <v>6728347</v>
          </cell>
          <cell r="B2602" t="str">
            <v>1098854</v>
          </cell>
          <cell r="C2602" t="str">
            <v>38-3-4HS</v>
          </cell>
          <cell r="D2602" t="str">
            <v>38</v>
          </cell>
          <cell r="E2602" t="str">
            <v>MACE HOLDERTOP FLAP</v>
          </cell>
          <cell r="F2602" t="str">
            <v>DG-POUCH-F1</v>
          </cell>
          <cell r="G2602" t="str">
            <v>1420-210-FG</v>
          </cell>
          <cell r="H2602" t="str">
            <v>F</v>
          </cell>
          <cell r="I2602" t="str">
            <v>06/11/2024</v>
          </cell>
          <cell r="J2602" t="str">
            <v>06/17/2024</v>
          </cell>
          <cell r="K2602" t="str">
            <v>07/01/2024</v>
          </cell>
          <cell r="L2602">
            <v>20</v>
          </cell>
          <cell r="M2602" t="str">
            <v/>
          </cell>
          <cell r="N2602" t="str">
            <v>27</v>
          </cell>
          <cell r="O2602">
            <v>20</v>
          </cell>
          <cell r="P2602">
            <v>6.46</v>
          </cell>
        </row>
        <row r="2603">
          <cell r="A2603" t="str">
            <v>6728350</v>
          </cell>
          <cell r="B2603" t="str">
            <v>1098936</v>
          </cell>
          <cell r="C2603" t="str">
            <v>38-4-4</v>
          </cell>
          <cell r="D2603" t="str">
            <v>38</v>
          </cell>
          <cell r="E2603" t="str">
            <v>MACE HOLDERTOP FLAP</v>
          </cell>
          <cell r="F2603" t="str">
            <v>DG-POUCH-F1</v>
          </cell>
          <cell r="G2603" t="str">
            <v>1420-210-FG</v>
          </cell>
          <cell r="H2603" t="str">
            <v>F</v>
          </cell>
          <cell r="I2603" t="str">
            <v>06/11/2024</v>
          </cell>
          <cell r="J2603" t="str">
            <v>06/17/2024</v>
          </cell>
          <cell r="K2603" t="str">
            <v>07/01/2024</v>
          </cell>
          <cell r="L2603">
            <v>20</v>
          </cell>
          <cell r="M2603" t="str">
            <v/>
          </cell>
          <cell r="N2603" t="str">
            <v>27</v>
          </cell>
          <cell r="O2603">
            <v>20</v>
          </cell>
          <cell r="P2603">
            <v>5.73</v>
          </cell>
        </row>
        <row r="2604">
          <cell r="A2604" t="str">
            <v>6728321</v>
          </cell>
          <cell r="B2604" t="str">
            <v>1099075</v>
          </cell>
          <cell r="C2604" t="str">
            <v>38-9HS</v>
          </cell>
          <cell r="D2604" t="str">
            <v>38</v>
          </cell>
          <cell r="E2604" t="str">
            <v>MACE HOLDERTOP FLAP</v>
          </cell>
          <cell r="F2604" t="str">
            <v>DG-POUCH-F1</v>
          </cell>
          <cell r="G2604" t="str">
            <v>1420-210-FG</v>
          </cell>
          <cell r="H2604" t="str">
            <v>F</v>
          </cell>
          <cell r="I2604" t="str">
            <v>06/11/2024</v>
          </cell>
          <cell r="J2604" t="str">
            <v>06/17/2024</v>
          </cell>
          <cell r="K2604" t="str">
            <v>07/01/2024</v>
          </cell>
          <cell r="L2604">
            <v>10</v>
          </cell>
          <cell r="M2604" t="str">
            <v/>
          </cell>
          <cell r="N2604" t="str">
            <v>27</v>
          </cell>
          <cell r="O2604">
            <v>10</v>
          </cell>
          <cell r="P2604">
            <v>3.03</v>
          </cell>
        </row>
        <row r="2605">
          <cell r="A2605" t="str">
            <v>6726208</v>
          </cell>
          <cell r="B2605" t="str">
            <v>1102065</v>
          </cell>
          <cell r="C2605" t="str">
            <v>77-76-4</v>
          </cell>
          <cell r="D2605" t="str">
            <v>77</v>
          </cell>
          <cell r="E2605" t="str">
            <v>MAGAZINE HOLDER DOUBLE</v>
          </cell>
          <cell r="F2605" t="str">
            <v>DG-POUCH-F1</v>
          </cell>
          <cell r="G2605" t="str">
            <v>1420-210-FG</v>
          </cell>
          <cell r="H2605" t="str">
            <v>R</v>
          </cell>
          <cell r="I2605" t="str">
            <v>06/07/2024</v>
          </cell>
          <cell r="J2605" t="str">
            <v>06/17/2024</v>
          </cell>
          <cell r="K2605" t="str">
            <v>07/01/2024</v>
          </cell>
          <cell r="L2605">
            <v>10</v>
          </cell>
          <cell r="M2605" t="str">
            <v>6/7/2024 11:51:05 AM</v>
          </cell>
          <cell r="N2605" t="str">
            <v>27</v>
          </cell>
          <cell r="O2605">
            <v>10</v>
          </cell>
          <cell r="P2605">
            <v>4</v>
          </cell>
        </row>
        <row r="2606">
          <cell r="A2606" t="str">
            <v>6726139</v>
          </cell>
          <cell r="B2606" t="str">
            <v>1155915</v>
          </cell>
          <cell r="C2606" t="str">
            <v>77-76-49B</v>
          </cell>
          <cell r="D2606" t="str">
            <v>77</v>
          </cell>
          <cell r="E2606" t="str">
            <v>MAGAZINE HOLDER DOUBLE</v>
          </cell>
          <cell r="F2606" t="str">
            <v>DG-POUCH-F1</v>
          </cell>
          <cell r="G2606" t="str">
            <v>1420-210-FG</v>
          </cell>
          <cell r="H2606" t="str">
            <v>R</v>
          </cell>
          <cell r="I2606" t="str">
            <v>06/07/2024</v>
          </cell>
          <cell r="J2606" t="str">
            <v>06/17/2024</v>
          </cell>
          <cell r="K2606" t="str">
            <v>07/01/2024</v>
          </cell>
          <cell r="L2606">
            <v>1</v>
          </cell>
          <cell r="M2606" t="str">
            <v>6/7/2024 11:51:05 AM</v>
          </cell>
          <cell r="N2606" t="str">
            <v>27</v>
          </cell>
          <cell r="O2606">
            <v>1</v>
          </cell>
          <cell r="P2606">
            <v>0.4</v>
          </cell>
        </row>
        <row r="2607">
          <cell r="A2607" t="str">
            <v>6728364</v>
          </cell>
          <cell r="B2607" t="str">
            <v>1121302</v>
          </cell>
          <cell r="C2607" t="str">
            <v>6004-8-55</v>
          </cell>
          <cell r="D2607" t="str">
            <v>6004</v>
          </cell>
          <cell r="E2607" t="str">
            <v>MOLLE SYSTEM ADAPTER</v>
          </cell>
          <cell r="F2607" t="str">
            <v>DG-POUCH-F2-F3</v>
          </cell>
          <cell r="G2607" t="str">
            <v>1420-210-FG</v>
          </cell>
          <cell r="H2607" t="str">
            <v>F</v>
          </cell>
          <cell r="I2607" t="str">
            <v>06/11/2024</v>
          </cell>
          <cell r="J2607" t="str">
            <v>06/17/2024</v>
          </cell>
          <cell r="K2607" t="str">
            <v>07/01/2024</v>
          </cell>
          <cell r="L2607">
            <v>8</v>
          </cell>
          <cell r="M2607" t="str">
            <v/>
          </cell>
          <cell r="N2607" t="str">
            <v>27</v>
          </cell>
          <cell r="O2607">
            <v>8</v>
          </cell>
          <cell r="P2607">
            <v>0.87</v>
          </cell>
        </row>
        <row r="2608">
          <cell r="A2608" t="str">
            <v>6727736</v>
          </cell>
          <cell r="B2608" t="str">
            <v>1016107</v>
          </cell>
          <cell r="C2608" t="str">
            <v>17382</v>
          </cell>
          <cell r="D2608" t="str">
            <v>7200</v>
          </cell>
          <cell r="E2608" t="str">
            <v>NYLON DUTY BELT BLK SZ LRG 40-46</v>
          </cell>
          <cell r="F2608" t="str">
            <v>BN-BELT</v>
          </cell>
          <cell r="G2608" t="str">
            <v>1420-210-FG</v>
          </cell>
          <cell r="H2608" t="str">
            <v>F</v>
          </cell>
          <cell r="I2608" t="str">
            <v>06/11/2024</v>
          </cell>
          <cell r="J2608" t="str">
            <v>06/17/2024</v>
          </cell>
          <cell r="K2608" t="str">
            <v>07/01/2024</v>
          </cell>
          <cell r="L2608">
            <v>100</v>
          </cell>
          <cell r="M2608" t="str">
            <v/>
          </cell>
          <cell r="N2608" t="str">
            <v>27</v>
          </cell>
          <cell r="O2608">
            <v>100</v>
          </cell>
          <cell r="P2608">
            <v>17.010000000000002</v>
          </cell>
        </row>
        <row r="2609">
          <cell r="A2609" t="str">
            <v>6727749</v>
          </cell>
          <cell r="B2609" t="str">
            <v>1017570</v>
          </cell>
          <cell r="C2609" t="str">
            <v>23381</v>
          </cell>
          <cell r="D2609" t="str">
            <v>7210</v>
          </cell>
          <cell r="E2609" t="str">
            <v>NYLON DUTY BELT BLK SZ LRG 40-46 LOOP</v>
          </cell>
          <cell r="F2609" t="str">
            <v>BN-BELT</v>
          </cell>
          <cell r="G2609" t="str">
            <v>1420-210-FG</v>
          </cell>
          <cell r="H2609" t="str">
            <v>F</v>
          </cell>
          <cell r="I2609" t="str">
            <v>06/11/2024</v>
          </cell>
          <cell r="J2609" t="str">
            <v>06/17/2024</v>
          </cell>
          <cell r="K2609" t="str">
            <v>07/01/2024</v>
          </cell>
          <cell r="L2609">
            <v>20</v>
          </cell>
          <cell r="M2609" t="str">
            <v/>
          </cell>
          <cell r="N2609" t="str">
            <v>27</v>
          </cell>
          <cell r="O2609">
            <v>20</v>
          </cell>
          <cell r="P2609">
            <v>2.13</v>
          </cell>
        </row>
        <row r="2610">
          <cell r="A2610" t="str">
            <v>6727731</v>
          </cell>
          <cell r="B2610" t="str">
            <v>1166960</v>
          </cell>
          <cell r="C2610" t="str">
            <v>26043</v>
          </cell>
          <cell r="D2610" t="str">
            <v>7203</v>
          </cell>
          <cell r="E2610" t="str">
            <v>NYLON DUTY BELT SZ LRG 40-46 HOOK</v>
          </cell>
          <cell r="F2610" t="str">
            <v>BN-BELT</v>
          </cell>
          <cell r="G2610" t="str">
            <v>1420-210-FG</v>
          </cell>
          <cell r="H2610" t="str">
            <v>F</v>
          </cell>
          <cell r="I2610" t="str">
            <v>06/11/2024</v>
          </cell>
          <cell r="J2610" t="str">
            <v>06/17/2024</v>
          </cell>
          <cell r="K2610" t="str">
            <v>07/01/2024</v>
          </cell>
          <cell r="L2610">
            <v>15</v>
          </cell>
          <cell r="M2610" t="str">
            <v/>
          </cell>
          <cell r="N2610" t="str">
            <v>27</v>
          </cell>
          <cell r="O2610">
            <v>15</v>
          </cell>
          <cell r="P2610">
            <v>2.4</v>
          </cell>
        </row>
        <row r="2611">
          <cell r="A2611" t="str">
            <v>6727755</v>
          </cell>
          <cell r="B2611" t="str">
            <v>1166959</v>
          </cell>
          <cell r="C2611" t="str">
            <v>26042</v>
          </cell>
          <cell r="D2611" t="str">
            <v>7203</v>
          </cell>
          <cell r="E2611" t="str">
            <v>NYLON DUTY BELT SZ MED 34-40 HOOK</v>
          </cell>
          <cell r="F2611" t="str">
            <v>BN-BELT</v>
          </cell>
          <cell r="G2611" t="str">
            <v>1420-210-FG</v>
          </cell>
          <cell r="H2611" t="str">
            <v>F</v>
          </cell>
          <cell r="I2611" t="str">
            <v>06/11/2024</v>
          </cell>
          <cell r="J2611" t="str">
            <v>06/17/2024</v>
          </cell>
          <cell r="K2611" t="str">
            <v>07/01/2024</v>
          </cell>
          <cell r="L2611">
            <v>20</v>
          </cell>
          <cell r="M2611" t="str">
            <v/>
          </cell>
          <cell r="N2611" t="str">
            <v>27</v>
          </cell>
          <cell r="O2611">
            <v>20</v>
          </cell>
          <cell r="P2611">
            <v>3.24</v>
          </cell>
        </row>
        <row r="2612">
          <cell r="A2612" t="str">
            <v>6727732</v>
          </cell>
          <cell r="B2612" t="str">
            <v>1166961</v>
          </cell>
          <cell r="C2612" t="str">
            <v>26044</v>
          </cell>
          <cell r="D2612" t="str">
            <v>7203</v>
          </cell>
          <cell r="E2612" t="str">
            <v>NYLON DUTY BELT SZ XLG 46-52 HOOK</v>
          </cell>
          <cell r="F2612" t="str">
            <v>BN-BELT</v>
          </cell>
          <cell r="G2612" t="str">
            <v>1420-210-FG</v>
          </cell>
          <cell r="H2612" t="str">
            <v>F</v>
          </cell>
          <cell r="I2612" t="str">
            <v>06/11/2024</v>
          </cell>
          <cell r="J2612" t="str">
            <v>06/17/2024</v>
          </cell>
          <cell r="K2612" t="str">
            <v>07/01/2024</v>
          </cell>
          <cell r="L2612">
            <v>10</v>
          </cell>
          <cell r="M2612" t="str">
            <v/>
          </cell>
          <cell r="N2612" t="str">
            <v>27</v>
          </cell>
          <cell r="O2612">
            <v>10</v>
          </cell>
          <cell r="P2612">
            <v>1.6</v>
          </cell>
        </row>
        <row r="2613">
          <cell r="A2613" t="str">
            <v>6727713</v>
          </cell>
          <cell r="B2613" t="str">
            <v>1016116</v>
          </cell>
          <cell r="C2613" t="str">
            <v>17873</v>
          </cell>
          <cell r="D2613" t="str">
            <v>7202</v>
          </cell>
          <cell r="E2613" t="str">
            <v>NYLON GUN BELT BLK XLG 46-52 1 3/4IN</v>
          </cell>
          <cell r="F2613" t="str">
            <v>BN-BELT</v>
          </cell>
          <cell r="G2613" t="str">
            <v>1420-210-FG</v>
          </cell>
          <cell r="H2613" t="str">
            <v>F</v>
          </cell>
          <cell r="I2613" t="str">
            <v>06/11/2024</v>
          </cell>
          <cell r="J2613" t="str">
            <v>06/17/2024</v>
          </cell>
          <cell r="K2613" t="str">
            <v>07/01/2024</v>
          </cell>
          <cell r="L2613">
            <v>5</v>
          </cell>
          <cell r="M2613" t="str">
            <v/>
          </cell>
          <cell r="N2613" t="str">
            <v>27</v>
          </cell>
          <cell r="O2613">
            <v>5</v>
          </cell>
          <cell r="P2613">
            <v>0.4</v>
          </cell>
        </row>
        <row r="2614">
          <cell r="A2614" t="str">
            <v>6727739</v>
          </cell>
          <cell r="B2614" t="str">
            <v>1016365</v>
          </cell>
          <cell r="C2614" t="str">
            <v>17708</v>
          </cell>
          <cell r="D2614" t="str">
            <v>7205</v>
          </cell>
          <cell r="E2614" t="str">
            <v>NYLON LINER BELT BLK 1.5IN  SZ LRG 40-46</v>
          </cell>
          <cell r="F2614" t="str">
            <v>BN-BELT</v>
          </cell>
          <cell r="G2614" t="str">
            <v>1420-210-FG</v>
          </cell>
          <cell r="H2614" t="str">
            <v>F</v>
          </cell>
          <cell r="I2614" t="str">
            <v>06/11/2024</v>
          </cell>
          <cell r="J2614" t="str">
            <v>06/17/2024</v>
          </cell>
          <cell r="K2614" t="str">
            <v>07/01/2024</v>
          </cell>
          <cell r="L2614">
            <v>100</v>
          </cell>
          <cell r="M2614" t="str">
            <v/>
          </cell>
          <cell r="N2614" t="str">
            <v>27</v>
          </cell>
          <cell r="O2614">
            <v>100</v>
          </cell>
          <cell r="P2614">
            <v>11.32</v>
          </cell>
        </row>
        <row r="2615">
          <cell r="A2615" t="str">
            <v>6727738</v>
          </cell>
          <cell r="B2615" t="str">
            <v>1016364</v>
          </cell>
          <cell r="C2615" t="str">
            <v>17707</v>
          </cell>
          <cell r="D2615" t="str">
            <v>7205</v>
          </cell>
          <cell r="E2615" t="str">
            <v>NYLON LINER BELT BLK 1.5IN  SZ MED 34-40</v>
          </cell>
          <cell r="F2615" t="str">
            <v>BN-BELT</v>
          </cell>
          <cell r="G2615" t="str">
            <v>1420-210-FG</v>
          </cell>
          <cell r="H2615" t="str">
            <v>F</v>
          </cell>
          <cell r="I2615" t="str">
            <v>06/11/2024</v>
          </cell>
          <cell r="J2615" t="str">
            <v>06/17/2024</v>
          </cell>
          <cell r="K2615" t="str">
            <v>07/01/2024</v>
          </cell>
          <cell r="L2615">
            <v>100</v>
          </cell>
          <cell r="M2615" t="str">
            <v/>
          </cell>
          <cell r="N2615" t="str">
            <v>27</v>
          </cell>
          <cell r="O2615">
            <v>100</v>
          </cell>
          <cell r="P2615">
            <v>11.32</v>
          </cell>
        </row>
        <row r="2616">
          <cell r="A2616" t="str">
            <v>6727756</v>
          </cell>
          <cell r="B2616" t="str">
            <v>1329800</v>
          </cell>
          <cell r="C2616" t="str">
            <v>24053</v>
          </cell>
          <cell r="D2616" t="str">
            <v>7206</v>
          </cell>
          <cell r="E2616" t="str">
            <v>NYLON LINER BELT BLK SZ SML 28-34IN LOOP</v>
          </cell>
          <cell r="F2616" t="str">
            <v>BN-BELT</v>
          </cell>
          <cell r="G2616" t="str">
            <v>1420-210-FG</v>
          </cell>
          <cell r="H2616" t="str">
            <v>F</v>
          </cell>
          <cell r="I2616" t="str">
            <v>06/11/2024</v>
          </cell>
          <cell r="J2616" t="str">
            <v>06/17/2024</v>
          </cell>
          <cell r="K2616" t="str">
            <v>07/01/2024</v>
          </cell>
          <cell r="L2616">
            <v>30</v>
          </cell>
          <cell r="M2616" t="str">
            <v/>
          </cell>
          <cell r="N2616" t="str">
            <v>27</v>
          </cell>
          <cell r="O2616">
            <v>30</v>
          </cell>
          <cell r="P2616">
            <v>3.3</v>
          </cell>
        </row>
        <row r="2617">
          <cell r="A2617" t="str">
            <v>6727712</v>
          </cell>
          <cell r="B2617" t="str">
            <v>1014343</v>
          </cell>
          <cell r="C2617" t="str">
            <v>24419</v>
          </cell>
          <cell r="D2617" t="str">
            <v>7215</v>
          </cell>
          <cell r="E2617" t="str">
            <v xml:space="preserve">NYLON WEB BELT 2.25 BLK LG W/DRAG LOOP </v>
          </cell>
          <cell r="F2617" t="str">
            <v>BN-BELT</v>
          </cell>
          <cell r="G2617" t="str">
            <v>1420-210-FG</v>
          </cell>
          <cell r="H2617" t="str">
            <v>F</v>
          </cell>
          <cell r="I2617" t="str">
            <v>06/11/2024</v>
          </cell>
          <cell r="J2617" t="str">
            <v>06/17/2024</v>
          </cell>
          <cell r="K2617" t="str">
            <v>07/01/2024</v>
          </cell>
          <cell r="L2617">
            <v>10</v>
          </cell>
          <cell r="M2617" t="str">
            <v/>
          </cell>
          <cell r="N2617" t="str">
            <v>27</v>
          </cell>
          <cell r="O2617">
            <v>10</v>
          </cell>
          <cell r="P2617">
            <v>4.2</v>
          </cell>
        </row>
        <row r="2618">
          <cell r="A2618" t="str">
            <v>6725969</v>
          </cell>
          <cell r="B2618" t="str">
            <v>1016012</v>
          </cell>
          <cell r="C2618" t="str">
            <v>18205</v>
          </cell>
          <cell r="D2618" t="str">
            <v>7307</v>
          </cell>
          <cell r="E2618" t="str">
            <v>OC/MACE SPRAY POUCH BLK-SML HIDDEN</v>
          </cell>
          <cell r="F2618" t="str">
            <v>BN-POUCH</v>
          </cell>
          <cell r="G2618" t="str">
            <v>1420-210-FG</v>
          </cell>
          <cell r="H2618" t="str">
            <v>R</v>
          </cell>
          <cell r="I2618" t="str">
            <v>06/07/2024</v>
          </cell>
          <cell r="J2618" t="str">
            <v>06/17/2024</v>
          </cell>
          <cell r="K2618" t="str">
            <v>07/01/2024</v>
          </cell>
          <cell r="L2618">
            <v>100</v>
          </cell>
          <cell r="M2618" t="str">
            <v>6/7/2024 11:33:58 AM</v>
          </cell>
          <cell r="N2618" t="str">
            <v>27</v>
          </cell>
          <cell r="O2618">
            <v>100</v>
          </cell>
          <cell r="P2618">
            <v>16</v>
          </cell>
        </row>
        <row r="2619">
          <cell r="A2619" t="str">
            <v>6727793</v>
          </cell>
          <cell r="B2619" t="str">
            <v>1017308</v>
          </cell>
          <cell r="C2619" t="str">
            <v>22107</v>
          </cell>
          <cell r="D2619" t="str">
            <v>7907</v>
          </cell>
          <cell r="E2619" t="str">
            <v>OC/MACE SPRAY POUCH BSK BLK SML BRASS</v>
          </cell>
          <cell r="F2619" t="str">
            <v>BN-POUCH</v>
          </cell>
          <cell r="G2619" t="str">
            <v>1420-210-FG</v>
          </cell>
          <cell r="H2619" t="str">
            <v>F</v>
          </cell>
          <cell r="I2619" t="str">
            <v>06/11/2024</v>
          </cell>
          <cell r="J2619" t="str">
            <v>06/17/2024</v>
          </cell>
          <cell r="K2619" t="str">
            <v>07/01/2024</v>
          </cell>
          <cell r="L2619">
            <v>10</v>
          </cell>
          <cell r="M2619" t="str">
            <v/>
          </cell>
          <cell r="N2619" t="str">
            <v>27</v>
          </cell>
          <cell r="O2619">
            <v>10</v>
          </cell>
          <cell r="P2619">
            <v>1.26</v>
          </cell>
        </row>
        <row r="2620">
          <cell r="A2620" t="str">
            <v>6727779</v>
          </cell>
          <cell r="B2620" t="str">
            <v>1017299</v>
          </cell>
          <cell r="C2620" t="str">
            <v>22098</v>
          </cell>
          <cell r="D2620" t="str">
            <v>7907</v>
          </cell>
          <cell r="E2620" t="str">
            <v>OC/MACE SPRAY POUCH PLN BLK LRG HIDDEN</v>
          </cell>
          <cell r="F2620" t="str">
            <v>BN-POUCH</v>
          </cell>
          <cell r="G2620" t="str">
            <v>1420-210-FG</v>
          </cell>
          <cell r="H2620" t="str">
            <v>F</v>
          </cell>
          <cell r="I2620" t="str">
            <v>06/11/2024</v>
          </cell>
          <cell r="J2620" t="str">
            <v>06/17/2024</v>
          </cell>
          <cell r="K2620" t="str">
            <v>07/01/2024</v>
          </cell>
          <cell r="L2620">
            <v>20</v>
          </cell>
          <cell r="M2620" t="str">
            <v/>
          </cell>
          <cell r="N2620" t="str">
            <v>27</v>
          </cell>
          <cell r="O2620">
            <v>20</v>
          </cell>
          <cell r="P2620">
            <v>2.5099999999999998</v>
          </cell>
        </row>
        <row r="2621">
          <cell r="A2621" t="str">
            <v>6725993</v>
          </cell>
          <cell r="B2621" t="str">
            <v>1017307</v>
          </cell>
          <cell r="C2621" t="str">
            <v>22106</v>
          </cell>
          <cell r="D2621" t="str">
            <v>7907</v>
          </cell>
          <cell r="E2621" t="str">
            <v>OC/MACE SPRAY POUCH PLN BLK SML BRASS</v>
          </cell>
          <cell r="F2621" t="str">
            <v>BN-POUCH</v>
          </cell>
          <cell r="G2621" t="str">
            <v>1420-210-FG</v>
          </cell>
          <cell r="H2621" t="str">
            <v>R</v>
          </cell>
          <cell r="I2621" t="str">
            <v>06/07/2024</v>
          </cell>
          <cell r="J2621" t="str">
            <v>06/17/2024</v>
          </cell>
          <cell r="K2621" t="str">
            <v>07/01/2024</v>
          </cell>
          <cell r="L2621">
            <v>10</v>
          </cell>
          <cell r="M2621" t="str">
            <v>6/7/2024 11:33:58 AM</v>
          </cell>
          <cell r="N2621" t="str">
            <v>27</v>
          </cell>
          <cell r="O2621">
            <v>10</v>
          </cell>
          <cell r="P2621">
            <v>1.4</v>
          </cell>
        </row>
        <row r="2622">
          <cell r="A2622" t="str">
            <v>6725971</v>
          </cell>
          <cell r="B2622" t="str">
            <v>1149780</v>
          </cell>
          <cell r="C2622" t="str">
            <v>24978</v>
          </cell>
          <cell r="D2622" t="str">
            <v>7308</v>
          </cell>
          <cell r="E2622" t="str">
            <v>OPEN TOP OC/MACE HOLDER MK-3</v>
          </cell>
          <cell r="F2622" t="str">
            <v>BN-POUCH</v>
          </cell>
          <cell r="G2622" t="str">
            <v>1420-210-FG</v>
          </cell>
          <cell r="H2622" t="str">
            <v>R</v>
          </cell>
          <cell r="I2622" t="str">
            <v>06/07/2024</v>
          </cell>
          <cell r="J2622" t="str">
            <v>06/17/2024</v>
          </cell>
          <cell r="K2622" t="str">
            <v>07/01/2024</v>
          </cell>
          <cell r="L2622">
            <v>20</v>
          </cell>
          <cell r="M2622" t="str">
            <v>6/7/2024 11:27:54 AM</v>
          </cell>
          <cell r="N2622" t="str">
            <v>27</v>
          </cell>
          <cell r="O2622">
            <v>20</v>
          </cell>
          <cell r="P2622">
            <v>2.37</v>
          </cell>
        </row>
        <row r="2623">
          <cell r="A2623" t="str">
            <v>6727796</v>
          </cell>
          <cell r="B2623" t="str">
            <v>1149781</v>
          </cell>
          <cell r="C2623" t="str">
            <v>24982</v>
          </cell>
          <cell r="D2623" t="str">
            <v>7908</v>
          </cell>
          <cell r="E2623" t="str">
            <v>OPEN TOP OC/MACE HOLDER PLAIN MK-3</v>
          </cell>
          <cell r="F2623" t="str">
            <v>BN-POUCH</v>
          </cell>
          <cell r="G2623" t="str">
            <v>1420-210-FG</v>
          </cell>
          <cell r="H2623" t="str">
            <v>F</v>
          </cell>
          <cell r="I2623" t="str">
            <v>06/11/2024</v>
          </cell>
          <cell r="J2623" t="str">
            <v>06/17/2024</v>
          </cell>
          <cell r="K2623" t="str">
            <v>07/01/2024</v>
          </cell>
          <cell r="L2623">
            <v>10</v>
          </cell>
          <cell r="M2623" t="str">
            <v/>
          </cell>
          <cell r="N2623" t="str">
            <v>27</v>
          </cell>
          <cell r="O2623">
            <v>10</v>
          </cell>
          <cell r="P2623">
            <v>1.6</v>
          </cell>
        </row>
        <row r="2624">
          <cell r="A2624" t="str">
            <v>6727785</v>
          </cell>
          <cell r="B2624" t="str">
            <v>1017736</v>
          </cell>
          <cell r="C2624" t="str">
            <v>23128</v>
          </cell>
          <cell r="D2624" t="str">
            <v>7308</v>
          </cell>
          <cell r="E2624" t="str">
            <v>OPEN TOP OC/MACE POUCH BLK MK-4</v>
          </cell>
          <cell r="F2624" t="str">
            <v>BN-POUCH</v>
          </cell>
          <cell r="G2624" t="str">
            <v>1420-210-FG</v>
          </cell>
          <cell r="H2624" t="str">
            <v>F</v>
          </cell>
          <cell r="I2624" t="str">
            <v>06/11/2024</v>
          </cell>
          <cell r="J2624" t="str">
            <v>06/17/2024</v>
          </cell>
          <cell r="K2624" t="str">
            <v>07/01/2024</v>
          </cell>
          <cell r="L2624">
            <v>30</v>
          </cell>
          <cell r="M2624" t="str">
            <v/>
          </cell>
          <cell r="N2624" t="str">
            <v>27</v>
          </cell>
          <cell r="O2624">
            <v>30</v>
          </cell>
          <cell r="P2624">
            <v>4.2699999999999996</v>
          </cell>
        </row>
        <row r="2625">
          <cell r="A2625" t="str">
            <v>6727900</v>
          </cell>
          <cell r="B2625" t="str">
            <v>1323317</v>
          </cell>
          <cell r="C2625" t="str">
            <v>6005-7-2-NP</v>
          </cell>
          <cell r="D2625" t="str">
            <v>6005</v>
          </cell>
          <cell r="E2625" t="str">
            <v>QUICK RELEASE PORTION OF LEG STRAP</v>
          </cell>
          <cell r="F2625" t="str">
            <v>DG-HARNESS-DTC</v>
          </cell>
          <cell r="G2625" t="str">
            <v>1420-210-FG</v>
          </cell>
          <cell r="H2625" t="str">
            <v>R</v>
          </cell>
          <cell r="I2625" t="str">
            <v>06/11/2024</v>
          </cell>
          <cell r="J2625" t="str">
            <v>06/17/2024</v>
          </cell>
          <cell r="K2625" t="str">
            <v>07/01/2024</v>
          </cell>
          <cell r="L2625">
            <v>50</v>
          </cell>
          <cell r="M2625" t="str">
            <v>6/13/2024 8:15:32 AM</v>
          </cell>
          <cell r="N2625" t="str">
            <v>27</v>
          </cell>
          <cell r="O2625">
            <v>50</v>
          </cell>
          <cell r="P2625">
            <v>1.46</v>
          </cell>
        </row>
        <row r="2626">
          <cell r="A2626" t="str">
            <v>6727901</v>
          </cell>
          <cell r="B2626" t="str">
            <v>1323317</v>
          </cell>
          <cell r="C2626" t="str">
            <v>6005-7-2-NP</v>
          </cell>
          <cell r="D2626" t="str">
            <v>6005</v>
          </cell>
          <cell r="E2626" t="str">
            <v>QUICK RELEASE PORTION OF LEG STRAP</v>
          </cell>
          <cell r="F2626" t="str">
            <v>DG-HARNESS-DTC</v>
          </cell>
          <cell r="G2626" t="str">
            <v>1420-210-FG</v>
          </cell>
          <cell r="H2626" t="str">
            <v>R</v>
          </cell>
          <cell r="I2626" t="str">
            <v>06/11/2024</v>
          </cell>
          <cell r="J2626" t="str">
            <v>06/17/2024</v>
          </cell>
          <cell r="K2626" t="str">
            <v>07/01/2024</v>
          </cell>
          <cell r="L2626">
            <v>50</v>
          </cell>
          <cell r="M2626" t="str">
            <v>6/13/2024 8:15:32 AM</v>
          </cell>
          <cell r="N2626" t="str">
            <v>27</v>
          </cell>
          <cell r="O2626">
            <v>50</v>
          </cell>
          <cell r="P2626">
            <v>1.46</v>
          </cell>
        </row>
        <row r="2627">
          <cell r="A2627" t="str">
            <v>6727902</v>
          </cell>
          <cell r="B2627" t="str">
            <v>1323317</v>
          </cell>
          <cell r="C2627" t="str">
            <v>6005-7-2-NP</v>
          </cell>
          <cell r="D2627" t="str">
            <v>6005</v>
          </cell>
          <cell r="E2627" t="str">
            <v>QUICK RELEASE PORTION OF LEG STRAP</v>
          </cell>
          <cell r="F2627" t="str">
            <v>DG-HARNESS-DTC</v>
          </cell>
          <cell r="G2627" t="str">
            <v>1420-210-FG</v>
          </cell>
          <cell r="H2627" t="str">
            <v>R</v>
          </cell>
          <cell r="I2627" t="str">
            <v>06/11/2024</v>
          </cell>
          <cell r="J2627" t="str">
            <v>06/17/2024</v>
          </cell>
          <cell r="K2627" t="str">
            <v>07/01/2024</v>
          </cell>
          <cell r="L2627">
            <v>50</v>
          </cell>
          <cell r="M2627" t="str">
            <v>6/13/2024 8:15:32 AM</v>
          </cell>
          <cell r="N2627" t="str">
            <v>27</v>
          </cell>
          <cell r="O2627">
            <v>50</v>
          </cell>
          <cell r="P2627">
            <v>1.46</v>
          </cell>
        </row>
        <row r="2628">
          <cell r="A2628" t="str">
            <v>6727903</v>
          </cell>
          <cell r="B2628" t="str">
            <v>1323317</v>
          </cell>
          <cell r="C2628" t="str">
            <v>6005-7-2-NP</v>
          </cell>
          <cell r="D2628" t="str">
            <v>6005</v>
          </cell>
          <cell r="E2628" t="str">
            <v>QUICK RELEASE PORTION OF LEG STRAP</v>
          </cell>
          <cell r="F2628" t="str">
            <v>DG-HARNESS-DTC</v>
          </cell>
          <cell r="G2628" t="str">
            <v>1420-210-FG</v>
          </cell>
          <cell r="H2628" t="str">
            <v>R</v>
          </cell>
          <cell r="I2628" t="str">
            <v>06/11/2024</v>
          </cell>
          <cell r="J2628" t="str">
            <v>06/17/2024</v>
          </cell>
          <cell r="K2628" t="str">
            <v>07/01/2024</v>
          </cell>
          <cell r="L2628">
            <v>50</v>
          </cell>
          <cell r="M2628" t="str">
            <v>6/13/2024 8:15:32 AM</v>
          </cell>
          <cell r="N2628" t="str">
            <v>27</v>
          </cell>
          <cell r="O2628">
            <v>50</v>
          </cell>
          <cell r="P2628">
            <v>1.46</v>
          </cell>
        </row>
        <row r="2629">
          <cell r="A2629" t="str">
            <v>6727904</v>
          </cell>
          <cell r="B2629" t="str">
            <v>1323317</v>
          </cell>
          <cell r="C2629" t="str">
            <v>6005-7-2-NP</v>
          </cell>
          <cell r="D2629" t="str">
            <v>6005</v>
          </cell>
          <cell r="E2629" t="str">
            <v>QUICK RELEASE PORTION OF LEG STRAP</v>
          </cell>
          <cell r="F2629" t="str">
            <v>DG-HARNESS-DTC</v>
          </cell>
          <cell r="G2629" t="str">
            <v>1420-210-FG</v>
          </cell>
          <cell r="H2629" t="str">
            <v>R</v>
          </cell>
          <cell r="I2629" t="str">
            <v>06/11/2024</v>
          </cell>
          <cell r="J2629" t="str">
            <v>06/17/2024</v>
          </cell>
          <cell r="K2629" t="str">
            <v>07/01/2024</v>
          </cell>
          <cell r="L2629">
            <v>50</v>
          </cell>
          <cell r="M2629" t="str">
            <v>6/13/2024 8:15:32 AM</v>
          </cell>
          <cell r="N2629" t="str">
            <v>27</v>
          </cell>
          <cell r="O2629">
            <v>50</v>
          </cell>
          <cell r="P2629">
            <v>1.46</v>
          </cell>
        </row>
        <row r="2630">
          <cell r="A2630" t="str">
            <v>6727905</v>
          </cell>
          <cell r="B2630" t="str">
            <v>1323317</v>
          </cell>
          <cell r="C2630" t="str">
            <v>6005-7-2-NP</v>
          </cell>
          <cell r="D2630" t="str">
            <v>6005</v>
          </cell>
          <cell r="E2630" t="str">
            <v>QUICK RELEASE PORTION OF LEG STRAP</v>
          </cell>
          <cell r="F2630" t="str">
            <v>DG-HARNESS-DTC</v>
          </cell>
          <cell r="G2630" t="str">
            <v>1420-210-FG</v>
          </cell>
          <cell r="H2630" t="str">
            <v>R</v>
          </cell>
          <cell r="I2630" t="str">
            <v>06/11/2024</v>
          </cell>
          <cell r="J2630" t="str">
            <v>06/17/2024</v>
          </cell>
          <cell r="K2630" t="str">
            <v>07/01/2024</v>
          </cell>
          <cell r="L2630">
            <v>50</v>
          </cell>
          <cell r="M2630" t="str">
            <v>6/13/2024 8:15:32 AM</v>
          </cell>
          <cell r="N2630" t="str">
            <v>27</v>
          </cell>
          <cell r="O2630">
            <v>50</v>
          </cell>
          <cell r="P2630">
            <v>1.46</v>
          </cell>
        </row>
        <row r="2631">
          <cell r="A2631" t="str">
            <v>6728326</v>
          </cell>
          <cell r="B2631" t="str">
            <v>1102563</v>
          </cell>
          <cell r="C2631" t="str">
            <v>761-5-2</v>
          </cell>
          <cell r="D2631" t="str">
            <v>761</v>
          </cell>
          <cell r="E2631" t="str">
            <v>RADIO CARRIER FORMED PCH ADJ</v>
          </cell>
          <cell r="F2631" t="str">
            <v>DG-POUCH-F1</v>
          </cell>
          <cell r="G2631" t="str">
            <v>1420-210-FG</v>
          </cell>
          <cell r="H2631" t="str">
            <v>F</v>
          </cell>
          <cell r="I2631" t="str">
            <v>06/11/2024</v>
          </cell>
          <cell r="J2631" t="str">
            <v>06/17/2024</v>
          </cell>
          <cell r="K2631" t="str">
            <v>07/01/2024</v>
          </cell>
          <cell r="L2631">
            <v>15</v>
          </cell>
          <cell r="M2631" t="str">
            <v/>
          </cell>
          <cell r="N2631" t="str">
            <v>27</v>
          </cell>
          <cell r="O2631">
            <v>15</v>
          </cell>
          <cell r="P2631">
            <v>5.25</v>
          </cell>
        </row>
        <row r="2632">
          <cell r="A2632" t="str">
            <v>6728329</v>
          </cell>
          <cell r="B2632" t="str">
            <v>1121716</v>
          </cell>
          <cell r="C2632" t="str">
            <v>761-5-41</v>
          </cell>
          <cell r="D2632" t="str">
            <v>761</v>
          </cell>
          <cell r="E2632" t="str">
            <v>RADIO CARRIER FORMED PCH ADJ</v>
          </cell>
          <cell r="F2632" t="str">
            <v>DG-POUCH-F1</v>
          </cell>
          <cell r="G2632" t="str">
            <v>1420-210-FG</v>
          </cell>
          <cell r="H2632" t="str">
            <v>F</v>
          </cell>
          <cell r="I2632" t="str">
            <v>06/11/2024</v>
          </cell>
          <cell r="J2632" t="str">
            <v>06/17/2024</v>
          </cell>
          <cell r="K2632" t="str">
            <v>07/01/2024</v>
          </cell>
          <cell r="L2632">
            <v>2</v>
          </cell>
          <cell r="M2632" t="str">
            <v/>
          </cell>
          <cell r="N2632" t="str">
            <v>27</v>
          </cell>
          <cell r="O2632">
            <v>2</v>
          </cell>
          <cell r="P2632">
            <v>0.76</v>
          </cell>
        </row>
        <row r="2633">
          <cell r="A2633" t="str">
            <v>6728327</v>
          </cell>
          <cell r="B2633" t="str">
            <v>1102633</v>
          </cell>
          <cell r="C2633" t="str">
            <v>762-5-2</v>
          </cell>
          <cell r="D2633" t="str">
            <v>762</v>
          </cell>
          <cell r="E2633" t="str">
            <v>RADIO CARRIER W/SWIVEL</v>
          </cell>
          <cell r="F2633" t="str">
            <v>DG-POUCH-F1</v>
          </cell>
          <cell r="G2633" t="str">
            <v>1420-210-FG</v>
          </cell>
          <cell r="H2633" t="str">
            <v>F</v>
          </cell>
          <cell r="I2633" t="str">
            <v>06/11/2024</v>
          </cell>
          <cell r="J2633" t="str">
            <v>06/17/2024</v>
          </cell>
          <cell r="K2633" t="str">
            <v>07/01/2024</v>
          </cell>
          <cell r="L2633">
            <v>17</v>
          </cell>
          <cell r="M2633" t="str">
            <v/>
          </cell>
          <cell r="N2633" t="str">
            <v>27</v>
          </cell>
          <cell r="O2633">
            <v>17</v>
          </cell>
          <cell r="P2633">
            <v>6.9</v>
          </cell>
        </row>
        <row r="2634">
          <cell r="A2634" t="str">
            <v>6727715</v>
          </cell>
          <cell r="B2634" t="str">
            <v>1016970</v>
          </cell>
          <cell r="C2634" t="str">
            <v>22217</v>
          </cell>
          <cell r="D2634" t="str">
            <v>7960</v>
          </cell>
          <cell r="E2634" t="str">
            <v>SAM BROWNE BELT BSK BLK SZ 32 CHROME</v>
          </cell>
          <cell r="F2634" t="str">
            <v>BN-BELT</v>
          </cell>
          <cell r="G2634" t="str">
            <v>1420-210-FG</v>
          </cell>
          <cell r="H2634" t="str">
            <v>F</v>
          </cell>
          <cell r="I2634" t="str">
            <v>06/11/2024</v>
          </cell>
          <cell r="J2634" t="str">
            <v>06/17/2024</v>
          </cell>
          <cell r="K2634" t="str">
            <v>07/01/2024</v>
          </cell>
          <cell r="L2634">
            <v>10</v>
          </cell>
          <cell r="M2634" t="str">
            <v/>
          </cell>
          <cell r="N2634" t="str">
            <v>27</v>
          </cell>
          <cell r="O2634">
            <v>10</v>
          </cell>
          <cell r="P2634">
            <v>1.91</v>
          </cell>
        </row>
        <row r="2635">
          <cell r="A2635" t="str">
            <v>6727740</v>
          </cell>
          <cell r="B2635" t="str">
            <v>1016972</v>
          </cell>
          <cell r="C2635" t="str">
            <v>22219</v>
          </cell>
          <cell r="D2635" t="str">
            <v>7960</v>
          </cell>
          <cell r="E2635" t="str">
            <v>SAM BROWNE BELT BSK BLK SZ 34 CHROME</v>
          </cell>
          <cell r="F2635" t="str">
            <v>BN-BELT</v>
          </cell>
          <cell r="G2635" t="str">
            <v>1420-210-FG</v>
          </cell>
          <cell r="H2635" t="str">
            <v>F</v>
          </cell>
          <cell r="I2635" t="str">
            <v>06/11/2024</v>
          </cell>
          <cell r="J2635" t="str">
            <v>06/17/2024</v>
          </cell>
          <cell r="K2635" t="str">
            <v>07/01/2024</v>
          </cell>
          <cell r="L2635">
            <v>25</v>
          </cell>
          <cell r="M2635" t="str">
            <v/>
          </cell>
          <cell r="N2635" t="str">
            <v>27</v>
          </cell>
          <cell r="O2635">
            <v>25</v>
          </cell>
          <cell r="P2635">
            <v>4.7699999999999996</v>
          </cell>
        </row>
        <row r="2636">
          <cell r="A2636" t="str">
            <v>6727741</v>
          </cell>
          <cell r="B2636" t="str">
            <v>1016976</v>
          </cell>
          <cell r="C2636" t="str">
            <v>22225</v>
          </cell>
          <cell r="D2636" t="str">
            <v>7960</v>
          </cell>
          <cell r="E2636" t="str">
            <v>SAM BROWNE BELT BSK BLK SZ 40 CHROME</v>
          </cell>
          <cell r="F2636" t="str">
            <v>BN-BELT</v>
          </cell>
          <cell r="G2636" t="str">
            <v>1420-210-FG</v>
          </cell>
          <cell r="H2636" t="str">
            <v>F</v>
          </cell>
          <cell r="I2636" t="str">
            <v>06/11/2024</v>
          </cell>
          <cell r="J2636" t="str">
            <v>06/17/2024</v>
          </cell>
          <cell r="K2636" t="str">
            <v>07/01/2024</v>
          </cell>
          <cell r="L2636">
            <v>25</v>
          </cell>
          <cell r="M2636" t="str">
            <v/>
          </cell>
          <cell r="N2636" t="str">
            <v>27</v>
          </cell>
          <cell r="O2636">
            <v>25</v>
          </cell>
          <cell r="P2636">
            <v>4.7699999999999996</v>
          </cell>
        </row>
        <row r="2637">
          <cell r="A2637" t="str">
            <v>6727717</v>
          </cell>
          <cell r="B2637" t="str">
            <v>1017020</v>
          </cell>
          <cell r="C2637" t="str">
            <v>22251</v>
          </cell>
          <cell r="D2637" t="str">
            <v>7960</v>
          </cell>
          <cell r="E2637" t="str">
            <v>SAM BROWNE BELT BSK BLK SZ 42 BRASS</v>
          </cell>
          <cell r="F2637" t="str">
            <v>BN-BELT</v>
          </cell>
          <cell r="G2637" t="str">
            <v>1420-210-FG</v>
          </cell>
          <cell r="H2637" t="str">
            <v>F</v>
          </cell>
          <cell r="I2637" t="str">
            <v>06/11/2024</v>
          </cell>
          <cell r="J2637" t="str">
            <v>06/17/2024</v>
          </cell>
          <cell r="K2637" t="str">
            <v>07/01/2024</v>
          </cell>
          <cell r="L2637">
            <v>8</v>
          </cell>
          <cell r="M2637" t="str">
            <v/>
          </cell>
          <cell r="N2637" t="str">
            <v>27</v>
          </cell>
          <cell r="O2637">
            <v>8</v>
          </cell>
          <cell r="P2637">
            <v>1.53</v>
          </cell>
        </row>
        <row r="2638">
          <cell r="A2638" t="str">
            <v>6727888</v>
          </cell>
          <cell r="B2638" t="str">
            <v>1324819</v>
          </cell>
          <cell r="C2638" t="str">
            <v>6009-10-2-NP</v>
          </cell>
          <cell r="D2638" t="str">
            <v>6009</v>
          </cell>
          <cell r="E2638" t="str">
            <v>SINGLE STRAP LEG SHROUD WITH D-RING</v>
          </cell>
          <cell r="F2638" t="str">
            <v>DG-HARNESS-DTC</v>
          </cell>
          <cell r="G2638" t="str">
            <v>1420-210-FG</v>
          </cell>
          <cell r="H2638" t="str">
            <v>R</v>
          </cell>
          <cell r="I2638" t="str">
            <v>06/11/2024</v>
          </cell>
          <cell r="J2638" t="str">
            <v>06/17/2024</v>
          </cell>
          <cell r="K2638" t="str">
            <v>07/01/2024</v>
          </cell>
          <cell r="L2638">
            <v>6</v>
          </cell>
          <cell r="M2638" t="str">
            <v>6/13/2024 8:15:32 AM</v>
          </cell>
          <cell r="N2638" t="str">
            <v>27</v>
          </cell>
          <cell r="O2638">
            <v>6</v>
          </cell>
          <cell r="P2638">
            <v>0.35</v>
          </cell>
        </row>
        <row r="2639">
          <cell r="A2639" t="str">
            <v>6728338</v>
          </cell>
          <cell r="B2639" t="str">
            <v>1137598</v>
          </cell>
          <cell r="C2639" t="str">
            <v>775-76-13</v>
          </cell>
          <cell r="D2639" t="str">
            <v>775</v>
          </cell>
          <cell r="E2639" t="str">
            <v>SLIMLINE OPEN-TOP TRIPLE MAGAZINE POUCH</v>
          </cell>
          <cell r="F2639" t="str">
            <v>DG-POUCH-F1</v>
          </cell>
          <cell r="G2639" t="str">
            <v>1420-210-FG</v>
          </cell>
          <cell r="H2639" t="str">
            <v>R</v>
          </cell>
          <cell r="I2639" t="str">
            <v>06/11/2024</v>
          </cell>
          <cell r="J2639" t="str">
            <v>06/17/2024</v>
          </cell>
          <cell r="K2639" t="str">
            <v>07/01/2024</v>
          </cell>
          <cell r="L2639">
            <v>5</v>
          </cell>
          <cell r="M2639" t="str">
            <v>6/12/2024 11:19:14 AM</v>
          </cell>
          <cell r="N2639" t="str">
            <v>27</v>
          </cell>
          <cell r="O2639">
            <v>5</v>
          </cell>
          <cell r="P2639">
            <v>1.82</v>
          </cell>
        </row>
        <row r="2640">
          <cell r="A2640" t="str">
            <v>6727896</v>
          </cell>
          <cell r="B2640" t="str">
            <v>1134083</v>
          </cell>
          <cell r="C2640" t="str">
            <v>6004-27-56</v>
          </cell>
          <cell r="D2640" t="str">
            <v>6004</v>
          </cell>
          <cell r="E2640" t="str">
            <v>SMALL TACTICAL PLATE W/DFA QLS RECEIVER</v>
          </cell>
          <cell r="F2640" t="str">
            <v>DG-HARNESS-DTC</v>
          </cell>
          <cell r="G2640" t="str">
            <v>1420-210-FG</v>
          </cell>
          <cell r="H2640" t="str">
            <v>F</v>
          </cell>
          <cell r="I2640" t="str">
            <v>06/11/2024</v>
          </cell>
          <cell r="J2640" t="str">
            <v>06/17/2024</v>
          </cell>
          <cell r="K2640" t="str">
            <v>07/01/2024</v>
          </cell>
          <cell r="L2640">
            <v>25</v>
          </cell>
          <cell r="M2640" t="str">
            <v/>
          </cell>
          <cell r="N2640" t="str">
            <v>27</v>
          </cell>
          <cell r="O2640">
            <v>25</v>
          </cell>
          <cell r="P2640">
            <v>1.93</v>
          </cell>
        </row>
        <row r="2641">
          <cell r="A2641" t="str">
            <v>6727883</v>
          </cell>
          <cell r="B2641" t="str">
            <v>1122835</v>
          </cell>
          <cell r="C2641" t="str">
            <v>6005-10-55</v>
          </cell>
          <cell r="D2641" t="str">
            <v>6005</v>
          </cell>
          <cell r="E2641" t="str">
            <v>SML TACTICAL LEG PLATE/W BUCKLE</v>
          </cell>
          <cell r="F2641" t="str">
            <v>DG-HARNESS-DTC</v>
          </cell>
          <cell r="G2641" t="str">
            <v>1420-210-FG</v>
          </cell>
          <cell r="H2641" t="str">
            <v>F</v>
          </cell>
          <cell r="I2641" t="str">
            <v>06/11/2024</v>
          </cell>
          <cell r="J2641" t="str">
            <v>06/17/2024</v>
          </cell>
          <cell r="K2641" t="str">
            <v>07/01/2024</v>
          </cell>
          <cell r="L2641">
            <v>5</v>
          </cell>
          <cell r="M2641" t="str">
            <v/>
          </cell>
          <cell r="N2641" t="str">
            <v>27</v>
          </cell>
          <cell r="O2641">
            <v>5</v>
          </cell>
          <cell r="P2641">
            <v>0.28999999999999998</v>
          </cell>
        </row>
        <row r="2642">
          <cell r="A2642" t="str">
            <v>6727968</v>
          </cell>
          <cell r="B2642" t="str">
            <v>1335763</v>
          </cell>
          <cell r="C2642" t="str">
            <v>20-895-711</v>
          </cell>
          <cell r="D2642" t="str">
            <v>SPECIES</v>
          </cell>
          <cell r="E2642" t="str">
            <v>SPECIES GLOCK 43/43X COR BKMCAM RH</v>
          </cell>
          <cell r="F2642" t="str">
            <v>DG-HOLSTER</v>
          </cell>
          <cell r="G2642" t="str">
            <v>1420-210-FG</v>
          </cell>
          <cell r="H2642" t="str">
            <v>F</v>
          </cell>
          <cell r="I2642" t="str">
            <v>06/11/2024</v>
          </cell>
          <cell r="J2642" t="str">
            <v>06/17/2024</v>
          </cell>
          <cell r="K2642" t="str">
            <v>07/01/2024</v>
          </cell>
          <cell r="L2642">
            <v>2</v>
          </cell>
          <cell r="M2642" t="str">
            <v/>
          </cell>
          <cell r="N2642" t="str">
            <v>27</v>
          </cell>
          <cell r="O2642">
            <v>2</v>
          </cell>
          <cell r="P2642">
            <v>0.39</v>
          </cell>
        </row>
        <row r="2643">
          <cell r="A2643" t="str">
            <v>6727974</v>
          </cell>
          <cell r="B2643" t="str">
            <v>1335811</v>
          </cell>
          <cell r="C2643" t="str">
            <v>20-896-711</v>
          </cell>
          <cell r="D2643" t="str">
            <v>SPECIES</v>
          </cell>
          <cell r="E2643" t="str">
            <v>SPECIES GLOCK 48 COR BKMCAM RH</v>
          </cell>
          <cell r="F2643" t="str">
            <v>DG-HOLSTER</v>
          </cell>
          <cell r="G2643" t="str">
            <v>1420-210-FG</v>
          </cell>
          <cell r="H2643" t="str">
            <v>F</v>
          </cell>
          <cell r="I2643" t="str">
            <v>06/11/2024</v>
          </cell>
          <cell r="J2643" t="str">
            <v>06/17/2024</v>
          </cell>
          <cell r="K2643" t="str">
            <v>07/01/2024</v>
          </cell>
          <cell r="L2643">
            <v>1</v>
          </cell>
          <cell r="M2643" t="str">
            <v/>
          </cell>
          <cell r="N2643" t="str">
            <v>27</v>
          </cell>
          <cell r="O2643">
            <v>1</v>
          </cell>
          <cell r="P2643">
            <v>0.2</v>
          </cell>
        </row>
        <row r="2644">
          <cell r="A2644" t="str">
            <v>6727975</v>
          </cell>
          <cell r="B2644" t="str">
            <v>1336280</v>
          </cell>
          <cell r="C2644" t="str">
            <v>20-365-711</v>
          </cell>
          <cell r="D2644" t="str">
            <v>SPECIES</v>
          </cell>
          <cell r="E2644" t="str">
            <v>SPECIES P365 COR BKMCAM RH</v>
          </cell>
          <cell r="F2644" t="str">
            <v>DG-HOLSTER</v>
          </cell>
          <cell r="G2644" t="str">
            <v>1420-210-FG</v>
          </cell>
          <cell r="H2644" t="str">
            <v>F</v>
          </cell>
          <cell r="I2644" t="str">
            <v>06/11/2024</v>
          </cell>
          <cell r="J2644" t="str">
            <v>06/17/2024</v>
          </cell>
          <cell r="K2644" t="str">
            <v>07/01/2024</v>
          </cell>
          <cell r="L2644">
            <v>2</v>
          </cell>
          <cell r="M2644" t="str">
            <v/>
          </cell>
          <cell r="N2644" t="str">
            <v>27</v>
          </cell>
          <cell r="O2644">
            <v>2</v>
          </cell>
          <cell r="P2644">
            <v>0.39</v>
          </cell>
        </row>
        <row r="2645">
          <cell r="A2645" t="str">
            <v>6728342</v>
          </cell>
          <cell r="B2645" t="str">
            <v>1331273</v>
          </cell>
          <cell r="C2645" t="str">
            <v>78-83-23PBL-MSA</v>
          </cell>
          <cell r="D2645" t="str">
            <v>78</v>
          </cell>
          <cell r="E2645" t="str">
            <v>78 GLOCK 17/22 STX TAC BLK</v>
          </cell>
          <cell r="F2645" t="str">
            <v>DG-POUCH-F1</v>
          </cell>
          <cell r="G2645" t="str">
            <v>1420-210-FG</v>
          </cell>
          <cell r="H2645" t="str">
            <v>R</v>
          </cell>
          <cell r="I2645" t="str">
            <v>06/11/2024</v>
          </cell>
          <cell r="J2645" t="str">
            <v>06/18/2024</v>
          </cell>
          <cell r="K2645" t="str">
            <v>07/02/2024</v>
          </cell>
          <cell r="L2645">
            <v>10</v>
          </cell>
          <cell r="M2645" t="str">
            <v>6/12/2024 11:19:47 AM</v>
          </cell>
          <cell r="N2645" t="str">
            <v>27</v>
          </cell>
          <cell r="O2645">
            <v>10</v>
          </cell>
          <cell r="P2645">
            <v>3.8</v>
          </cell>
        </row>
        <row r="2646">
          <cell r="A2646" t="str">
            <v>6725973</v>
          </cell>
          <cell r="B2646" t="str">
            <v>1016195</v>
          </cell>
          <cell r="C2646" t="str">
            <v>18457</v>
          </cell>
          <cell r="D2646" t="str">
            <v>7311</v>
          </cell>
          <cell r="E2646" t="str">
            <v>COMPACT LIGHT POUCH BLK SZ 2 HIDDEN</v>
          </cell>
          <cell r="F2646" t="str">
            <v>BN-POUCH</v>
          </cell>
          <cell r="G2646" t="str">
            <v>1420-210-FG</v>
          </cell>
          <cell r="H2646" t="str">
            <v>R</v>
          </cell>
          <cell r="I2646" t="str">
            <v>06/07/2024</v>
          </cell>
          <cell r="J2646" t="str">
            <v>06/18/2024</v>
          </cell>
          <cell r="K2646" t="str">
            <v>07/02/2024</v>
          </cell>
          <cell r="L2646">
            <v>10</v>
          </cell>
          <cell r="M2646" t="str">
            <v>6/7/2024 11:33:58 AM</v>
          </cell>
          <cell r="N2646" t="str">
            <v>27</v>
          </cell>
          <cell r="O2646">
            <v>10</v>
          </cell>
          <cell r="P2646">
            <v>1.4</v>
          </cell>
        </row>
        <row r="2647">
          <cell r="A2647" t="str">
            <v>6728450</v>
          </cell>
          <cell r="B2647" t="str">
            <v>1018225</v>
          </cell>
          <cell r="C2647" t="str">
            <v>31300</v>
          </cell>
          <cell r="D2647" t="str">
            <v>8000</v>
          </cell>
          <cell r="E2647" t="str">
            <v>COVERED HANDCUFF CASE BLK SZ 2 HIDDEN</v>
          </cell>
          <cell r="F2647" t="str">
            <v>BN-POUCH</v>
          </cell>
          <cell r="G2647" t="str">
            <v>1420-210-FG</v>
          </cell>
          <cell r="H2647" t="str">
            <v>F</v>
          </cell>
          <cell r="I2647" t="str">
            <v>06/11/2024</v>
          </cell>
          <cell r="J2647" t="str">
            <v>06/11/2024</v>
          </cell>
          <cell r="K2647" t="str">
            <v>07/02/2024</v>
          </cell>
          <cell r="L2647">
            <v>50</v>
          </cell>
          <cell r="M2647" t="str">
            <v/>
          </cell>
          <cell r="N2647" t="str">
            <v>27</v>
          </cell>
          <cell r="O2647">
            <v>50</v>
          </cell>
          <cell r="P2647">
            <v>10.93</v>
          </cell>
        </row>
        <row r="2648">
          <cell r="A2648" t="str">
            <v>6728368</v>
          </cell>
          <cell r="B2648" t="str">
            <v>1166708</v>
          </cell>
          <cell r="C2648" t="str">
            <v>MH6005-FDE</v>
          </cell>
          <cell r="D2648" t="str">
            <v>MH6005</v>
          </cell>
          <cell r="E2648" t="str">
            <v>DETACHABLE HRNSS /DOUBLE ELSTIC 6005 FDE</v>
          </cell>
          <cell r="F2648" t="str">
            <v>DG-HARNESS</v>
          </cell>
          <cell r="G2648" t="str">
            <v>1420-210-SB</v>
          </cell>
          <cell r="H2648" t="str">
            <v>F</v>
          </cell>
          <cell r="I2648" t="str">
            <v>06/11/2024</v>
          </cell>
          <cell r="J2648" t="str">
            <v>06/18/2024</v>
          </cell>
          <cell r="K2648" t="str">
            <v>07/02/2024</v>
          </cell>
          <cell r="L2648">
            <v>1</v>
          </cell>
          <cell r="M2648" t="str">
            <v/>
          </cell>
          <cell r="N2648" t="str">
            <v>27</v>
          </cell>
          <cell r="O2648">
            <v>1</v>
          </cell>
          <cell r="P2648">
            <v>0.28999999999999998</v>
          </cell>
        </row>
        <row r="2649">
          <cell r="A2649" t="str">
            <v>6728504</v>
          </cell>
          <cell r="B2649" t="str">
            <v>1196550</v>
          </cell>
          <cell r="C2649" t="str">
            <v>27202</v>
          </cell>
          <cell r="D2649" t="str">
            <v>101</v>
          </cell>
          <cell r="E2649" t="str">
            <v>FOLDAWAY SET RH SZ10/16  BLK WALMART</v>
          </cell>
          <cell r="F2649" t="str">
            <v>BN-LEATHER</v>
          </cell>
          <cell r="G2649" t="str">
            <v>1420-210-FG</v>
          </cell>
          <cell r="H2649" t="str">
            <v>R</v>
          </cell>
          <cell r="I2649" t="str">
            <v>06/11/2024</v>
          </cell>
          <cell r="J2649" t="str">
            <v>06/11/2024</v>
          </cell>
          <cell r="K2649" t="str">
            <v>07/02/2024</v>
          </cell>
          <cell r="L2649">
            <v>60</v>
          </cell>
          <cell r="M2649" t="str">
            <v>6/11/2024 3:35:24 PM</v>
          </cell>
          <cell r="N2649" t="str">
            <v>27</v>
          </cell>
          <cell r="O2649">
            <v>60</v>
          </cell>
          <cell r="P2649">
            <v>17.32</v>
          </cell>
        </row>
        <row r="2650">
          <cell r="A2650" t="str">
            <v>6728505</v>
          </cell>
          <cell r="B2650" t="str">
            <v>1196550</v>
          </cell>
          <cell r="C2650" t="str">
            <v>27202</v>
          </cell>
          <cell r="D2650" t="str">
            <v>101</v>
          </cell>
          <cell r="E2650" t="str">
            <v>FOLDAWAY SET RH SZ10/16  BLK WALMART</v>
          </cell>
          <cell r="F2650" t="str">
            <v>BN-LEATHER</v>
          </cell>
          <cell r="G2650" t="str">
            <v>1420-210-FG</v>
          </cell>
          <cell r="H2650" t="str">
            <v>R</v>
          </cell>
          <cell r="I2650" t="str">
            <v>06/11/2024</v>
          </cell>
          <cell r="J2650" t="str">
            <v>06/11/2024</v>
          </cell>
          <cell r="K2650" t="str">
            <v>07/02/2024</v>
          </cell>
          <cell r="L2650">
            <v>60</v>
          </cell>
          <cell r="M2650" t="str">
            <v>6/11/2024 3:35:24 PM</v>
          </cell>
          <cell r="N2650" t="str">
            <v>27</v>
          </cell>
          <cell r="O2650">
            <v>60</v>
          </cell>
          <cell r="P2650">
            <v>17.32</v>
          </cell>
        </row>
        <row r="2651">
          <cell r="A2651" t="str">
            <v>6728508</v>
          </cell>
          <cell r="B2651" t="str">
            <v>1196550</v>
          </cell>
          <cell r="C2651" t="str">
            <v>27202</v>
          </cell>
          <cell r="D2651" t="str">
            <v>101</v>
          </cell>
          <cell r="E2651" t="str">
            <v>FOLDAWAY SET RH SZ10/16  BLK WALMART</v>
          </cell>
          <cell r="F2651" t="str">
            <v>BN-LEATHER</v>
          </cell>
          <cell r="G2651" t="str">
            <v>1420-210-FG</v>
          </cell>
          <cell r="H2651" t="str">
            <v>R</v>
          </cell>
          <cell r="I2651" t="str">
            <v>06/11/2024</v>
          </cell>
          <cell r="J2651" t="str">
            <v>06/11/2024</v>
          </cell>
          <cell r="K2651" t="str">
            <v>07/02/2024</v>
          </cell>
          <cell r="L2651">
            <v>60</v>
          </cell>
          <cell r="M2651" t="str">
            <v>6/11/2024 3:35:24 PM</v>
          </cell>
          <cell r="N2651" t="str">
            <v>27</v>
          </cell>
          <cell r="O2651">
            <v>60</v>
          </cell>
          <cell r="P2651">
            <v>17.32</v>
          </cell>
        </row>
        <row r="2652">
          <cell r="A2652" t="str">
            <v>6728509</v>
          </cell>
          <cell r="B2652" t="str">
            <v>1196550</v>
          </cell>
          <cell r="C2652" t="str">
            <v>27202</v>
          </cell>
          <cell r="D2652" t="str">
            <v>101</v>
          </cell>
          <cell r="E2652" t="str">
            <v>FOLDAWAY SET RH SZ10/16  BLK WALMART</v>
          </cell>
          <cell r="F2652" t="str">
            <v>BN-LEATHER</v>
          </cell>
          <cell r="G2652" t="str">
            <v>1420-210-FG</v>
          </cell>
          <cell r="H2652" t="str">
            <v>R</v>
          </cell>
          <cell r="I2652" t="str">
            <v>06/11/2024</v>
          </cell>
          <cell r="J2652" t="str">
            <v>06/11/2024</v>
          </cell>
          <cell r="K2652" t="str">
            <v>07/02/2024</v>
          </cell>
          <cell r="L2652">
            <v>60</v>
          </cell>
          <cell r="M2652" t="str">
            <v>6/11/2024 3:35:24 PM</v>
          </cell>
          <cell r="N2652" t="str">
            <v>27</v>
          </cell>
          <cell r="O2652">
            <v>60</v>
          </cell>
          <cell r="P2652">
            <v>17.32</v>
          </cell>
        </row>
        <row r="2653">
          <cell r="A2653" t="str">
            <v>6727795</v>
          </cell>
          <cell r="B2653" t="str">
            <v>1029452</v>
          </cell>
          <cell r="C2653" t="str">
            <v>31306</v>
          </cell>
          <cell r="D2653" t="str">
            <v>8007</v>
          </cell>
          <cell r="E2653" t="str">
            <v>OC/MACE SPRAY POUCH BLK LRG HIDDEN</v>
          </cell>
          <cell r="F2653" t="str">
            <v>BN-POUCH</v>
          </cell>
          <cell r="G2653" t="str">
            <v>1420-210-FG</v>
          </cell>
          <cell r="H2653" t="str">
            <v>F</v>
          </cell>
          <cell r="I2653" t="str">
            <v>06/11/2024</v>
          </cell>
          <cell r="J2653" t="str">
            <v>06/18/2024</v>
          </cell>
          <cell r="K2653" t="str">
            <v>07/02/2024</v>
          </cell>
          <cell r="L2653">
            <v>14</v>
          </cell>
          <cell r="M2653" t="str">
            <v/>
          </cell>
          <cell r="N2653" t="str">
            <v>27</v>
          </cell>
          <cell r="O2653">
            <v>14</v>
          </cell>
          <cell r="P2653">
            <v>2.38</v>
          </cell>
        </row>
        <row r="2654">
          <cell r="A2654" t="str">
            <v>6728500</v>
          </cell>
          <cell r="B2654" t="str">
            <v>1196550</v>
          </cell>
          <cell r="C2654" t="str">
            <v>27202</v>
          </cell>
          <cell r="D2654" t="str">
            <v>101</v>
          </cell>
          <cell r="E2654" t="str">
            <v>FOLDAWAY SET RH SZ10/16  BLK WALMART</v>
          </cell>
          <cell r="F2654" t="str">
            <v>BN-LEATHER</v>
          </cell>
          <cell r="G2654" t="str">
            <v>1420-210-FG</v>
          </cell>
          <cell r="H2654" t="str">
            <v>R</v>
          </cell>
          <cell r="I2654" t="str">
            <v>06/11/2024</v>
          </cell>
          <cell r="J2654" t="str">
            <v>06/11/2024</v>
          </cell>
          <cell r="K2654" t="str">
            <v>07/03/2024</v>
          </cell>
          <cell r="L2654">
            <v>60</v>
          </cell>
          <cell r="M2654" t="str">
            <v>6/11/2024 3:35:24 PM</v>
          </cell>
          <cell r="N2654" t="str">
            <v>27</v>
          </cell>
          <cell r="O2654">
            <v>60</v>
          </cell>
          <cell r="P2654">
            <v>17.32</v>
          </cell>
        </row>
        <row r="2655">
          <cell r="A2655" t="str">
            <v>6728394</v>
          </cell>
          <cell r="B2655" t="str">
            <v>1099520</v>
          </cell>
          <cell r="C2655" t="str">
            <v>306-1-9</v>
          </cell>
          <cell r="D2655" t="str">
            <v>306</v>
          </cell>
          <cell r="E2655" t="str">
            <v>306 STRMLGT STINGER HI GLS BLK</v>
          </cell>
          <cell r="F2655" t="str">
            <v>DG-POUCH-F1</v>
          </cell>
          <cell r="G2655" t="str">
            <v>1420-210-FG</v>
          </cell>
          <cell r="H2655" t="str">
            <v>F</v>
          </cell>
          <cell r="I2655" t="str">
            <v>06/11/2024</v>
          </cell>
          <cell r="J2655" t="str">
            <v>06/21/2024</v>
          </cell>
          <cell r="K2655" t="str">
            <v>07/05/2024</v>
          </cell>
          <cell r="L2655">
            <v>5</v>
          </cell>
          <cell r="M2655" t="str">
            <v/>
          </cell>
          <cell r="N2655" t="str">
            <v>27</v>
          </cell>
          <cell r="O2655">
            <v>5</v>
          </cell>
          <cell r="P2655">
            <v>1.89</v>
          </cell>
        </row>
        <row r="2656">
          <cell r="A2656" t="str">
            <v>6728439</v>
          </cell>
          <cell r="B2656" t="str">
            <v>1123198</v>
          </cell>
          <cell r="C2656" t="str">
            <v>75-83-2</v>
          </cell>
          <cell r="D2656" t="str">
            <v>75</v>
          </cell>
          <cell r="E2656" t="str">
            <v>75 GLOCK 17/22 PLN BLK</v>
          </cell>
          <cell r="F2656" t="str">
            <v>DG-POUCH-F1</v>
          </cell>
          <cell r="G2656" t="str">
            <v>1420-210-FG</v>
          </cell>
          <cell r="H2656" t="str">
            <v>R</v>
          </cell>
          <cell r="I2656" t="str">
            <v>06/11/2024</v>
          </cell>
          <cell r="J2656" t="str">
            <v>06/21/2024</v>
          </cell>
          <cell r="K2656" t="str">
            <v>07/05/2024</v>
          </cell>
          <cell r="L2656">
            <v>15</v>
          </cell>
          <cell r="M2656" t="str">
            <v>6/12/2024 11:23:18 AM</v>
          </cell>
          <cell r="N2656" t="str">
            <v>27</v>
          </cell>
          <cell r="O2656">
            <v>15</v>
          </cell>
          <cell r="P2656">
            <v>3.41</v>
          </cell>
        </row>
        <row r="2657">
          <cell r="A2657" t="str">
            <v>6728413</v>
          </cell>
          <cell r="B2657" t="str">
            <v>1112684</v>
          </cell>
          <cell r="C2657" t="str">
            <v>77-83-48PBL</v>
          </cell>
          <cell r="D2657" t="str">
            <v>77</v>
          </cell>
          <cell r="E2657" t="str">
            <v>77 GLOCK 17/22 STX BSK BLK</v>
          </cell>
          <cell r="F2657" t="str">
            <v>DG-POUCH-F1</v>
          </cell>
          <cell r="G2657" t="str">
            <v>1420-210-FG</v>
          </cell>
          <cell r="H2657" t="str">
            <v>R</v>
          </cell>
          <cell r="I2657" t="str">
            <v>06/11/2024</v>
          </cell>
          <cell r="J2657" t="str">
            <v>06/21/2024</v>
          </cell>
          <cell r="K2657" t="str">
            <v>07/05/2024</v>
          </cell>
          <cell r="L2657">
            <v>10</v>
          </cell>
          <cell r="M2657" t="str">
            <v>6/12/2024 11:28:11 AM</v>
          </cell>
          <cell r="N2657" t="str">
            <v>27</v>
          </cell>
          <cell r="O2657">
            <v>10</v>
          </cell>
          <cell r="P2657">
            <v>3.98</v>
          </cell>
        </row>
        <row r="2658">
          <cell r="A2658" t="str">
            <v>6728454</v>
          </cell>
          <cell r="B2658" t="str">
            <v>1018229</v>
          </cell>
          <cell r="C2658" t="str">
            <v>31304</v>
          </cell>
          <cell r="D2658" t="str">
            <v>8006</v>
          </cell>
          <cell r="E2658" t="str">
            <v>8006 BELT KEEPER PTK 4PK BLK 2IN</v>
          </cell>
          <cell r="F2658" t="str">
            <v>BN-KEEPER</v>
          </cell>
          <cell r="G2658" t="str">
            <v>1420-210-FG</v>
          </cell>
          <cell r="H2658" t="str">
            <v>F</v>
          </cell>
          <cell r="I2658" t="str">
            <v>06/11/2024</v>
          </cell>
          <cell r="J2658" t="str">
            <v>06/21/2024</v>
          </cell>
          <cell r="K2658" t="str">
            <v>07/05/2024</v>
          </cell>
          <cell r="L2658">
            <v>25</v>
          </cell>
          <cell r="M2658" t="str">
            <v/>
          </cell>
          <cell r="N2658" t="str">
            <v>27</v>
          </cell>
          <cell r="O2658">
            <v>25</v>
          </cell>
          <cell r="P2658">
            <v>1.24</v>
          </cell>
        </row>
        <row r="2659">
          <cell r="A2659" t="str">
            <v>6728414</v>
          </cell>
          <cell r="B2659" t="str">
            <v>1102599</v>
          </cell>
          <cell r="C2659" t="str">
            <v>87-36-8B</v>
          </cell>
          <cell r="D2659" t="str">
            <v>87</v>
          </cell>
          <cell r="E2659" t="str">
            <v>87 SZ36 BSK BLK</v>
          </cell>
          <cell r="F2659" t="str">
            <v>DG-BELT</v>
          </cell>
          <cell r="G2659" t="str">
            <v>1420-210-FG</v>
          </cell>
          <cell r="H2659" t="str">
            <v>R</v>
          </cell>
          <cell r="I2659" t="str">
            <v>06/11/2024</v>
          </cell>
          <cell r="J2659" t="str">
            <v>06/21/2024</v>
          </cell>
          <cell r="K2659" t="str">
            <v>07/05/2024</v>
          </cell>
          <cell r="L2659">
            <v>10</v>
          </cell>
          <cell r="M2659" t="str">
            <v>6/13/2024 12:33:50 PM</v>
          </cell>
          <cell r="N2659" t="str">
            <v>27</v>
          </cell>
          <cell r="O2659">
            <v>10</v>
          </cell>
          <cell r="P2659">
            <v>3.98</v>
          </cell>
        </row>
        <row r="2660">
          <cell r="A2660" t="str">
            <v>6728431</v>
          </cell>
          <cell r="B2660" t="str">
            <v>1102751</v>
          </cell>
          <cell r="C2660" t="str">
            <v>87-42-9B</v>
          </cell>
          <cell r="D2660" t="str">
            <v>87</v>
          </cell>
          <cell r="E2660" t="str">
            <v>87 SZ42 HGS BLK</v>
          </cell>
          <cell r="F2660" t="str">
            <v>DG-BELT</v>
          </cell>
          <cell r="G2660" t="str">
            <v>1420-210-FG</v>
          </cell>
          <cell r="H2660" t="str">
            <v>R</v>
          </cell>
          <cell r="I2660" t="str">
            <v>06/11/2024</v>
          </cell>
          <cell r="J2660" t="str">
            <v>06/21/2024</v>
          </cell>
          <cell r="K2660" t="str">
            <v>07/05/2024</v>
          </cell>
          <cell r="L2660">
            <v>5</v>
          </cell>
          <cell r="M2660" t="str">
            <v>6/13/2024 12:33:50 PM</v>
          </cell>
          <cell r="N2660" t="str">
            <v>27</v>
          </cell>
          <cell r="O2660">
            <v>5</v>
          </cell>
          <cell r="P2660">
            <v>1.95</v>
          </cell>
        </row>
        <row r="2661">
          <cell r="A2661" t="str">
            <v>6728417</v>
          </cell>
          <cell r="B2661" t="str">
            <v>1016195</v>
          </cell>
          <cell r="C2661" t="str">
            <v>18457</v>
          </cell>
          <cell r="D2661" t="str">
            <v>7311</v>
          </cell>
          <cell r="E2661" t="str">
            <v>COMPACT LIGHT POUCH BLK SZ 2 HIDDEN</v>
          </cell>
          <cell r="F2661" t="str">
            <v>BN-POUCH</v>
          </cell>
          <cell r="G2661" t="str">
            <v>1420-210-FG</v>
          </cell>
          <cell r="H2661" t="str">
            <v>F</v>
          </cell>
          <cell r="I2661" t="str">
            <v>06/11/2024</v>
          </cell>
          <cell r="J2661" t="str">
            <v>06/21/2024</v>
          </cell>
          <cell r="K2661" t="str">
            <v>07/05/2024</v>
          </cell>
          <cell r="L2661">
            <v>10</v>
          </cell>
          <cell r="M2661" t="str">
            <v/>
          </cell>
          <cell r="N2661" t="str">
            <v>27</v>
          </cell>
          <cell r="O2661">
            <v>10</v>
          </cell>
          <cell r="P2661">
            <v>1.4</v>
          </cell>
        </row>
        <row r="2662">
          <cell r="A2662" t="str">
            <v>6728442</v>
          </cell>
          <cell r="B2662" t="str">
            <v>1098091</v>
          </cell>
          <cell r="C2662" t="str">
            <v>290-2HS</v>
          </cell>
          <cell r="D2662" t="str">
            <v>290</v>
          </cell>
          <cell r="E2662" t="str">
            <v>DBL CUFF POUCHTOP FLAP</v>
          </cell>
          <cell r="F2662" t="str">
            <v>DG-POUCH-F1</v>
          </cell>
          <cell r="G2662" t="str">
            <v>1420-210-FG</v>
          </cell>
          <cell r="H2662" t="str">
            <v>F</v>
          </cell>
          <cell r="I2662" t="str">
            <v>06/11/2024</v>
          </cell>
          <cell r="J2662" t="str">
            <v>06/21/2024</v>
          </cell>
          <cell r="K2662" t="str">
            <v>07/05/2024</v>
          </cell>
          <cell r="L2662">
            <v>15</v>
          </cell>
          <cell r="M2662" t="str">
            <v/>
          </cell>
          <cell r="N2662" t="str">
            <v>27</v>
          </cell>
          <cell r="O2662">
            <v>15</v>
          </cell>
          <cell r="P2662">
            <v>7.17</v>
          </cell>
        </row>
        <row r="2663">
          <cell r="A2663" t="str">
            <v>6728408</v>
          </cell>
          <cell r="B2663" t="str">
            <v>1123272</v>
          </cell>
          <cell r="C2663" t="str">
            <v>75-76-13</v>
          </cell>
          <cell r="D2663" t="str">
            <v>75</v>
          </cell>
          <cell r="E2663" t="str">
            <v>DOUBLE MAG POUCH W/O FLAPS</v>
          </cell>
          <cell r="F2663" t="str">
            <v>DG-POUCH-F1</v>
          </cell>
          <cell r="G2663" t="str">
            <v>1420-210-FG</v>
          </cell>
          <cell r="H2663" t="str">
            <v>R</v>
          </cell>
          <cell r="I2663" t="str">
            <v>06/11/2024</v>
          </cell>
          <cell r="J2663" t="str">
            <v>06/21/2024</v>
          </cell>
          <cell r="K2663" t="str">
            <v>07/05/2024</v>
          </cell>
          <cell r="L2663">
            <v>10</v>
          </cell>
          <cell r="M2663" t="str">
            <v>6/12/2024 11:22:33 AM</v>
          </cell>
          <cell r="N2663" t="str">
            <v>27</v>
          </cell>
          <cell r="O2663">
            <v>10</v>
          </cell>
          <cell r="P2663">
            <v>2.2799999999999998</v>
          </cell>
        </row>
        <row r="2664">
          <cell r="A2664" t="str">
            <v>6727580</v>
          </cell>
          <cell r="B2664" t="str">
            <v>1183295</v>
          </cell>
          <cell r="C2664" t="str">
            <v>MH6004-8-BLK</v>
          </cell>
          <cell r="D2664" t="str">
            <v>MH6004</v>
          </cell>
          <cell r="E2664" t="str">
            <v>H6004-8 HARNESS BLK</v>
          </cell>
          <cell r="F2664" t="str">
            <v>DG-POUCH-F2-F3</v>
          </cell>
          <cell r="G2664" t="str">
            <v>1420-210-SB</v>
          </cell>
          <cell r="H2664" t="str">
            <v>R</v>
          </cell>
          <cell r="I2664" t="str">
            <v>06/11/2024</v>
          </cell>
          <cell r="J2664" t="str">
            <v>06/21/2024</v>
          </cell>
          <cell r="K2664" t="str">
            <v>07/05/2024</v>
          </cell>
          <cell r="L2664">
            <v>50</v>
          </cell>
          <cell r="M2664" t="str">
            <v>6/11/2024 10:03:20 AM</v>
          </cell>
          <cell r="N2664" t="str">
            <v>27</v>
          </cell>
          <cell r="O2664">
            <v>50</v>
          </cell>
          <cell r="P2664">
            <v>1.97</v>
          </cell>
        </row>
        <row r="2665">
          <cell r="A2665" t="str">
            <v>6727581</v>
          </cell>
          <cell r="B2665" t="str">
            <v>1183295</v>
          </cell>
          <cell r="C2665" t="str">
            <v>MH6004-8-BLK</v>
          </cell>
          <cell r="D2665" t="str">
            <v>MH6004</v>
          </cell>
          <cell r="E2665" t="str">
            <v>H6004-8 HARNESS BLK</v>
          </cell>
          <cell r="F2665" t="str">
            <v>DG-POUCH-F2-F3</v>
          </cell>
          <cell r="G2665" t="str">
            <v>1420-210-SB</v>
          </cell>
          <cell r="H2665" t="str">
            <v>R</v>
          </cell>
          <cell r="I2665" t="str">
            <v>06/11/2024</v>
          </cell>
          <cell r="J2665" t="str">
            <v>06/21/2024</v>
          </cell>
          <cell r="K2665" t="str">
            <v>07/05/2024</v>
          </cell>
          <cell r="L2665">
            <v>50</v>
          </cell>
          <cell r="M2665" t="str">
            <v>6/11/2024 10:03:20 AM</v>
          </cell>
          <cell r="N2665" t="str">
            <v>27</v>
          </cell>
          <cell r="O2665">
            <v>50</v>
          </cell>
          <cell r="P2665">
            <v>1.97</v>
          </cell>
        </row>
        <row r="2666">
          <cell r="A2666" t="str">
            <v>6727582</v>
          </cell>
          <cell r="B2666" t="str">
            <v>1183295</v>
          </cell>
          <cell r="C2666" t="str">
            <v>MH6004-8-BLK</v>
          </cell>
          <cell r="D2666" t="str">
            <v>MH6004</v>
          </cell>
          <cell r="E2666" t="str">
            <v>H6004-8 HARNESS BLK</v>
          </cell>
          <cell r="F2666" t="str">
            <v>DG-POUCH-F2-F3</v>
          </cell>
          <cell r="G2666" t="str">
            <v>1420-210-SB</v>
          </cell>
          <cell r="H2666" t="str">
            <v>R</v>
          </cell>
          <cell r="I2666" t="str">
            <v>06/11/2024</v>
          </cell>
          <cell r="J2666" t="str">
            <v>06/21/2024</v>
          </cell>
          <cell r="K2666" t="str">
            <v>07/05/2024</v>
          </cell>
          <cell r="L2666">
            <v>50</v>
          </cell>
          <cell r="M2666" t="str">
            <v>6/11/2024 10:03:20 AM</v>
          </cell>
          <cell r="N2666" t="str">
            <v>27</v>
          </cell>
          <cell r="O2666">
            <v>50</v>
          </cell>
          <cell r="P2666">
            <v>1.97</v>
          </cell>
        </row>
        <row r="2667">
          <cell r="A2667" t="str">
            <v>6727585</v>
          </cell>
          <cell r="B2667" t="str">
            <v>1183295</v>
          </cell>
          <cell r="C2667" t="str">
            <v>MH6004-8-BLK</v>
          </cell>
          <cell r="D2667" t="str">
            <v>MH6004</v>
          </cell>
          <cell r="E2667" t="str">
            <v>H6004-8 HARNESS BLK</v>
          </cell>
          <cell r="F2667" t="str">
            <v>DG-POUCH-F2-F3</v>
          </cell>
          <cell r="G2667" t="str">
            <v>1420-210-SB</v>
          </cell>
          <cell r="H2667" t="str">
            <v>R</v>
          </cell>
          <cell r="I2667" t="str">
            <v>06/11/2024</v>
          </cell>
          <cell r="J2667" t="str">
            <v>06/21/2024</v>
          </cell>
          <cell r="K2667" t="str">
            <v>07/05/2024</v>
          </cell>
          <cell r="L2667">
            <v>50</v>
          </cell>
          <cell r="M2667" t="str">
            <v>6/11/2024 10:03:20 AM</v>
          </cell>
          <cell r="N2667" t="str">
            <v>27</v>
          </cell>
          <cell r="O2667">
            <v>50</v>
          </cell>
          <cell r="P2667">
            <v>1.97</v>
          </cell>
        </row>
        <row r="2668">
          <cell r="A2668" t="str">
            <v>6727587</v>
          </cell>
          <cell r="B2668" t="str">
            <v>1183295</v>
          </cell>
          <cell r="C2668" t="str">
            <v>MH6004-8-BLK</v>
          </cell>
          <cell r="D2668" t="str">
            <v>MH6004</v>
          </cell>
          <cell r="E2668" t="str">
            <v>H6004-8 HARNESS BLK</v>
          </cell>
          <cell r="F2668" t="str">
            <v>DG-POUCH-F2-F3</v>
          </cell>
          <cell r="G2668" t="str">
            <v>1420-210-SB</v>
          </cell>
          <cell r="H2668" t="str">
            <v>R</v>
          </cell>
          <cell r="I2668" t="str">
            <v>06/11/2024</v>
          </cell>
          <cell r="J2668" t="str">
            <v>06/21/2024</v>
          </cell>
          <cell r="K2668" t="str">
            <v>07/05/2024</v>
          </cell>
          <cell r="L2668">
            <v>50</v>
          </cell>
          <cell r="M2668" t="str">
            <v>6/11/2024 10:03:20 AM</v>
          </cell>
          <cell r="N2668" t="str">
            <v>27</v>
          </cell>
          <cell r="O2668">
            <v>50</v>
          </cell>
          <cell r="P2668">
            <v>1.97</v>
          </cell>
        </row>
        <row r="2669">
          <cell r="A2669" t="str">
            <v>6727588</v>
          </cell>
          <cell r="B2669" t="str">
            <v>1183295</v>
          </cell>
          <cell r="C2669" t="str">
            <v>MH6004-8-BLK</v>
          </cell>
          <cell r="D2669" t="str">
            <v>MH6004</v>
          </cell>
          <cell r="E2669" t="str">
            <v>H6004-8 HARNESS BLK</v>
          </cell>
          <cell r="F2669" t="str">
            <v>DG-POUCH-F2-F3</v>
          </cell>
          <cell r="G2669" t="str">
            <v>1420-210-SB</v>
          </cell>
          <cell r="H2669" t="str">
            <v>R</v>
          </cell>
          <cell r="I2669" t="str">
            <v>06/11/2024</v>
          </cell>
          <cell r="J2669" t="str">
            <v>06/21/2024</v>
          </cell>
          <cell r="K2669" t="str">
            <v>07/05/2024</v>
          </cell>
          <cell r="L2669">
            <v>50</v>
          </cell>
          <cell r="M2669" t="str">
            <v>6/11/2024 10:03:20 AM</v>
          </cell>
          <cell r="N2669" t="str">
            <v>27</v>
          </cell>
          <cell r="O2669">
            <v>50</v>
          </cell>
          <cell r="P2669">
            <v>1.97</v>
          </cell>
        </row>
        <row r="2670">
          <cell r="A2670" t="str">
            <v>6727589</v>
          </cell>
          <cell r="B2670" t="str">
            <v>1183295</v>
          </cell>
          <cell r="C2670" t="str">
            <v>MH6004-8-BLK</v>
          </cell>
          <cell r="D2670" t="str">
            <v>MH6004</v>
          </cell>
          <cell r="E2670" t="str">
            <v>H6004-8 HARNESS BLK</v>
          </cell>
          <cell r="F2670" t="str">
            <v>DG-POUCH-F2-F3</v>
          </cell>
          <cell r="G2670" t="str">
            <v>1420-210-SB</v>
          </cell>
          <cell r="H2670" t="str">
            <v>R</v>
          </cell>
          <cell r="I2670" t="str">
            <v>06/11/2024</v>
          </cell>
          <cell r="J2670" t="str">
            <v>06/21/2024</v>
          </cell>
          <cell r="K2670" t="str">
            <v>07/05/2024</v>
          </cell>
          <cell r="L2670">
            <v>50</v>
          </cell>
          <cell r="M2670" t="str">
            <v>6/11/2024 10:03:20 AM</v>
          </cell>
          <cell r="N2670" t="str">
            <v>27</v>
          </cell>
          <cell r="O2670">
            <v>50</v>
          </cell>
          <cell r="P2670">
            <v>1.97</v>
          </cell>
        </row>
        <row r="2671">
          <cell r="A2671" t="str">
            <v>6727590</v>
          </cell>
          <cell r="B2671" t="str">
            <v>1183295</v>
          </cell>
          <cell r="C2671" t="str">
            <v>MH6004-8-BLK</v>
          </cell>
          <cell r="D2671" t="str">
            <v>MH6004</v>
          </cell>
          <cell r="E2671" t="str">
            <v>H6004-8 HARNESS BLK</v>
          </cell>
          <cell r="F2671" t="str">
            <v>DG-POUCH-F2-F3</v>
          </cell>
          <cell r="G2671" t="str">
            <v>1420-210-SB</v>
          </cell>
          <cell r="H2671" t="str">
            <v>R</v>
          </cell>
          <cell r="I2671" t="str">
            <v>06/11/2024</v>
          </cell>
          <cell r="J2671" t="str">
            <v>06/21/2024</v>
          </cell>
          <cell r="K2671" t="str">
            <v>07/05/2024</v>
          </cell>
          <cell r="L2671">
            <v>50</v>
          </cell>
          <cell r="M2671" t="str">
            <v>6/11/2024 10:03:20 AM</v>
          </cell>
          <cell r="N2671" t="str">
            <v>27</v>
          </cell>
          <cell r="O2671">
            <v>50</v>
          </cell>
          <cell r="P2671">
            <v>1.97</v>
          </cell>
        </row>
        <row r="2672">
          <cell r="A2672" t="str">
            <v>6727591</v>
          </cell>
          <cell r="B2672" t="str">
            <v>1183295</v>
          </cell>
          <cell r="C2672" t="str">
            <v>MH6004-8-BLK</v>
          </cell>
          <cell r="D2672" t="str">
            <v>MH6004</v>
          </cell>
          <cell r="E2672" t="str">
            <v>H6004-8 HARNESS BLK</v>
          </cell>
          <cell r="F2672" t="str">
            <v>DG-POUCH-F2-F3</v>
          </cell>
          <cell r="G2672" t="str">
            <v>1420-210-SB</v>
          </cell>
          <cell r="H2672" t="str">
            <v>R</v>
          </cell>
          <cell r="I2672" t="str">
            <v>06/11/2024</v>
          </cell>
          <cell r="J2672" t="str">
            <v>06/21/2024</v>
          </cell>
          <cell r="K2672" t="str">
            <v>07/05/2024</v>
          </cell>
          <cell r="L2672">
            <v>50</v>
          </cell>
          <cell r="M2672" t="str">
            <v>6/11/2024 10:03:20 AM</v>
          </cell>
          <cell r="N2672" t="str">
            <v>27</v>
          </cell>
          <cell r="O2672">
            <v>50</v>
          </cell>
          <cell r="P2672">
            <v>1.97</v>
          </cell>
        </row>
        <row r="2673">
          <cell r="A2673" t="str">
            <v>6727592</v>
          </cell>
          <cell r="B2673" t="str">
            <v>1183295</v>
          </cell>
          <cell r="C2673" t="str">
            <v>MH6004-8-BLK</v>
          </cell>
          <cell r="D2673" t="str">
            <v>MH6004</v>
          </cell>
          <cell r="E2673" t="str">
            <v>H6004-8 HARNESS BLK</v>
          </cell>
          <cell r="F2673" t="str">
            <v>DG-POUCH-F2-F3</v>
          </cell>
          <cell r="G2673" t="str">
            <v>1420-210-SB</v>
          </cell>
          <cell r="H2673" t="str">
            <v>R</v>
          </cell>
          <cell r="I2673" t="str">
            <v>06/11/2024</v>
          </cell>
          <cell r="J2673" t="str">
            <v>06/21/2024</v>
          </cell>
          <cell r="K2673" t="str">
            <v>07/05/2024</v>
          </cell>
          <cell r="L2673">
            <v>50</v>
          </cell>
          <cell r="M2673" t="str">
            <v>6/11/2024 10:03:20 AM</v>
          </cell>
          <cell r="N2673" t="str">
            <v>27</v>
          </cell>
          <cell r="O2673">
            <v>50</v>
          </cell>
          <cell r="P2673">
            <v>1.97</v>
          </cell>
        </row>
        <row r="2674">
          <cell r="A2674" t="str">
            <v>6727594</v>
          </cell>
          <cell r="B2674" t="str">
            <v>1183295</v>
          </cell>
          <cell r="C2674" t="str">
            <v>MH6004-8-BLK</v>
          </cell>
          <cell r="D2674" t="str">
            <v>MH6004</v>
          </cell>
          <cell r="E2674" t="str">
            <v>H6004-8 HARNESS BLK</v>
          </cell>
          <cell r="F2674" t="str">
            <v>DG-POUCH-F2-F3</v>
          </cell>
          <cell r="G2674" t="str">
            <v>1420-210-SB</v>
          </cell>
          <cell r="H2674" t="str">
            <v>R</v>
          </cell>
          <cell r="I2674" t="str">
            <v>06/11/2024</v>
          </cell>
          <cell r="J2674" t="str">
            <v>06/21/2024</v>
          </cell>
          <cell r="K2674" t="str">
            <v>07/05/2024</v>
          </cell>
          <cell r="L2674">
            <v>50</v>
          </cell>
          <cell r="M2674" t="str">
            <v>6/11/2024 10:03:20 AM</v>
          </cell>
          <cell r="N2674" t="str">
            <v>27</v>
          </cell>
          <cell r="O2674">
            <v>50</v>
          </cell>
          <cell r="P2674">
            <v>1.97</v>
          </cell>
        </row>
        <row r="2675">
          <cell r="A2675" t="str">
            <v>6728428</v>
          </cell>
          <cell r="B2675" t="str">
            <v>1103197</v>
          </cell>
          <cell r="C2675" t="str">
            <v>90-4PBL</v>
          </cell>
          <cell r="D2675" t="str">
            <v>90</v>
          </cell>
          <cell r="E2675" t="str">
            <v>HANDCUFF POUCHTOP FLAP</v>
          </cell>
          <cell r="F2675" t="str">
            <v>DG-POUCH-F1</v>
          </cell>
          <cell r="G2675" t="str">
            <v>1420-210-FG</v>
          </cell>
          <cell r="H2675" t="str">
            <v>R</v>
          </cell>
          <cell r="I2675" t="str">
            <v>06/11/2024</v>
          </cell>
          <cell r="J2675" t="str">
            <v>06/21/2024</v>
          </cell>
          <cell r="K2675" t="str">
            <v>07/05/2024</v>
          </cell>
          <cell r="L2675">
            <v>12</v>
          </cell>
          <cell r="M2675" t="str">
            <v>6/12/2024 11:23:04 AM</v>
          </cell>
          <cell r="N2675" t="str">
            <v>27</v>
          </cell>
          <cell r="O2675">
            <v>12</v>
          </cell>
          <cell r="P2675">
            <v>4.4800000000000004</v>
          </cell>
        </row>
        <row r="2676">
          <cell r="A2676" t="str">
            <v>6728429</v>
          </cell>
          <cell r="B2676" t="str">
            <v>1098939</v>
          </cell>
          <cell r="C2676" t="str">
            <v>38-4-4PBL</v>
          </cell>
          <cell r="D2676" t="str">
            <v>38</v>
          </cell>
          <cell r="E2676" t="str">
            <v>MACE HOLDER TOP FLAP</v>
          </cell>
          <cell r="F2676" t="str">
            <v>DG-POUCH-F1</v>
          </cell>
          <cell r="G2676" t="str">
            <v>1420-210-FG</v>
          </cell>
          <cell r="H2676" t="str">
            <v>F</v>
          </cell>
          <cell r="I2676" t="str">
            <v>06/11/2024</v>
          </cell>
          <cell r="J2676" t="str">
            <v>06/21/2024</v>
          </cell>
          <cell r="K2676" t="str">
            <v>07/05/2024</v>
          </cell>
          <cell r="L2676">
            <v>12</v>
          </cell>
          <cell r="M2676" t="str">
            <v/>
          </cell>
          <cell r="N2676" t="str">
            <v>27</v>
          </cell>
          <cell r="O2676">
            <v>12</v>
          </cell>
          <cell r="P2676">
            <v>3.86</v>
          </cell>
        </row>
        <row r="2677">
          <cell r="A2677" t="str">
            <v>6728444</v>
          </cell>
          <cell r="B2677" t="str">
            <v>1137824</v>
          </cell>
          <cell r="C2677" t="str">
            <v>38-2-49B</v>
          </cell>
          <cell r="D2677" t="str">
            <v>38</v>
          </cell>
          <cell r="E2677" t="str">
            <v>MACE HOLDERTOP FLAP</v>
          </cell>
          <cell r="F2677" t="str">
            <v>DG-POUCH-F1</v>
          </cell>
          <cell r="G2677" t="str">
            <v>1420-210-FG</v>
          </cell>
          <cell r="H2677" t="str">
            <v>F</v>
          </cell>
          <cell r="I2677" t="str">
            <v>06/11/2024</v>
          </cell>
          <cell r="J2677" t="str">
            <v>06/21/2024</v>
          </cell>
          <cell r="K2677" t="str">
            <v>07/05/2024</v>
          </cell>
          <cell r="L2677">
            <v>24</v>
          </cell>
          <cell r="M2677" t="str">
            <v/>
          </cell>
          <cell r="N2677" t="str">
            <v>27</v>
          </cell>
          <cell r="O2677">
            <v>24</v>
          </cell>
          <cell r="P2677">
            <v>9.1199999999999992</v>
          </cell>
        </row>
        <row r="2678">
          <cell r="A2678" t="str">
            <v>6728455</v>
          </cell>
          <cell r="B2678" t="str">
            <v>1014342</v>
          </cell>
          <cell r="C2678" t="str">
            <v>24418</v>
          </cell>
          <cell r="D2678" t="str">
            <v>7215</v>
          </cell>
          <cell r="E2678" t="str">
            <v>NYLON WEB BELT 2.25 BLK MD W/DRAG LOOP</v>
          </cell>
          <cell r="F2678" t="str">
            <v>BN-BELT</v>
          </cell>
          <cell r="G2678" t="str">
            <v>1420-210-FG</v>
          </cell>
          <cell r="H2678" t="str">
            <v>F</v>
          </cell>
          <cell r="I2678" t="str">
            <v>06/11/2024</v>
          </cell>
          <cell r="J2678" t="str">
            <v>06/21/2024</v>
          </cell>
          <cell r="K2678" t="str">
            <v>07/05/2024</v>
          </cell>
          <cell r="L2678">
            <v>14</v>
          </cell>
          <cell r="M2678" t="str">
            <v/>
          </cell>
          <cell r="N2678" t="str">
            <v>27</v>
          </cell>
          <cell r="O2678">
            <v>14</v>
          </cell>
          <cell r="P2678">
            <v>5.88</v>
          </cell>
        </row>
        <row r="2679">
          <cell r="A2679" t="str">
            <v>6728399</v>
          </cell>
          <cell r="B2679" t="str">
            <v>1014341</v>
          </cell>
          <cell r="C2679" t="str">
            <v>24421</v>
          </cell>
          <cell r="D2679" t="str">
            <v>7215</v>
          </cell>
          <cell r="E2679" t="str">
            <v>NYLON WEB BELT 2.25 BLK XXL W/DRAG LOOP</v>
          </cell>
          <cell r="F2679" t="str">
            <v>BN-BELT</v>
          </cell>
          <cell r="G2679" t="str">
            <v>1420-210-FG</v>
          </cell>
          <cell r="H2679" t="str">
            <v>F</v>
          </cell>
          <cell r="I2679" t="str">
            <v>06/11/2024</v>
          </cell>
          <cell r="J2679" t="str">
            <v>06/21/2024</v>
          </cell>
          <cell r="K2679" t="str">
            <v>07/05/2024</v>
          </cell>
          <cell r="L2679">
            <v>5</v>
          </cell>
          <cell r="M2679" t="str">
            <v/>
          </cell>
          <cell r="N2679" t="str">
            <v>27</v>
          </cell>
          <cell r="O2679">
            <v>5</v>
          </cell>
          <cell r="P2679">
            <v>2.1</v>
          </cell>
        </row>
        <row r="2680">
          <cell r="A2680" t="str">
            <v>6728393</v>
          </cell>
          <cell r="B2680" t="str">
            <v>1138909</v>
          </cell>
          <cell r="C2680" t="str">
            <v>032-34-26</v>
          </cell>
          <cell r="D2680" t="str">
            <v>032</v>
          </cell>
          <cell r="E2680" t="str">
            <v>032 ELS COMP BLT SZ34 NYL LK BLK</v>
          </cell>
          <cell r="F2680" t="str">
            <v>DG-BELT</v>
          </cell>
          <cell r="G2680" t="str">
            <v>1420-210-FG</v>
          </cell>
          <cell r="H2680" t="str">
            <v>R</v>
          </cell>
          <cell r="I2680" t="str">
            <v>06/11/2024</v>
          </cell>
          <cell r="J2680" t="str">
            <v>06/24/2024</v>
          </cell>
          <cell r="K2680" t="str">
            <v>07/08/2024</v>
          </cell>
          <cell r="L2680">
            <v>5</v>
          </cell>
          <cell r="M2680" t="str">
            <v>6/13/2024 12:33:50 PM</v>
          </cell>
          <cell r="N2680" t="str">
            <v>28</v>
          </cell>
          <cell r="O2680">
            <v>5</v>
          </cell>
          <cell r="P2680">
            <v>2.65</v>
          </cell>
        </row>
        <row r="2681">
          <cell r="A2681" t="str">
            <v>6728453</v>
          </cell>
          <cell r="B2681" t="str">
            <v>1325330</v>
          </cell>
          <cell r="C2681" t="str">
            <v>6390RDS-1582-481</v>
          </cell>
          <cell r="D2681" t="str">
            <v>6390RDS</v>
          </cell>
          <cell r="E2681" t="str">
            <v>6390RDS STI STACC P 4.4" X300U BSKBLK RH</v>
          </cell>
          <cell r="F2681" t="str">
            <v>DG-HOLSTER-RDS</v>
          </cell>
          <cell r="G2681" t="str">
            <v>1420-210-FG</v>
          </cell>
          <cell r="H2681" t="str">
            <v>R</v>
          </cell>
          <cell r="I2681" t="str">
            <v>06/11/2024</v>
          </cell>
          <cell r="J2681" t="str">
            <v>06/10/2024</v>
          </cell>
          <cell r="K2681" t="str">
            <v>07/08/2024</v>
          </cell>
          <cell r="L2681">
            <v>5</v>
          </cell>
          <cell r="M2681" t="str">
            <v>6/11/2024 4:54:51 PM</v>
          </cell>
          <cell r="N2681" t="str">
            <v>28</v>
          </cell>
          <cell r="O2681">
            <v>5</v>
          </cell>
          <cell r="P2681">
            <v>2</v>
          </cell>
        </row>
        <row r="2682">
          <cell r="A2682" t="str">
            <v>6728395</v>
          </cell>
          <cell r="B2682" t="str">
            <v>1123275</v>
          </cell>
          <cell r="C2682" t="str">
            <v>75-383-13</v>
          </cell>
          <cell r="D2682" t="str">
            <v>75</v>
          </cell>
          <cell r="E2682" t="str">
            <v>75 GLOCK 20/21 STX TAC BLK</v>
          </cell>
          <cell r="F2682" t="str">
            <v>DG-POUCH-F1</v>
          </cell>
          <cell r="G2682" t="str">
            <v>1420-210-FG</v>
          </cell>
          <cell r="H2682" t="str">
            <v>R</v>
          </cell>
          <cell r="I2682" t="str">
            <v>06/11/2024</v>
          </cell>
          <cell r="J2682" t="str">
            <v>06/24/2024</v>
          </cell>
          <cell r="K2682" t="str">
            <v>07/08/2024</v>
          </cell>
          <cell r="L2682">
            <v>5</v>
          </cell>
          <cell r="M2682" t="str">
            <v>6/12/2024 11:21:50 AM</v>
          </cell>
          <cell r="N2682" t="str">
            <v>28</v>
          </cell>
          <cell r="O2682">
            <v>5</v>
          </cell>
          <cell r="P2682">
            <v>1.1299999999999999</v>
          </cell>
        </row>
        <row r="2683">
          <cell r="A2683" t="str">
            <v>6728396</v>
          </cell>
          <cell r="B2683" t="str">
            <v>1171268</v>
          </cell>
          <cell r="C2683" t="str">
            <v>766-8-2</v>
          </cell>
          <cell r="D2683" t="str">
            <v>766</v>
          </cell>
          <cell r="E2683" t="str">
            <v>766 APX 6000 PLN BLK</v>
          </cell>
          <cell r="F2683" t="str">
            <v>DG-POUCH-F1</v>
          </cell>
          <cell r="G2683" t="str">
            <v>1420-210-FG</v>
          </cell>
          <cell r="H2683" t="str">
            <v>F</v>
          </cell>
          <cell r="I2683" t="str">
            <v>06/11/2024</v>
          </cell>
          <cell r="J2683" t="str">
            <v>06/24/2024</v>
          </cell>
          <cell r="K2683" t="str">
            <v>07/08/2024</v>
          </cell>
          <cell r="L2683">
            <v>5</v>
          </cell>
          <cell r="M2683" t="str">
            <v/>
          </cell>
          <cell r="N2683" t="str">
            <v>28</v>
          </cell>
          <cell r="O2683">
            <v>5</v>
          </cell>
          <cell r="P2683">
            <v>2.06</v>
          </cell>
        </row>
        <row r="2684">
          <cell r="A2684" t="str">
            <v>6728891</v>
          </cell>
          <cell r="B2684" t="str">
            <v>1103616</v>
          </cell>
          <cell r="C2684" t="str">
            <v>942-34-4</v>
          </cell>
          <cell r="D2684" t="str">
            <v>942</v>
          </cell>
          <cell r="E2684" t="str">
            <v>942 SZ34 BSK BLK</v>
          </cell>
          <cell r="F2684" t="str">
            <v>DG-BELT</v>
          </cell>
          <cell r="G2684" t="str">
            <v>1420-210-FG</v>
          </cell>
          <cell r="H2684" t="str">
            <v>R</v>
          </cell>
          <cell r="I2684" t="str">
            <v>06/13/2024</v>
          </cell>
          <cell r="J2684" t="str">
            <v>06/24/2024</v>
          </cell>
          <cell r="K2684" t="str">
            <v>07/08/2024</v>
          </cell>
          <cell r="L2684">
            <v>1</v>
          </cell>
          <cell r="M2684" t="str">
            <v>6/13/2024 11:24:11 AM</v>
          </cell>
          <cell r="N2684" t="str">
            <v>28</v>
          </cell>
          <cell r="O2684">
            <v>1</v>
          </cell>
          <cell r="P2684">
            <v>0.69</v>
          </cell>
        </row>
        <row r="2685">
          <cell r="A2685" t="str">
            <v>6728416</v>
          </cell>
          <cell r="B2685" t="str">
            <v>1325230</v>
          </cell>
          <cell r="C2685" t="str">
            <v>J-K2S-NP</v>
          </cell>
          <cell r="D2685" t="str">
            <v>J</v>
          </cell>
          <cell r="E2685" t="str">
            <v>COMP III SPEEDLOADER</v>
          </cell>
          <cell r="F2685" t="str">
            <v>DG-MISC</v>
          </cell>
          <cell r="G2685" t="str">
            <v>1420-210-FG</v>
          </cell>
          <cell r="H2685" t="str">
            <v>F</v>
          </cell>
          <cell r="I2685" t="str">
            <v>06/11/2024</v>
          </cell>
          <cell r="J2685" t="str">
            <v>06/27/2024</v>
          </cell>
          <cell r="K2685" t="str">
            <v>07/11/2024</v>
          </cell>
          <cell r="L2685">
            <v>5</v>
          </cell>
          <cell r="M2685" t="str">
            <v/>
          </cell>
          <cell r="N2685" t="str">
            <v>28</v>
          </cell>
          <cell r="O2685">
            <v>5</v>
          </cell>
          <cell r="P2685">
            <v>0.08</v>
          </cell>
        </row>
        <row r="2686">
          <cell r="A2686" t="str">
            <v>6728441</v>
          </cell>
          <cell r="B2686" t="str">
            <v>1323220</v>
          </cell>
          <cell r="C2686" t="str">
            <v>76-83-13PBL-NP</v>
          </cell>
          <cell r="D2686" t="str">
            <v>76</v>
          </cell>
          <cell r="E2686" t="str">
            <v>76 GLOCK 17/22 STX BLK</v>
          </cell>
          <cell r="F2686" t="str">
            <v>DG-POUCH-F1</v>
          </cell>
          <cell r="G2686" t="str">
            <v>1420-210-FG</v>
          </cell>
          <cell r="H2686" t="str">
            <v>R</v>
          </cell>
          <cell r="I2686" t="str">
            <v>06/11/2024</v>
          </cell>
          <cell r="J2686" t="str">
            <v>07/04/2024</v>
          </cell>
          <cell r="K2686" t="str">
            <v>07/18/2024</v>
          </cell>
          <cell r="L2686">
            <v>2</v>
          </cell>
          <cell r="M2686" t="str">
            <v>6/12/2024 11:28:44 AM</v>
          </cell>
          <cell r="N2686" t="str">
            <v>29</v>
          </cell>
          <cell r="O2686">
            <v>2</v>
          </cell>
          <cell r="P2686">
            <v>0.34</v>
          </cell>
        </row>
        <row r="2687">
          <cell r="A2687" t="str">
            <v>6728552</v>
          </cell>
          <cell r="B2687" t="str">
            <v>1029247</v>
          </cell>
          <cell r="C2687" t="str">
            <v>12872</v>
          </cell>
          <cell r="D2687" t="str">
            <v>B12</v>
          </cell>
          <cell r="E2687" t="str">
            <v>REVERSIBLE SPORT STITCH BELT TAN SZ 40</v>
          </cell>
          <cell r="F2687" t="str">
            <v>BN-LEATHER</v>
          </cell>
          <cell r="G2687" t="str">
            <v>1420-210-FG</v>
          </cell>
          <cell r="H2687" t="str">
            <v>R</v>
          </cell>
          <cell r="I2687" t="str">
            <v>06/12/2024</v>
          </cell>
          <cell r="J2687" t="str">
            <v>07/04/2024</v>
          </cell>
          <cell r="K2687" t="str">
            <v>07/18/2024</v>
          </cell>
          <cell r="L2687">
            <v>8</v>
          </cell>
          <cell r="M2687" t="str">
            <v>6/12/2024 9:02:42 AM</v>
          </cell>
          <cell r="N2687" t="str">
            <v>29</v>
          </cell>
          <cell r="O2687">
            <v>8</v>
          </cell>
          <cell r="P2687">
            <v>4.51</v>
          </cell>
        </row>
        <row r="2688">
          <cell r="A2688" t="str">
            <v>6727568</v>
          </cell>
          <cell r="B2688" t="str">
            <v>1192551</v>
          </cell>
          <cell r="C2688" t="str">
            <v>6004-8-131-MS22RC</v>
          </cell>
          <cell r="D2688" t="str">
            <v>6004</v>
          </cell>
          <cell r="E2688" t="str">
            <v>6004 MOLLE ADTR STX TAC BLK RH</v>
          </cell>
          <cell r="F2688" t="str">
            <v>DG-POUCH-F2-F3</v>
          </cell>
          <cell r="G2688" t="str">
            <v>1420-210-FG</v>
          </cell>
          <cell r="H2688" t="str">
            <v>F</v>
          </cell>
          <cell r="I2688" t="str">
            <v>06/11/2024</v>
          </cell>
          <cell r="J2688" t="str">
            <v>07/05/2024</v>
          </cell>
          <cell r="K2688" t="str">
            <v>07/19/2024</v>
          </cell>
          <cell r="L2688">
            <v>2300</v>
          </cell>
          <cell r="M2688" t="str">
            <v/>
          </cell>
          <cell r="N2688" t="str">
            <v>29</v>
          </cell>
          <cell r="O2688">
            <v>2300</v>
          </cell>
          <cell r="P2688">
            <v>247.53</v>
          </cell>
        </row>
        <row r="2689">
          <cell r="A2689" t="str">
            <v>6708103</v>
          </cell>
          <cell r="B2689" t="str">
            <v>1015839</v>
          </cell>
          <cell r="C2689" t="str">
            <v>14362</v>
          </cell>
          <cell r="D2689" t="str">
            <v>UM842</v>
          </cell>
          <cell r="E2689" t="str">
            <v>UNIV. MIL. HOL. OLIVE DRAB SZ 2 4IN AUTO</v>
          </cell>
          <cell r="F2689" t="str">
            <v>BN-RANGER</v>
          </cell>
          <cell r="G2689" t="str">
            <v>1420-210-FG</v>
          </cell>
          <cell r="H2689" t="str">
            <v>R</v>
          </cell>
          <cell r="I2689" t="str">
            <v>05/06/2024</v>
          </cell>
          <cell r="J2689" t="str">
            <v>05/06/2024</v>
          </cell>
          <cell r="K2689" t="str">
            <v>07/19/2024</v>
          </cell>
          <cell r="L2689">
            <v>5</v>
          </cell>
          <cell r="M2689" t="str">
            <v>5/6/2024 2:48:11 PM</v>
          </cell>
          <cell r="N2689" t="str">
            <v>29</v>
          </cell>
          <cell r="O2689">
            <v>5</v>
          </cell>
          <cell r="P2689">
            <v>1.32</v>
          </cell>
        </row>
        <row r="2690">
          <cell r="A2690" t="str">
            <v>6708093</v>
          </cell>
          <cell r="B2690" t="str">
            <v>1015927</v>
          </cell>
          <cell r="C2690" t="str">
            <v>14869</v>
          </cell>
          <cell r="D2690" t="str">
            <v>UM84R</v>
          </cell>
          <cell r="E2690" t="str">
            <v>UNIV. MIL. HOL. REVOLVER BLACK S-W19 4IN</v>
          </cell>
          <cell r="F2690" t="str">
            <v>BN-RANGER</v>
          </cell>
          <cell r="G2690" t="str">
            <v>1420-210-FG</v>
          </cell>
          <cell r="H2690" t="str">
            <v>R</v>
          </cell>
          <cell r="I2690" t="str">
            <v>05/06/2024</v>
          </cell>
          <cell r="J2690" t="str">
            <v>05/06/2024</v>
          </cell>
          <cell r="K2690" t="str">
            <v>07/19/2024</v>
          </cell>
          <cell r="L2690">
            <v>25</v>
          </cell>
          <cell r="M2690" t="str">
            <v>5/28/2024 4:17:07 PM</v>
          </cell>
          <cell r="N2690" t="str">
            <v>29</v>
          </cell>
          <cell r="O2690">
            <v>25</v>
          </cell>
          <cell r="P2690">
            <v>6.88</v>
          </cell>
        </row>
        <row r="2691">
          <cell r="A2691" t="str">
            <v>6708094</v>
          </cell>
          <cell r="B2691" t="str">
            <v>1015927</v>
          </cell>
          <cell r="C2691" t="str">
            <v>14869</v>
          </cell>
          <cell r="D2691" t="str">
            <v>UM84R</v>
          </cell>
          <cell r="E2691" t="str">
            <v>UNIV. MIL. HOL. REVOLVER BLACK S-W19 4IN</v>
          </cell>
          <cell r="F2691" t="str">
            <v>BN-RANGER</v>
          </cell>
          <cell r="G2691" t="str">
            <v>1420-210-FG</v>
          </cell>
          <cell r="H2691" t="str">
            <v>R</v>
          </cell>
          <cell r="I2691" t="str">
            <v>05/06/2024</v>
          </cell>
          <cell r="J2691" t="str">
            <v>05/06/2024</v>
          </cell>
          <cell r="K2691" t="str">
            <v>07/19/2024</v>
          </cell>
          <cell r="L2691">
            <v>100</v>
          </cell>
          <cell r="M2691" t="str">
            <v>5/8/2024 9:55:17 AM</v>
          </cell>
          <cell r="N2691" t="str">
            <v>29</v>
          </cell>
          <cell r="O2691">
            <v>100</v>
          </cell>
          <cell r="P2691">
            <v>27.51</v>
          </cell>
        </row>
        <row r="2692">
          <cell r="A2692" t="str">
            <v>6708095</v>
          </cell>
          <cell r="B2692" t="str">
            <v>1015927</v>
          </cell>
          <cell r="C2692" t="str">
            <v>14869</v>
          </cell>
          <cell r="D2692" t="str">
            <v>UM84R</v>
          </cell>
          <cell r="E2692" t="str">
            <v>UNIV. MIL. HOL. REVOLVER BLACK S-W19 4IN</v>
          </cell>
          <cell r="F2692" t="str">
            <v>BN-RANGER</v>
          </cell>
          <cell r="G2692" t="str">
            <v>1420-210-FG</v>
          </cell>
          <cell r="H2692" t="str">
            <v>R</v>
          </cell>
          <cell r="I2692" t="str">
            <v>05/06/2024</v>
          </cell>
          <cell r="J2692" t="str">
            <v>05/06/2024</v>
          </cell>
          <cell r="K2692" t="str">
            <v>07/19/2024</v>
          </cell>
          <cell r="L2692">
            <v>100</v>
          </cell>
          <cell r="M2692" t="str">
            <v>5/8/2024 9:55:30 AM</v>
          </cell>
          <cell r="N2692" t="str">
            <v>29</v>
          </cell>
          <cell r="O2692">
            <v>100</v>
          </cell>
          <cell r="P2692">
            <v>27.51</v>
          </cell>
        </row>
        <row r="2693">
          <cell r="A2693" t="str">
            <v>6708096</v>
          </cell>
          <cell r="B2693" t="str">
            <v>1015927</v>
          </cell>
          <cell r="C2693" t="str">
            <v>14869</v>
          </cell>
          <cell r="D2693" t="str">
            <v>UM84R</v>
          </cell>
          <cell r="E2693" t="str">
            <v>UNIV. MIL. HOL. REVOLVER BLACK S-W19 4IN</v>
          </cell>
          <cell r="F2693" t="str">
            <v>BN-RANGER</v>
          </cell>
          <cell r="G2693" t="str">
            <v>1420-210-FG</v>
          </cell>
          <cell r="H2693" t="str">
            <v>R</v>
          </cell>
          <cell r="I2693" t="str">
            <v>05/06/2024</v>
          </cell>
          <cell r="J2693" t="str">
            <v>05/06/2024</v>
          </cell>
          <cell r="K2693" t="str">
            <v>07/19/2024</v>
          </cell>
          <cell r="L2693">
            <v>100</v>
          </cell>
          <cell r="M2693" t="str">
            <v>5/8/2024 9:55:44 AM</v>
          </cell>
          <cell r="N2693" t="str">
            <v>29</v>
          </cell>
          <cell r="O2693">
            <v>100</v>
          </cell>
          <cell r="P2693">
            <v>27.51</v>
          </cell>
        </row>
        <row r="2694">
          <cell r="A2694" t="str">
            <v>6691179</v>
          </cell>
          <cell r="B2694" t="str">
            <v>1015929</v>
          </cell>
          <cell r="C2694" t="str">
            <v>14871</v>
          </cell>
          <cell r="D2694" t="str">
            <v>UM84R</v>
          </cell>
          <cell r="E2694" t="str">
            <v>UNIV. MIL. HOL. REVOLVER O/D S-W19 4IN</v>
          </cell>
          <cell r="F2694" t="str">
            <v>BN-RANGER</v>
          </cell>
          <cell r="G2694" t="str">
            <v>1420-210-FG</v>
          </cell>
          <cell r="H2694" t="str">
            <v>R</v>
          </cell>
          <cell r="I2694" t="str">
            <v>05/08/2024</v>
          </cell>
          <cell r="J2694" t="str">
            <v>05/08/2024</v>
          </cell>
          <cell r="K2694" t="str">
            <v>07/19/2024</v>
          </cell>
          <cell r="L2694">
            <v>10</v>
          </cell>
          <cell r="M2694" t="str">
            <v>5/8/2024 12:00:00 AM</v>
          </cell>
          <cell r="N2694" t="str">
            <v>29</v>
          </cell>
          <cell r="O2694">
            <v>10</v>
          </cell>
          <cell r="P2694">
            <v>2.76</v>
          </cell>
        </row>
        <row r="2695">
          <cell r="A2695" t="str">
            <v>6708101</v>
          </cell>
          <cell r="B2695" t="str">
            <v>1016131</v>
          </cell>
          <cell r="C2695" t="str">
            <v>17012</v>
          </cell>
          <cell r="D2695" t="str">
            <v>UM922</v>
          </cell>
          <cell r="E2695" t="str">
            <v>UNIV. MIL. HOL.W/TGUARD BLACK SZ 2 4IN A</v>
          </cell>
          <cell r="F2695" t="str">
            <v>BN-RANGER</v>
          </cell>
          <cell r="G2695" t="str">
            <v>1420-210-FG</v>
          </cell>
          <cell r="H2695" t="str">
            <v>R</v>
          </cell>
          <cell r="I2695" t="str">
            <v>05/06/2024</v>
          </cell>
          <cell r="J2695" t="str">
            <v>05/06/2024</v>
          </cell>
          <cell r="K2695" t="str">
            <v>07/19/2024</v>
          </cell>
          <cell r="L2695">
            <v>25</v>
          </cell>
          <cell r="M2695" t="str">
            <v>5/6/2024 1:55:06 PM</v>
          </cell>
          <cell r="N2695" t="str">
            <v>29</v>
          </cell>
          <cell r="O2695">
            <v>25</v>
          </cell>
          <cell r="P2695">
            <v>6.79</v>
          </cell>
        </row>
        <row r="2696">
          <cell r="A2696" t="str">
            <v>6708308</v>
          </cell>
          <cell r="B2696" t="str">
            <v>1016133</v>
          </cell>
          <cell r="C2696" t="str">
            <v>17014B</v>
          </cell>
          <cell r="D2696" t="str">
            <v>UM922</v>
          </cell>
          <cell r="E2696" t="str">
            <v>UNIV. MIL. HOL.W/TGUARD O/D SZ 2 4IN AUT</v>
          </cell>
          <cell r="F2696" t="str">
            <v>BN-RANGER</v>
          </cell>
          <cell r="G2696" t="str">
            <v>1420-210-FG</v>
          </cell>
          <cell r="H2696" t="str">
            <v>R</v>
          </cell>
          <cell r="I2696" t="str">
            <v>05/06/2024</v>
          </cell>
          <cell r="J2696" t="str">
            <v>05/15/2024</v>
          </cell>
          <cell r="K2696" t="str">
            <v>07/19/2024</v>
          </cell>
          <cell r="L2696">
            <v>5</v>
          </cell>
          <cell r="M2696" t="str">
            <v>5/6/2024 1:55:24 PM</v>
          </cell>
          <cell r="N2696" t="str">
            <v>29</v>
          </cell>
          <cell r="O2696">
            <v>5</v>
          </cell>
          <cell r="P2696">
            <v>1.36</v>
          </cell>
        </row>
        <row r="2697">
          <cell r="A2697" t="str">
            <v>6728415</v>
          </cell>
          <cell r="B2697" t="str">
            <v>1016237</v>
          </cell>
          <cell r="C2697" t="str">
            <v>17632</v>
          </cell>
          <cell r="D2697" t="str">
            <v>19L</v>
          </cell>
          <cell r="E2697" t="str">
            <v xml:space="preserve">THUMBSNAP TAN RH 45 AUTO </v>
          </cell>
          <cell r="F2697" t="str">
            <v>BN-LEATHER</v>
          </cell>
          <cell r="G2697" t="str">
            <v>1420-210-FG</v>
          </cell>
          <cell r="H2697" t="str">
            <v>R</v>
          </cell>
          <cell r="I2697" t="str">
            <v>06/11/2024</v>
          </cell>
          <cell r="J2697" t="str">
            <v>07/08/2024</v>
          </cell>
          <cell r="K2697" t="str">
            <v>07/22/2024</v>
          </cell>
          <cell r="L2697">
            <v>10</v>
          </cell>
          <cell r="M2697" t="str">
            <v>6/12/2024 11:12:09 AM</v>
          </cell>
          <cell r="N2697" t="str">
            <v>30</v>
          </cell>
          <cell r="O2697">
            <v>10</v>
          </cell>
          <cell r="P2697">
            <v>8.14</v>
          </cell>
        </row>
        <row r="2698">
          <cell r="A2698" t="str">
            <v>6728471</v>
          </cell>
          <cell r="B2698" t="str">
            <v>1029940</v>
          </cell>
          <cell r="C2698" t="str">
            <v>22091</v>
          </cell>
          <cell r="D2698" t="str">
            <v>7906</v>
          </cell>
          <cell r="E2698" t="str">
            <v>7906 BLT KPR ACE 4PK BLK BSK HS 2.25IN</v>
          </cell>
          <cell r="F2698" t="str">
            <v>BN-KEEPER</v>
          </cell>
          <cell r="G2698" t="str">
            <v>1420-210-FG</v>
          </cell>
          <cell r="H2698" t="str">
            <v>F</v>
          </cell>
          <cell r="I2698" t="str">
            <v>06/11/2024</v>
          </cell>
          <cell r="J2698" t="str">
            <v>06/12/2024</v>
          </cell>
          <cell r="K2698" t="str">
            <v>07/24/2024</v>
          </cell>
          <cell r="L2698">
            <v>100</v>
          </cell>
          <cell r="M2698" t="str">
            <v/>
          </cell>
          <cell r="N2698" t="str">
            <v>30</v>
          </cell>
          <cell r="O2698">
            <v>100</v>
          </cell>
          <cell r="P2698">
            <v>10.96</v>
          </cell>
        </row>
        <row r="2699">
          <cell r="A2699" t="str">
            <v>6728463</v>
          </cell>
          <cell r="B2699" t="str">
            <v>1015726</v>
          </cell>
          <cell r="C2699" t="str">
            <v>12696</v>
          </cell>
          <cell r="D2699" t="str">
            <v>111</v>
          </cell>
          <cell r="E2699" t="str">
            <v>CYCLONE TAN RH COLT PYTHON 6IN REV</v>
          </cell>
          <cell r="F2699" t="str">
            <v>BN-LEATHER</v>
          </cell>
          <cell r="G2699" t="str">
            <v>1420-210-FG</v>
          </cell>
          <cell r="H2699" t="str">
            <v>R</v>
          </cell>
          <cell r="I2699" t="str">
            <v>06/11/2024</v>
          </cell>
          <cell r="J2699" t="str">
            <v>07/11/2024</v>
          </cell>
          <cell r="K2699" t="str">
            <v>07/25/2024</v>
          </cell>
          <cell r="L2699">
            <v>30</v>
          </cell>
          <cell r="M2699" t="str">
            <v>6/12/2024 11:12:30 AM</v>
          </cell>
          <cell r="N2699" t="str">
            <v>30</v>
          </cell>
          <cell r="O2699">
            <v>30</v>
          </cell>
          <cell r="P2699">
            <v>23.13</v>
          </cell>
        </row>
        <row r="2700">
          <cell r="A2700" t="str">
            <v>6728411</v>
          </cell>
          <cell r="B2700" t="str">
            <v>1121714</v>
          </cell>
          <cell r="C2700" t="str">
            <v>38-4-41PBL</v>
          </cell>
          <cell r="D2700" t="str">
            <v>38</v>
          </cell>
          <cell r="E2700" t="str">
            <v>MACE HOLDERTOP FLAP</v>
          </cell>
          <cell r="F2700" t="str">
            <v>DG-POUCH-F1</v>
          </cell>
          <cell r="G2700" t="str">
            <v>1420-210-FG</v>
          </cell>
          <cell r="H2700" t="str">
            <v>R</v>
          </cell>
          <cell r="I2700" t="str">
            <v>06/11/2024</v>
          </cell>
          <cell r="J2700" t="str">
            <v>07/12/2024</v>
          </cell>
          <cell r="K2700" t="str">
            <v>07/26/2024</v>
          </cell>
          <cell r="L2700">
            <v>50</v>
          </cell>
          <cell r="M2700" t="str">
            <v>6/13/2024 12:45:04 PM</v>
          </cell>
          <cell r="N2700" t="str">
            <v>30</v>
          </cell>
          <cell r="O2700">
            <v>50</v>
          </cell>
          <cell r="P2700">
            <v>14.31</v>
          </cell>
        </row>
        <row r="2701">
          <cell r="A2701" t="str">
            <v>6725970</v>
          </cell>
          <cell r="B2701" t="str">
            <v>1205152</v>
          </cell>
          <cell r="C2701" t="str">
            <v>24051</v>
          </cell>
          <cell r="D2701" t="str">
            <v>7307</v>
          </cell>
          <cell r="E2701" t="str">
            <v>OC/MACE SPRAY POUCH BLK-LRG HID W/MOLLE</v>
          </cell>
          <cell r="F2701" t="str">
            <v>BN-POUCH</v>
          </cell>
          <cell r="G2701" t="str">
            <v>1420-210-FG</v>
          </cell>
          <cell r="H2701" t="str">
            <v>R</v>
          </cell>
          <cell r="I2701" t="str">
            <v>06/07/2024</v>
          </cell>
          <cell r="J2701" t="str">
            <v>06/08/2024</v>
          </cell>
          <cell r="K2701" t="str">
            <v>07/26/2024</v>
          </cell>
          <cell r="L2701">
            <v>71</v>
          </cell>
          <cell r="M2701" t="str">
            <v>6/7/2024 11:33:58 AM</v>
          </cell>
          <cell r="N2701" t="str">
            <v>30</v>
          </cell>
          <cell r="O2701">
            <v>71</v>
          </cell>
          <cell r="P2701">
            <v>16.329999999999998</v>
          </cell>
        </row>
        <row r="2702">
          <cell r="A2702" t="str">
            <v>6728464</v>
          </cell>
          <cell r="B2702" t="str">
            <v>1099131</v>
          </cell>
          <cell r="C2702" t="str">
            <v>35-F21-13</v>
          </cell>
          <cell r="D2702" t="str">
            <v>35</v>
          </cell>
          <cell r="E2702" t="str">
            <v>BATON HOLDER</v>
          </cell>
          <cell r="F2702" t="str">
            <v>DG-POUCH-F1</v>
          </cell>
          <cell r="G2702" t="str">
            <v>1420-210-FG</v>
          </cell>
          <cell r="H2702" t="str">
            <v>R</v>
          </cell>
          <cell r="I2702" t="str">
            <v>06/11/2024</v>
          </cell>
          <cell r="J2702" t="str">
            <v>06/12/2024</v>
          </cell>
          <cell r="K2702" t="str">
            <v>07/31/2024</v>
          </cell>
          <cell r="L2702">
            <v>30</v>
          </cell>
          <cell r="M2702" t="str">
            <v>6/12/2024 11:23:57 AM</v>
          </cell>
          <cell r="N2702" t="str">
            <v>31</v>
          </cell>
          <cell r="O2702">
            <v>30</v>
          </cell>
          <cell r="P2702">
            <v>13.45</v>
          </cell>
        </row>
      </sheetData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11714-8A3C-49DD-AA07-D193DB14447A}">
  <sheetPr codeName="Sheet10"/>
  <dimension ref="A1:S68"/>
  <sheetViews>
    <sheetView tabSelected="1" workbookViewId="0">
      <selection activeCell="L11" sqref="L11"/>
    </sheetView>
  </sheetViews>
  <sheetFormatPr baseColWidth="10" defaultColWidth="8.7265625" defaultRowHeight="14.5" x14ac:dyDescent="0.35"/>
  <cols>
    <col min="7" max="7" width="9.7265625" bestFit="1" customWidth="1"/>
    <col min="8" max="8" width="14.81640625" bestFit="1" customWidth="1"/>
  </cols>
  <sheetData>
    <row r="1" spans="1:19" ht="19" thickBot="1" x14ac:dyDescent="0.5">
      <c r="A1" s="21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8" t="s">
        <v>6</v>
      </c>
      <c r="H1" s="20" t="s">
        <v>15</v>
      </c>
      <c r="I1" s="22"/>
      <c r="K1" s="1">
        <v>1200</v>
      </c>
      <c r="L1" s="1">
        <v>36</v>
      </c>
      <c r="M1" s="24" t="s">
        <v>7</v>
      </c>
      <c r="N1" s="25"/>
      <c r="O1" s="10" t="s">
        <v>8</v>
      </c>
      <c r="P1" s="26">
        <v>1.35</v>
      </c>
      <c r="Q1" s="29" t="s">
        <v>9</v>
      </c>
    </row>
    <row r="2" spans="1:19" ht="16" thickBot="1" x14ac:dyDescent="0.4">
      <c r="A2" s="9" t="s">
        <v>18</v>
      </c>
      <c r="B2" t="str">
        <f>VLOOKUP(A2,[1]Sheet3!$A:$B,2,0)</f>
        <v>1096959</v>
      </c>
      <c r="C2" t="str">
        <f>VLOOKUP(A2,[1]Sheet3!$A:$C,3,0)</f>
        <v>190-4HS</v>
      </c>
      <c r="D2" t="str">
        <f>VLOOKUP(A2,[1]Sheet3!$A:$D,4,0)</f>
        <v>190</v>
      </c>
      <c r="E2" t="str">
        <f>VLOOKUP(A2,[1]Sheet3!$A:$E,5,0)</f>
        <v>HANDCUFF POUCH TOP FLAP</v>
      </c>
      <c r="F2">
        <f>VLOOKUP(A2,[1]Sheet3!$A:$L,12,0)</f>
        <v>30</v>
      </c>
      <c r="G2">
        <f>VLOOKUP(A2,[1]Sheet3!$A:$P,16,0)</f>
        <v>12.62</v>
      </c>
      <c r="H2" s="23">
        <v>45512</v>
      </c>
      <c r="I2" s="22"/>
      <c r="K2" s="2" t="s">
        <v>5</v>
      </c>
      <c r="L2" s="3" t="s">
        <v>10</v>
      </c>
      <c r="M2" s="3" t="s">
        <v>11</v>
      </c>
      <c r="N2" s="4" t="s">
        <v>12</v>
      </c>
      <c r="O2" s="31">
        <f>M3/N3</f>
        <v>0</v>
      </c>
      <c r="P2" s="27"/>
      <c r="Q2" s="30"/>
      <c r="R2" s="11" t="s">
        <v>13</v>
      </c>
      <c r="S2" s="11">
        <f>28*8.93</f>
        <v>250.04</v>
      </c>
    </row>
    <row r="3" spans="1:19" ht="16" thickBot="1" x14ac:dyDescent="0.4">
      <c r="A3" s="9" t="s">
        <v>19</v>
      </c>
      <c r="B3" t="str">
        <f>VLOOKUP(A3,[1]Sheet3!$A:$B,2,0)</f>
        <v>1121714</v>
      </c>
      <c r="C3" t="str">
        <f>VLOOKUP(A3,[1]Sheet3!$A:$C,3,0)</f>
        <v>38-4-41PBL</v>
      </c>
      <c r="D3" t="str">
        <f>VLOOKUP(A3,[1]Sheet3!$A:$D,4,0)</f>
        <v>38</v>
      </c>
      <c r="E3" t="str">
        <f>VLOOKUP(A3,[1]Sheet3!$A:$E,5,0)</f>
        <v>MACE HOLDERTOP FLAP</v>
      </c>
      <c r="F3">
        <f>VLOOKUP(A3,[1]Sheet3!$A:$L,12,0)</f>
        <v>50</v>
      </c>
      <c r="G3">
        <f>VLOOKUP(A3,[1]Sheet3!$A:$P,16,0)</f>
        <v>14.31</v>
      </c>
      <c r="H3" s="23">
        <v>45512.079861111109</v>
      </c>
      <c r="I3" s="22"/>
      <c r="K3" s="5"/>
      <c r="L3" s="2">
        <v>34</v>
      </c>
      <c r="M3" s="5"/>
      <c r="N3" s="6">
        <v>288.69</v>
      </c>
      <c r="O3" s="32"/>
      <c r="P3" s="28"/>
      <c r="Q3" s="12" t="s">
        <v>14</v>
      </c>
      <c r="R3" s="11" t="s">
        <v>16</v>
      </c>
      <c r="S3" s="13">
        <f>5*7.73</f>
        <v>38.650000000000006</v>
      </c>
    </row>
    <row r="4" spans="1:19" ht="16" thickBot="1" x14ac:dyDescent="0.4">
      <c r="A4" s="9" t="s">
        <v>20</v>
      </c>
      <c r="B4" t="str">
        <f>VLOOKUP(A4,[1]Sheet3!$A:$B,2,0)</f>
        <v>1102635</v>
      </c>
      <c r="C4" t="str">
        <f>VLOOKUP(A4,[1]Sheet3!$A:$C,3,0)</f>
        <v>762-5-4</v>
      </c>
      <c r="D4" t="str">
        <f>VLOOKUP(A4,[1]Sheet3!$A:$D,4,0)</f>
        <v>762</v>
      </c>
      <c r="E4" t="str">
        <f>VLOOKUP(A4,[1]Sheet3!$A:$E,5,0)</f>
        <v>RADIO CARRIER W/SWIVEL</v>
      </c>
      <c r="F4">
        <f>VLOOKUP(A4,[1]Sheet3!$A:$L,12,0)</f>
        <v>25</v>
      </c>
      <c r="G4">
        <f>VLOOKUP(A4,[1]Sheet3!$A:$P,16,0)</f>
        <v>10.63</v>
      </c>
      <c r="H4" s="23">
        <v>45512.087500000001</v>
      </c>
      <c r="I4" s="22"/>
      <c r="K4" s="14"/>
      <c r="R4" s="15"/>
      <c r="S4" s="16">
        <f>SUM(S2:S3)</f>
        <v>288.69</v>
      </c>
    </row>
    <row r="5" spans="1:19" ht="15.5" x14ac:dyDescent="0.35">
      <c r="A5" s="9" t="s">
        <v>21</v>
      </c>
      <c r="B5" t="str">
        <f>VLOOKUP(A5,[1]Sheet3!$A:$B,2,0)</f>
        <v>1128389</v>
      </c>
      <c r="C5" t="str">
        <f>VLOOKUP(A5,[1]Sheet3!$A:$C,3,0)</f>
        <v>75-83-48</v>
      </c>
      <c r="D5" t="str">
        <f>VLOOKUP(A5,[1]Sheet3!$A:$D,4,0)</f>
        <v>75</v>
      </c>
      <c r="E5" t="str">
        <f>VLOOKUP(A5,[1]Sheet3!$A:$E,5,0)</f>
        <v>75 GLOCK 17/22 STX BSK BLK</v>
      </c>
      <c r="F5">
        <f>VLOOKUP(A5,[1]Sheet3!$A:$L,12,0)</f>
        <v>25</v>
      </c>
      <c r="G5">
        <f>VLOOKUP(A5,[1]Sheet3!$A:$P,16,0)</f>
        <v>6.52</v>
      </c>
      <c r="H5" s="23">
        <v>45512.095138888886</v>
      </c>
      <c r="I5" s="22"/>
    </row>
    <row r="6" spans="1:19" ht="15.5" x14ac:dyDescent="0.35">
      <c r="A6" s="9" t="s">
        <v>22</v>
      </c>
      <c r="B6" s="18" t="str">
        <f>VLOOKUP(A6,[1]Sheet3!$A:$B,2,0)</f>
        <v>1102558</v>
      </c>
      <c r="C6" t="str">
        <f>VLOOKUP(A6,[1]Sheet3!$A:$C,3,0)</f>
        <v>761-4-2</v>
      </c>
      <c r="D6" t="str">
        <f>VLOOKUP(A6,[1]Sheet3!$A:$D,4,0)</f>
        <v>761</v>
      </c>
      <c r="E6" t="str">
        <f>VLOOKUP(A6,[1]Sheet3!$A:$E,5,0)</f>
        <v>RADIO CARRIER FORMED PCH ADJ</v>
      </c>
      <c r="F6">
        <f>VLOOKUP(A6,[1]Sheet3!$A:$L,12,0)</f>
        <v>6</v>
      </c>
      <c r="G6">
        <f>VLOOKUP(A6,[1]Sheet3!$A:$P,16,0)</f>
        <v>2.12</v>
      </c>
      <c r="H6" s="23">
        <v>45512.095138888886</v>
      </c>
      <c r="I6" s="22"/>
    </row>
    <row r="7" spans="1:19" ht="15.5" x14ac:dyDescent="0.35">
      <c r="A7" s="9" t="s">
        <v>23</v>
      </c>
      <c r="B7">
        <v>1098789</v>
      </c>
      <c r="C7" t="s">
        <v>24</v>
      </c>
      <c r="D7">
        <v>38</v>
      </c>
      <c r="E7" t="e">
        <f>VLOOKUP(A7,[1]Sheet3!$A:$E,5,0)</f>
        <v>#N/A</v>
      </c>
      <c r="F7">
        <v>9</v>
      </c>
      <c r="G7" t="e">
        <f>VLOOKUP(A7,[1]Sheet3!$A:$P,16,0)</f>
        <v>#N/A</v>
      </c>
      <c r="H7" s="23">
        <v>45512.095833333333</v>
      </c>
      <c r="I7" s="22"/>
    </row>
    <row r="8" spans="1:19" ht="15.5" x14ac:dyDescent="0.35">
      <c r="A8" s="9" t="s">
        <v>25</v>
      </c>
      <c r="B8" s="18" t="str">
        <f>VLOOKUP(A8,[1]Sheet3!$A:$B,2,0)</f>
        <v>1323220</v>
      </c>
      <c r="C8" t="str">
        <f>VLOOKUP(A8,[1]Sheet3!$A:$C,3,0)</f>
        <v>76-83-13PBL-NP</v>
      </c>
      <c r="D8" t="str">
        <f>VLOOKUP(A8,[1]Sheet3!$A:$D,4,0)</f>
        <v>76</v>
      </c>
      <c r="E8" t="str">
        <f>VLOOKUP(A8,[1]Sheet3!$A:$E,5,0)</f>
        <v>76 GLOCK 17/22 STX BLK</v>
      </c>
      <c r="F8">
        <f>VLOOKUP(A8,[1]Sheet3!$A:$L,12,0)</f>
        <v>2</v>
      </c>
      <c r="G8">
        <f>VLOOKUP(A8,[1]Sheet3!$A:$P,16,0)</f>
        <v>0.34</v>
      </c>
      <c r="H8" s="23">
        <v>45512.095833333333</v>
      </c>
      <c r="I8" s="22"/>
    </row>
    <row r="9" spans="1:19" ht="15.5" x14ac:dyDescent="0.35">
      <c r="A9" s="9" t="s">
        <v>26</v>
      </c>
      <c r="B9" s="18" t="str">
        <f>VLOOKUP(A9,[1]Sheet3!$A:$B,2,0)</f>
        <v>1326043</v>
      </c>
      <c r="C9" t="str">
        <f>VLOOKUP(A9,[1]Sheet3!$A:$C,3,0)</f>
        <v>76-295-23PBL-NP</v>
      </c>
      <c r="D9" t="str">
        <f>VLOOKUP(A9,[1]Sheet3!$A:$D,4,0)</f>
        <v>76</v>
      </c>
      <c r="E9" t="str">
        <f>VLOOKUP(A9,[1]Sheet3!$A:$E,5,0)</f>
        <v>MAG HOLDER SINGLE</v>
      </c>
      <c r="F9">
        <f>VLOOKUP(A9,[1]Sheet3!$A:$L,12,0)</f>
        <v>1</v>
      </c>
      <c r="G9">
        <f>VLOOKUP(A9,[1]Sheet3!$A:$P,16,0)</f>
        <v>0.17</v>
      </c>
      <c r="H9" s="23">
        <v>45512.107638888891</v>
      </c>
      <c r="I9" s="22"/>
    </row>
    <row r="10" spans="1:19" ht="15.5" x14ac:dyDescent="0.35">
      <c r="A10" s="9" t="s">
        <v>27</v>
      </c>
      <c r="B10" t="str">
        <f>VLOOKUP(A10,[1]Sheet3!$A:$B,2,0)</f>
        <v>1098765</v>
      </c>
      <c r="C10" t="str">
        <f>VLOOKUP(A10,[1]Sheet3!$A:$C,3,0)</f>
        <v>38-2-4</v>
      </c>
      <c r="D10" t="str">
        <f>VLOOKUP(A10,[1]Sheet3!$A:$D,4,0)</f>
        <v>38</v>
      </c>
      <c r="E10" t="str">
        <f>VLOOKUP(A10,[1]Sheet3!$A:$E,5,0)</f>
        <v>MACE HOLDERTOP FLAP</v>
      </c>
      <c r="F10">
        <f>VLOOKUP(A10,[1]Sheet3!$A:$L,12,0)</f>
        <v>15</v>
      </c>
      <c r="G10">
        <f>VLOOKUP(A10,[1]Sheet3!$A:$P,16,0)</f>
        <v>4.8600000000000003</v>
      </c>
      <c r="H10" s="23">
        <v>45512.11041666667</v>
      </c>
      <c r="I10" s="22"/>
    </row>
    <row r="11" spans="1:19" ht="15.5" x14ac:dyDescent="0.35">
      <c r="A11" s="9" t="s">
        <v>28</v>
      </c>
      <c r="B11" t="str">
        <f>VLOOKUP(A11,[1]Sheet3!$A:$B,2,0)</f>
        <v>1133939</v>
      </c>
      <c r="C11" t="str">
        <f>VLOOKUP(A11,[1]Sheet3!$A:$C,3,0)</f>
        <v>77-419-9</v>
      </c>
      <c r="D11" t="str">
        <f>VLOOKUP(A11,[1]Sheet3!$A:$D,4,0)</f>
        <v>77</v>
      </c>
      <c r="E11" t="str">
        <f>VLOOKUP(A11,[1]Sheet3!$A:$E,5,0)</f>
        <v>MAGAZINE HOLDER DOUBLE</v>
      </c>
      <c r="F11">
        <f>VLOOKUP(A11,[1]Sheet3!$A:$L,12,0)</f>
        <v>1</v>
      </c>
      <c r="G11">
        <f>VLOOKUP(A11,[1]Sheet3!$A:$P,16,0)</f>
        <v>0.45</v>
      </c>
      <c r="H11" s="23">
        <v>45512.145833333336</v>
      </c>
      <c r="I11" s="22"/>
    </row>
    <row r="12" spans="1:19" ht="15.5" x14ac:dyDescent="0.35">
      <c r="A12" s="9" t="s">
        <v>29</v>
      </c>
      <c r="B12" t="str">
        <f>VLOOKUP(A12,[1]Sheet3!$A:$B,2,0)</f>
        <v>1111833</v>
      </c>
      <c r="C12" t="str">
        <f>VLOOKUP(A12,[1]Sheet3!$A:$C,3,0)</f>
        <v>762-3-2</v>
      </c>
      <c r="D12" t="str">
        <f>VLOOKUP(A12,[1]Sheet3!$A:$D,4,0)</f>
        <v>762</v>
      </c>
      <c r="E12" t="str">
        <f>VLOOKUP(A12,[1]Sheet3!$A:$E,5,0)</f>
        <v>RADIO CARRIER W/SWIVEL</v>
      </c>
      <c r="F12">
        <f>VLOOKUP(A12,[1]Sheet3!$A:$L,12,0)</f>
        <v>5</v>
      </c>
      <c r="G12">
        <f>VLOOKUP(A12,[1]Sheet3!$A:$P,16,0)</f>
        <v>2.06</v>
      </c>
      <c r="H12" s="23">
        <v>45512.145833333336</v>
      </c>
      <c r="I12" s="22"/>
    </row>
    <row r="13" spans="1:19" ht="15.5" x14ac:dyDescent="0.35">
      <c r="A13" s="9" t="s">
        <v>30</v>
      </c>
      <c r="B13" t="str">
        <f>VLOOKUP(A13,[1]Sheet3!$A:$B,2,0)</f>
        <v>1116719</v>
      </c>
      <c r="C13" t="str">
        <f>VLOOKUP(A13,[1]Sheet3!$A:$C,3,0)</f>
        <v>77-283-2B</v>
      </c>
      <c r="D13" t="str">
        <f>VLOOKUP(A13,[1]Sheet3!$A:$D,4,0)</f>
        <v>77</v>
      </c>
      <c r="E13" t="str">
        <f>VLOOKUP(A13,[1]Sheet3!$A:$E,5,0)</f>
        <v>77 GLOCK 19/23 PLN BLK</v>
      </c>
      <c r="F13">
        <f>VLOOKUP(A13,[1]Sheet3!$A:$L,12,0)</f>
        <v>5</v>
      </c>
      <c r="G13">
        <f>VLOOKUP(A13,[1]Sheet3!$A:$P,16,0)</f>
        <v>1.85</v>
      </c>
      <c r="H13" s="23">
        <v>45512.145833333336</v>
      </c>
      <c r="I13" s="22"/>
    </row>
    <row r="14" spans="1:19" ht="15.5" x14ac:dyDescent="0.35">
      <c r="A14" s="9" t="s">
        <v>31</v>
      </c>
      <c r="B14" s="18" t="str">
        <f>VLOOKUP(A14,[1]Sheet3!$A:$B,2,0)</f>
        <v>1161896</v>
      </c>
      <c r="C14" t="str">
        <f>VLOOKUP(A14,[1]Sheet3!$A:$C,3,0)</f>
        <v>775-53-763</v>
      </c>
      <c r="D14" t="str">
        <f>VLOOKUP(A14,[1]Sheet3!$A:$D,4,0)</f>
        <v>775</v>
      </c>
      <c r="E14" t="str">
        <f>VLOOKUP(A14,[1]Sheet3!$A:$E,5,0)</f>
        <v>SLIMLINE OPEN-TOP TRIPLE MAGAZINE POUCH</v>
      </c>
      <c r="F14">
        <f>VLOOKUP(A14,[1]Sheet3!$A:$L,12,0)</f>
        <v>1</v>
      </c>
      <c r="G14">
        <f>VLOOKUP(A14,[1]Sheet3!$A:$P,16,0)</f>
        <v>0.4</v>
      </c>
      <c r="H14" s="23">
        <v>45512.145833333336</v>
      </c>
      <c r="I14" s="22"/>
    </row>
    <row r="15" spans="1:19" ht="15.5" x14ac:dyDescent="0.35">
      <c r="A15" s="9" t="s">
        <v>32</v>
      </c>
      <c r="B15" t="str">
        <f>VLOOKUP(A15,[1]Sheet3!$A:$B,2,0)</f>
        <v>1331212</v>
      </c>
      <c r="C15" t="str">
        <f>VLOOKUP(A15,[1]Sheet3!$A:$C,3,0)</f>
        <v>76-83-563PBL-MSA</v>
      </c>
      <c r="D15" t="str">
        <f>VLOOKUP(A15,[1]Sheet3!$A:$D,4,0)</f>
        <v>76</v>
      </c>
      <c r="E15" t="str">
        <f>VLOOKUP(A15,[1]Sheet3!$A:$E,5,0)</f>
        <v>76 GLOCK 17/22 STX ODG</v>
      </c>
      <c r="F15">
        <f>VLOOKUP(A15,[1]Sheet3!$A:$L,12,0)</f>
        <v>1</v>
      </c>
      <c r="G15">
        <f>VLOOKUP(A15,[1]Sheet3!$A:$P,16,0)</f>
        <v>0.31</v>
      </c>
      <c r="H15" s="23">
        <v>45512.145833333336</v>
      </c>
      <c r="I15" s="22"/>
    </row>
    <row r="16" spans="1:19" ht="15.5" x14ac:dyDescent="0.35">
      <c r="A16" s="9" t="s">
        <v>17</v>
      </c>
      <c r="B16" s="18" t="str">
        <f>VLOOKUP(A16,[1]Sheet3!$A:$B,2,0)</f>
        <v>1142009</v>
      </c>
      <c r="C16" t="str">
        <f>VLOOKUP(A16,[1]Sheet3!$A:$C,3,0)</f>
        <v>P-307-9-263PBL</v>
      </c>
      <c r="D16" t="str">
        <f>VLOOKUP(A16,[1]Sheet3!$A:$D,4,0)</f>
        <v>POUCH HOLDER 307</v>
      </c>
      <c r="E16" t="str">
        <f>VLOOKUP(A16,[1]Sheet3!$A:$E,5,0)</f>
        <v>POUCH HOLDER W/FLAP</v>
      </c>
      <c r="F16">
        <f>VLOOKUP(A16,[1]Sheet3!$A:$L,12,0)</f>
        <v>1</v>
      </c>
      <c r="G16">
        <f>VLOOKUP(A16,[1]Sheet3!$A:$P,16,0)</f>
        <v>0.33</v>
      </c>
      <c r="H16" s="23">
        <v>45512.146527777775</v>
      </c>
      <c r="I16" s="22"/>
    </row>
    <row r="17" spans="1:9" ht="15.5" x14ac:dyDescent="0.35">
      <c r="A17" s="9" t="s">
        <v>33</v>
      </c>
      <c r="B17" t="str">
        <f>VLOOKUP(A17,[1]Sheet3!$A:$B,2,0)</f>
        <v>1141146</v>
      </c>
      <c r="C17" t="str">
        <f>VLOOKUP(A17,[1]Sheet3!$A:$C,3,0)</f>
        <v>78-83-13</v>
      </c>
      <c r="D17" t="str">
        <f>VLOOKUP(A17,[1]Sheet3!$A:$D,4,0)</f>
        <v>78</v>
      </c>
      <c r="E17" t="str">
        <f>VLOOKUP(A17,[1]Sheet3!$A:$E,5,0)</f>
        <v>78 GLOCK 17/22 STX TAC BLK</v>
      </c>
      <c r="F17">
        <f>VLOOKUP(A17,[1]Sheet3!$A:$L,12,0)</f>
        <v>1</v>
      </c>
      <c r="G17">
        <f>VLOOKUP(A17,[1]Sheet3!$A:$P,16,0)</f>
        <v>0.41</v>
      </c>
      <c r="H17" s="23">
        <v>45512.152083333334</v>
      </c>
      <c r="I17" s="22"/>
    </row>
    <row r="18" spans="1:9" ht="15.5" x14ac:dyDescent="0.35">
      <c r="A18" s="9" t="s">
        <v>34</v>
      </c>
      <c r="B18" t="str">
        <f>VLOOKUP(A18,[1]Sheet3!$A:$B,2,0)</f>
        <v>1138831</v>
      </c>
      <c r="C18" t="str">
        <f>VLOOKUP(A18,[1]Sheet3!$A:$C,3,0)</f>
        <v>78-83-2B</v>
      </c>
      <c r="D18" t="str">
        <f>VLOOKUP(A18,[1]Sheet3!$A:$D,4,0)</f>
        <v>78</v>
      </c>
      <c r="E18" t="str">
        <f>VLOOKUP(A18,[1]Sheet3!$A:$E,5,0)</f>
        <v>78 GLOCK 17/22 PLN BLK</v>
      </c>
      <c r="F18">
        <f>VLOOKUP(A18,[1]Sheet3!$A:$L,12,0)</f>
        <v>5</v>
      </c>
      <c r="G18">
        <f>VLOOKUP(A18,[1]Sheet3!$A:$P,16,0)</f>
        <v>2.04</v>
      </c>
      <c r="H18" s="23">
        <v>45512.152083333334</v>
      </c>
      <c r="I18" s="22"/>
    </row>
    <row r="19" spans="1:9" ht="15.5" x14ac:dyDescent="0.35">
      <c r="A19" s="9" t="s">
        <v>35</v>
      </c>
      <c r="B19" t="str">
        <f>VLOOKUP(A19,[1]Sheet3!$A:$B,2,0)</f>
        <v>1139739</v>
      </c>
      <c r="C19" t="str">
        <f>VLOOKUP(A19,[1]Sheet3!$A:$C,3,0)</f>
        <v>78-83-49PBL</v>
      </c>
      <c r="D19" t="str">
        <f>VLOOKUP(A19,[1]Sheet3!$A:$D,4,0)</f>
        <v>78</v>
      </c>
      <c r="E19" t="str">
        <f>VLOOKUP(A19,[1]Sheet3!$A:$E,5,0)</f>
        <v>78 GLOCK 17/22 STX HI GLS BLK</v>
      </c>
      <c r="F19">
        <f>VLOOKUP(A19,[1]Sheet3!$A:$L,12,0)</f>
        <v>1</v>
      </c>
      <c r="G19">
        <f>VLOOKUP(A19,[1]Sheet3!$A:$P,16,0)</f>
        <v>0.41</v>
      </c>
      <c r="H19" s="23">
        <v>45512.152083333334</v>
      </c>
      <c r="I19" s="22"/>
    </row>
    <row r="20" spans="1:9" ht="15.5" x14ac:dyDescent="0.35">
      <c r="A20" s="9" t="s">
        <v>36</v>
      </c>
      <c r="B20" t="str">
        <f>VLOOKUP(A20,[1]Sheet3!$A:$B,2,0)</f>
        <v>1155915</v>
      </c>
      <c r="C20" t="str">
        <f>VLOOKUP(A20,[1]Sheet3!$A:$C,3,0)</f>
        <v>77-76-49B</v>
      </c>
      <c r="D20" t="str">
        <f>VLOOKUP(A20,[1]Sheet3!$A:$D,4,0)</f>
        <v>77</v>
      </c>
      <c r="E20" t="str">
        <f>VLOOKUP(A20,[1]Sheet3!$A:$E,5,0)</f>
        <v>MAGAZINE HOLDER DOUBLE</v>
      </c>
      <c r="F20">
        <f>VLOOKUP(A20,[1]Sheet3!$A:$L,12,0)</f>
        <v>1</v>
      </c>
      <c r="G20">
        <f>VLOOKUP(A20,[1]Sheet3!$A:$P,16,0)</f>
        <v>0.4</v>
      </c>
      <c r="H20" s="23">
        <v>45512.152083333334</v>
      </c>
      <c r="I20" s="22"/>
    </row>
    <row r="21" spans="1:9" ht="15.5" x14ac:dyDescent="0.35">
      <c r="A21" s="9" t="s">
        <v>37</v>
      </c>
      <c r="B21" t="str">
        <f>VLOOKUP(A21,[1]Sheet3!$A:$B,2,0)</f>
        <v>1128856</v>
      </c>
      <c r="C21" t="str">
        <f>VLOOKUP(A21,[1]Sheet3!$A:$C,3,0)</f>
        <v>306-2-48</v>
      </c>
      <c r="D21" t="str">
        <f>VLOOKUP(A21,[1]Sheet3!$A:$D,4,0)</f>
        <v>306</v>
      </c>
      <c r="E21" t="str">
        <f>VLOOKUP(A21,[1]Sheet3!$A:$E,5,0)</f>
        <v>306 SCORPION STX BSK BLK</v>
      </c>
      <c r="F21">
        <f>VLOOKUP(A21,[1]Sheet3!$A:$L,12,0)</f>
        <v>5</v>
      </c>
      <c r="G21">
        <f>VLOOKUP(A21,[1]Sheet3!$A:$P,16,0)</f>
        <v>1.43</v>
      </c>
      <c r="H21" s="23">
        <v>45512.152083333334</v>
      </c>
      <c r="I21" s="22"/>
    </row>
    <row r="22" spans="1:9" ht="15.5" x14ac:dyDescent="0.35">
      <c r="A22" s="9" t="s">
        <v>38</v>
      </c>
      <c r="B22" t="str">
        <f>VLOOKUP(A22,[1]Sheet3!$A:$B,2,0)</f>
        <v>1138605</v>
      </c>
      <c r="C22" t="str">
        <f>VLOOKUP(A22,[1]Sheet3!$A:$C,3,0)</f>
        <v>78-83-41</v>
      </c>
      <c r="D22" t="str">
        <f>VLOOKUP(A22,[1]Sheet3!$A:$D,4,0)</f>
        <v>78</v>
      </c>
      <c r="E22" t="str">
        <f>VLOOKUP(A22,[1]Sheet3!$A:$E,5,0)</f>
        <v>78 GLOCK 17/22 STX PLN BLK</v>
      </c>
      <c r="F22">
        <f>VLOOKUP(A22,[1]Sheet3!$A:$L,12,0)</f>
        <v>5</v>
      </c>
      <c r="G22">
        <f>VLOOKUP(A22,[1]Sheet3!$A:$P,16,0)</f>
        <v>2.04</v>
      </c>
      <c r="H22" s="23">
        <v>45512.152083333334</v>
      </c>
      <c r="I22" s="22"/>
    </row>
    <row r="23" spans="1:9" ht="15.5" x14ac:dyDescent="0.35">
      <c r="A23" s="9" t="s">
        <v>39</v>
      </c>
      <c r="B23" t="str">
        <f>VLOOKUP(A23,[1]Sheet3!$A:$B,2,0)</f>
        <v>1131803</v>
      </c>
      <c r="C23" t="str">
        <f>VLOOKUP(A23,[1]Sheet3!$A:$C,3,0)</f>
        <v>73-383-48</v>
      </c>
      <c r="D23" t="str">
        <f>VLOOKUP(A23,[1]Sheet3!$A:$D,4,0)</f>
        <v>73</v>
      </c>
      <c r="E23" t="str">
        <f>VLOOKUP(A23,[1]Sheet3!$A:$E,5,0)</f>
        <v>73 GLOCK 20/21 STX BSK BLK</v>
      </c>
      <c r="F23">
        <f>VLOOKUP(A23,[1]Sheet3!$A:$L,12,0)</f>
        <v>4</v>
      </c>
      <c r="G23">
        <f>VLOOKUP(A23,[1]Sheet3!$A:$P,16,0)</f>
        <v>1.35</v>
      </c>
      <c r="H23" s="23">
        <v>45512.152777777781</v>
      </c>
      <c r="I23" s="22"/>
    </row>
    <row r="24" spans="1:9" ht="15.5" x14ac:dyDescent="0.35">
      <c r="A24" s="9" t="s">
        <v>40</v>
      </c>
      <c r="B24" t="str">
        <f>VLOOKUP(A24,[1]Sheet3!$A:$B,2,0)</f>
        <v>1099520</v>
      </c>
      <c r="C24" t="str">
        <f>VLOOKUP(A24,[1]Sheet3!$A:$C,3,0)</f>
        <v>306-1-9</v>
      </c>
      <c r="D24" t="str">
        <f>VLOOKUP(A24,[1]Sheet3!$A:$D,4,0)</f>
        <v>306</v>
      </c>
      <c r="E24" t="str">
        <f>VLOOKUP(A24,[1]Sheet3!$A:$E,5,0)</f>
        <v>306 STRMLGT STINGER HI GLS BLK</v>
      </c>
      <c r="F24">
        <f>VLOOKUP(A24,[1]Sheet3!$A:$L,12,0)</f>
        <v>5</v>
      </c>
      <c r="G24">
        <f>VLOOKUP(A24,[1]Sheet3!$A:$P,16,0)</f>
        <v>1.89</v>
      </c>
      <c r="H24" s="23">
        <v>45512.152777777781</v>
      </c>
      <c r="I24" s="22"/>
    </row>
    <row r="25" spans="1:9" ht="15.5" x14ac:dyDescent="0.35">
      <c r="A25" s="9" t="s">
        <v>41</v>
      </c>
      <c r="B25" t="str">
        <f>VLOOKUP(A25,[1]Sheet3!$A:$B,2,0)</f>
        <v>1123198</v>
      </c>
      <c r="C25" t="str">
        <f>VLOOKUP(A25,[1]Sheet3!$A:$C,3,0)</f>
        <v>75-83-2</v>
      </c>
      <c r="D25" t="str">
        <f>VLOOKUP(A25,[1]Sheet3!$A:$D,4,0)</f>
        <v>75</v>
      </c>
      <c r="E25" t="str">
        <f>VLOOKUP(A25,[1]Sheet3!$A:$E,5,0)</f>
        <v>75 GLOCK 17/22 PLN BLK</v>
      </c>
      <c r="F25">
        <f>VLOOKUP(A25,[1]Sheet3!$A:$L,12,0)</f>
        <v>15</v>
      </c>
      <c r="G25">
        <f>VLOOKUP(A25,[1]Sheet3!$A:$P,16,0)</f>
        <v>3.41</v>
      </c>
      <c r="H25" s="23">
        <v>45512.171527777777</v>
      </c>
      <c r="I25" s="22"/>
    </row>
    <row r="26" spans="1:9" ht="15.5" x14ac:dyDescent="0.35">
      <c r="A26" s="9" t="s">
        <v>42</v>
      </c>
      <c r="B26" t="str">
        <f>VLOOKUP(A26,[1]Sheet3!$A:$B,2,0)</f>
        <v>1103209</v>
      </c>
      <c r="C26" t="str">
        <f>VLOOKUP(A26,[1]Sheet3!$A:$C,3,0)</f>
        <v>90H-2</v>
      </c>
      <c r="D26" t="str">
        <f>VLOOKUP(A26,[1]Sheet3!$A:$D,4,0)</f>
        <v>90H</v>
      </c>
      <c r="E26" t="str">
        <f>VLOOKUP(A26,[1]Sheet3!$A:$E,5,0)</f>
        <v>HANDCUFF POUCHTOP FLAP</v>
      </c>
      <c r="F26">
        <f>VLOOKUP(A26,[1]Sheet3!$A:$L,12,0)</f>
        <v>20</v>
      </c>
      <c r="G26">
        <f>VLOOKUP(A26,[1]Sheet3!$A:$P,16,0)</f>
        <v>6.43</v>
      </c>
      <c r="H26" s="23">
        <v>45512.17291666667</v>
      </c>
      <c r="I26" s="22"/>
    </row>
    <row r="27" spans="1:9" ht="15.5" x14ac:dyDescent="0.35">
      <c r="A27" s="9" t="s">
        <v>43</v>
      </c>
      <c r="B27" t="str">
        <f>VLOOKUP(A27,[1]Sheet3!$A:$B,2,0)</f>
        <v>1137885</v>
      </c>
      <c r="C27" t="str">
        <f>VLOOKUP(A27,[1]Sheet3!$A:$C,3,0)</f>
        <v>775-383-4</v>
      </c>
      <c r="D27" t="str">
        <f>VLOOKUP(A27,[1]Sheet3!$A:$D,4,0)</f>
        <v>775</v>
      </c>
      <c r="E27" t="str">
        <f>VLOOKUP(A27,[1]Sheet3!$A:$E,5,0)</f>
        <v>775 GLOCK 20/21 BSK BLK</v>
      </c>
      <c r="F27">
        <f>VLOOKUP(A27,[1]Sheet3!$A:$L,12,0)</f>
        <v>10</v>
      </c>
      <c r="G27">
        <f>VLOOKUP(A27,[1]Sheet3!$A:$P,16,0)</f>
        <v>3.66</v>
      </c>
      <c r="H27" s="23">
        <v>45512.177083333336</v>
      </c>
      <c r="I27" s="22"/>
    </row>
    <row r="28" spans="1:9" ht="15.5" x14ac:dyDescent="0.35">
      <c r="A28" s="9" t="s">
        <v>44</v>
      </c>
      <c r="B28" t="str">
        <f>VLOOKUP(A28,[1]Sheet3!$A:$B,2,0)</f>
        <v>1137885</v>
      </c>
      <c r="C28" t="str">
        <f>VLOOKUP(A28,[1]Sheet3!$A:$C,3,0)</f>
        <v>775-383-4</v>
      </c>
      <c r="D28" t="str">
        <f>VLOOKUP(A28,[1]Sheet3!$A:$D,4,0)</f>
        <v>775</v>
      </c>
      <c r="E28" t="str">
        <f>VLOOKUP(A28,[1]Sheet3!$A:$E,5,0)</f>
        <v>775 GLOCK 20/21 BSK BLK</v>
      </c>
      <c r="F28">
        <f>VLOOKUP(A28,[1]Sheet3!$A:$L,12,0)</f>
        <v>10</v>
      </c>
      <c r="G28">
        <f>VLOOKUP(A28,[1]Sheet3!$A:$P,16,0)</f>
        <v>3.66</v>
      </c>
      <c r="H28" s="23">
        <v>45512.177083333336</v>
      </c>
      <c r="I28" s="22"/>
    </row>
    <row r="29" spans="1:9" ht="15.5" x14ac:dyDescent="0.35">
      <c r="A29" s="9" t="s">
        <v>45</v>
      </c>
      <c r="B29" t="str">
        <f>VLOOKUP(A29,[1]Sheet3!$A:$B,2,0)</f>
        <v>1101913</v>
      </c>
      <c r="C29" t="str">
        <f>VLOOKUP(A29,[1]Sheet3!$A:$C,3,0)</f>
        <v>77-53-23PBL</v>
      </c>
      <c r="D29" t="str">
        <f>VLOOKUP(A29,[1]Sheet3!$A:$D,4,0)</f>
        <v>77</v>
      </c>
      <c r="E29" t="str">
        <f>VLOOKUP(A29,[1]Sheet3!$A:$E,5,0)</f>
        <v>77 COLT 1911 STX TAC BLK</v>
      </c>
      <c r="F29">
        <f>VLOOKUP(A29,[1]Sheet3!$A:$L,12,0)</f>
        <v>2</v>
      </c>
      <c r="G29">
        <f>VLOOKUP(A29,[1]Sheet3!$A:$P,16,0)</f>
        <v>0.7</v>
      </c>
      <c r="H29" s="23">
        <v>45512.185416666667</v>
      </c>
      <c r="I29" s="22"/>
    </row>
    <row r="30" spans="1:9" ht="15.5" x14ac:dyDescent="0.35">
      <c r="A30" s="9" t="s">
        <v>46</v>
      </c>
      <c r="B30" t="str">
        <f>VLOOKUP(A30,[1]Sheet3!$A:$B,2,0)</f>
        <v>1102565</v>
      </c>
      <c r="C30" t="str">
        <f>VLOOKUP(A30,[1]Sheet3!$A:$C,3,0)</f>
        <v>761-5-4</v>
      </c>
      <c r="D30" t="str">
        <f>VLOOKUP(A30,[1]Sheet3!$A:$D,4,0)</f>
        <v>761</v>
      </c>
      <c r="E30" t="str">
        <f>VLOOKUP(A30,[1]Sheet3!$A:$E,5,0)</f>
        <v>RADIO CARRIER FORMED PCH ADJ</v>
      </c>
      <c r="F30">
        <f>VLOOKUP(A30,[1]Sheet3!$A:$L,12,0)</f>
        <v>26</v>
      </c>
      <c r="G30">
        <f>VLOOKUP(A30,[1]Sheet3!$A:$P,16,0)</f>
        <v>9.57</v>
      </c>
      <c r="H30" s="23">
        <v>45512.188888888886</v>
      </c>
      <c r="I30" s="22"/>
    </row>
    <row r="31" spans="1:9" ht="15.5" x14ac:dyDescent="0.35">
      <c r="A31" s="9" t="s">
        <v>47</v>
      </c>
      <c r="B31" t="str">
        <f>VLOOKUP(A31,[1]Sheet3!$A:$B,2,0)</f>
        <v>1099526</v>
      </c>
      <c r="C31" t="str">
        <f>VLOOKUP(A31,[1]Sheet3!$A:$C,3,0)</f>
        <v>306-11-4</v>
      </c>
      <c r="D31" t="str">
        <f>VLOOKUP(A31,[1]Sheet3!$A:$D,4,0)</f>
        <v>306</v>
      </c>
      <c r="E31" t="str">
        <f>VLOOKUP(A31,[1]Sheet3!$A:$E,5,0)</f>
        <v>306 STRINGER W/ PLY GRP BSK BLK</v>
      </c>
      <c r="F31">
        <f>VLOOKUP(A31,[1]Sheet3!$A:$L,12,0)</f>
        <v>30</v>
      </c>
      <c r="G31">
        <f>VLOOKUP(A31,[1]Sheet3!$A:$P,16,0)</f>
        <v>11.08</v>
      </c>
      <c r="H31" s="23">
        <v>45512.195138888892</v>
      </c>
      <c r="I31" s="22"/>
    </row>
    <row r="32" spans="1:9" ht="15.5" x14ac:dyDescent="0.35">
      <c r="A32" s="9" t="s">
        <v>48</v>
      </c>
      <c r="B32" t="str">
        <f>VLOOKUP(A32,[1]Sheet3!$A:$B,2,0)</f>
        <v>1128389</v>
      </c>
      <c r="C32" t="str">
        <f>VLOOKUP(A32,[1]Sheet3!$A:$C,3,0)</f>
        <v>75-83-48</v>
      </c>
      <c r="D32" t="str">
        <f>VLOOKUP(A32,[1]Sheet3!$A:$D,4,0)</f>
        <v>75</v>
      </c>
      <c r="E32" t="str">
        <f>VLOOKUP(A32,[1]Sheet3!$A:$E,5,0)</f>
        <v>75 GLOCK 17/22 STX BSK BLK</v>
      </c>
      <c r="F32">
        <f>VLOOKUP(A32,[1]Sheet3!$A:$L,12,0)</f>
        <v>25</v>
      </c>
      <c r="G32">
        <f>VLOOKUP(A32,[1]Sheet3!$A:$P,16,0)</f>
        <v>6.52</v>
      </c>
      <c r="H32" s="23">
        <v>45512.195138888892</v>
      </c>
      <c r="I32" s="22"/>
    </row>
    <row r="33" spans="1:9" ht="15.5" x14ac:dyDescent="0.35">
      <c r="A33" s="9" t="s">
        <v>49</v>
      </c>
      <c r="B33" t="str">
        <f>VLOOKUP(A33,[1]Sheet3!$A:$B,2,0)</f>
        <v>1137789</v>
      </c>
      <c r="C33" t="str">
        <f>VLOOKUP(A33,[1]Sheet3!$A:$C,3,0)</f>
        <v>777-83-4PBL</v>
      </c>
      <c r="D33" t="str">
        <f>VLOOKUP(A33,[1]Sheet3!$A:$D,4,0)</f>
        <v>777</v>
      </c>
      <c r="E33" t="str">
        <f>VLOOKUP(A33,[1]Sheet3!$A:$E,5,0)</f>
        <v>777 GLOCK 17/22 BSK BLK</v>
      </c>
      <c r="F33">
        <f>VLOOKUP(A33,[1]Sheet3!$A:$L,12,0)</f>
        <v>10</v>
      </c>
      <c r="G33">
        <f>VLOOKUP(A33,[1]Sheet3!$A:$P,16,0)</f>
        <v>5.36</v>
      </c>
      <c r="H33" s="23">
        <v>45512.197222222225</v>
      </c>
      <c r="I33" s="22"/>
    </row>
    <row r="34" spans="1:9" ht="15.5" x14ac:dyDescent="0.35">
      <c r="A34" s="9" t="s">
        <v>50</v>
      </c>
      <c r="B34" t="str">
        <f>VLOOKUP(A34,[1]Sheet3!$A:$B,2,0)</f>
        <v>1138501</v>
      </c>
      <c r="C34" t="str">
        <f>VLOOKUP(A34,[1]Sheet3!$A:$C,3,0)</f>
        <v>777-83-4B</v>
      </c>
      <c r="D34" t="str">
        <f>VLOOKUP(A34,[1]Sheet3!$A:$D,4,0)</f>
        <v>777</v>
      </c>
      <c r="E34" t="str">
        <f>VLOOKUP(A34,[1]Sheet3!$A:$E,5,0)</f>
        <v>777 GLOCK 17/22 BSK BLK</v>
      </c>
      <c r="F34" s="19">
        <f>VLOOKUP(A34,[1]Sheet3!$A:$L,12,0)</f>
        <v>10</v>
      </c>
      <c r="G34">
        <f>VLOOKUP(A34,[1]Sheet3!$A:$P,16,0)</f>
        <v>5.36</v>
      </c>
      <c r="H34" s="23">
        <v>45512.201388888891</v>
      </c>
      <c r="I34" s="22"/>
    </row>
    <row r="35" spans="1:9" ht="15.5" x14ac:dyDescent="0.35">
      <c r="A35" s="9" t="s">
        <v>51</v>
      </c>
      <c r="B35" t="str">
        <f>VLOOKUP(A35,[1]Sheet3!$A:$B,2,0)</f>
        <v>1103213</v>
      </c>
      <c r="C35" t="str">
        <f>VLOOKUP(A35,[1]Sheet3!$A:$C,3,0)</f>
        <v>90H-2HS</v>
      </c>
      <c r="D35" t="str">
        <f>VLOOKUP(A35,[1]Sheet3!$A:$D,4,0)</f>
        <v>90H</v>
      </c>
      <c r="E35" t="str">
        <f>VLOOKUP(A35,[1]Sheet3!$A:$E,5,0)</f>
        <v>HANDCUFF POUCHTOP FLAP</v>
      </c>
      <c r="F35" s="19">
        <f>VLOOKUP(A35,[1]Sheet3!$A:$L,12,0)</f>
        <v>30</v>
      </c>
      <c r="G35">
        <f>VLOOKUP(A35,[1]Sheet3!$A:$P,16,0)</f>
        <v>9.82</v>
      </c>
      <c r="H35" s="23">
        <v>45512.242361111108</v>
      </c>
      <c r="I35" s="22"/>
    </row>
    <row r="36" spans="1:9" ht="15.5" x14ac:dyDescent="0.35">
      <c r="A36" s="9" t="s">
        <v>52</v>
      </c>
      <c r="B36" t="str">
        <f>VLOOKUP(A36,[1]Sheet3!$A:$B,2,0)</f>
        <v>1103240</v>
      </c>
      <c r="C36" t="str">
        <f>VLOOKUP(A36,[1]Sheet3!$A:$C,3,0)</f>
        <v>90-2</v>
      </c>
      <c r="D36" t="str">
        <f>VLOOKUP(A36,[1]Sheet3!$A:$D,4,0)</f>
        <v>90</v>
      </c>
      <c r="E36" t="str">
        <f>VLOOKUP(A36,[1]Sheet3!$A:$E,5,0)</f>
        <v>HANDCUFF POUCHTOP FLAP</v>
      </c>
      <c r="F36">
        <f>VLOOKUP(A36,[1]Sheet3!$A:$L,12,0)</f>
        <v>40</v>
      </c>
      <c r="G36">
        <f>VLOOKUP(A36,[1]Sheet3!$A:$P,16,0)</f>
        <v>13.63</v>
      </c>
      <c r="H36" s="23">
        <v>45512.257638888892</v>
      </c>
      <c r="I36" s="22"/>
    </row>
    <row r="37" spans="1:9" ht="15.5" x14ac:dyDescent="0.35">
      <c r="A37" s="9" t="s">
        <v>53</v>
      </c>
      <c r="B37" t="str">
        <f>VLOOKUP(A37,[1]Sheet3!$A:$B,2,0)</f>
        <v>1138057</v>
      </c>
      <c r="C37" t="str">
        <f>VLOOKUP(A37,[1]Sheet3!$A:$C,3,0)</f>
        <v>79-383-4</v>
      </c>
      <c r="D37" t="str">
        <f>VLOOKUP(A37,[1]Sheet3!$A:$D,4,0)</f>
        <v>79</v>
      </c>
      <c r="E37" t="str">
        <f>VLOOKUP(A37,[1]Sheet3!$A:$E,5,0)</f>
        <v>79 GLOCK 20/21 BSK BLK</v>
      </c>
      <c r="F37">
        <f>VLOOKUP(A37,[1]Sheet3!$A:$L,12,0)</f>
        <v>5</v>
      </c>
      <c r="G37">
        <f>VLOOKUP(A37,[1]Sheet3!$A:$P,16,0)</f>
        <v>1.6</v>
      </c>
      <c r="H37" s="23">
        <v>45512.259027777778</v>
      </c>
      <c r="I37" s="22"/>
    </row>
    <row r="38" spans="1:9" ht="15.5" x14ac:dyDescent="0.35">
      <c r="A38" s="9" t="s">
        <v>54</v>
      </c>
      <c r="B38" t="str">
        <f>VLOOKUP(A38,[1]Sheet3!$A:$B,2,0)</f>
        <v>1140269</v>
      </c>
      <c r="C38" t="str">
        <f>VLOOKUP(A38,[1]Sheet3!$A:$C,3,0)</f>
        <v>775-76-49</v>
      </c>
      <c r="D38" t="str">
        <f>VLOOKUP(A38,[1]Sheet3!$A:$D,4,0)</f>
        <v>775</v>
      </c>
      <c r="E38" t="str">
        <f>VLOOKUP(A38,[1]Sheet3!$A:$E,5,0)</f>
        <v>SLIMLINE OPEN-TOP TRIPLE MAGAZINE POUCH</v>
      </c>
      <c r="F38">
        <f>VLOOKUP(A38,[1]Sheet3!$A:$L,12,0)</f>
        <v>1</v>
      </c>
      <c r="G38">
        <f>VLOOKUP(A38,[1]Sheet3!$A:$P,16,0)</f>
        <v>0.37</v>
      </c>
      <c r="H38" s="23">
        <v>45512.263194444444</v>
      </c>
      <c r="I38" s="22"/>
    </row>
    <row r="39" spans="1:9" ht="15.5" x14ac:dyDescent="0.35">
      <c r="A39" s="9" t="s">
        <v>55</v>
      </c>
      <c r="B39" t="str">
        <f>VLOOKUP(A39,[1]Sheet3!$A:$B,2,0)</f>
        <v>1124212</v>
      </c>
      <c r="C39" t="str">
        <f>VLOOKUP(A39,[1]Sheet3!$A:$C,3,0)</f>
        <v>190-2-2B</v>
      </c>
      <c r="D39" t="str">
        <f>VLOOKUP(A39,[1]Sheet3!$A:$D,4,0)</f>
        <v>190</v>
      </c>
      <c r="E39" t="str">
        <f>VLOOKUP(A39,[1]Sheet3!$A:$E,5,0)</f>
        <v>HANDCUFF POUCH TOP FLAP</v>
      </c>
      <c r="F39">
        <f>VLOOKUP(A39,[1]Sheet3!$A:$L,12,0)</f>
        <v>1</v>
      </c>
      <c r="G39">
        <f>VLOOKUP(A39,[1]Sheet3!$A:$P,16,0)</f>
        <v>0.37</v>
      </c>
      <c r="H39" s="23">
        <v>45512.263194444444</v>
      </c>
      <c r="I39" s="22"/>
    </row>
    <row r="40" spans="1:9" ht="15.5" x14ac:dyDescent="0.35">
      <c r="A40" s="9" t="s">
        <v>56</v>
      </c>
      <c r="B40" t="str">
        <f>VLOOKUP(A40,[1]Sheet3!$A:$B,2,0)</f>
        <v>1103283</v>
      </c>
      <c r="C40" t="str">
        <f>VLOOKUP(A40,[1]Sheet3!$A:$C,3,0)</f>
        <v>90H-9HS</v>
      </c>
      <c r="D40" t="str">
        <f>VLOOKUP(A40,[1]Sheet3!$A:$D,4,0)</f>
        <v>90H</v>
      </c>
      <c r="E40" t="str">
        <f>VLOOKUP(A40,[1]Sheet3!$A:$E,5,0)</f>
        <v>HANDCUFF POUCHTOP FLAP</v>
      </c>
      <c r="F40">
        <f>VLOOKUP(A40,[1]Sheet3!$A:$L,12,0)</f>
        <v>20</v>
      </c>
      <c r="G40">
        <f>VLOOKUP(A40,[1]Sheet3!$A:$P,16,0)</f>
        <v>6.54</v>
      </c>
      <c r="H40" s="23">
        <v>45512.263888888891</v>
      </c>
      <c r="I40" s="22"/>
    </row>
    <row r="41" spans="1:9" ht="15.5" x14ac:dyDescent="0.35">
      <c r="A41" s="9" t="s">
        <v>57</v>
      </c>
      <c r="B41" t="str">
        <f>VLOOKUP(A41,[1]Sheet3!$A:$B,2,0)</f>
        <v>1123439</v>
      </c>
      <c r="C41" t="str">
        <f>VLOOKUP(A41,[1]Sheet3!$A:$C,3,0)</f>
        <v>75-83-4</v>
      </c>
      <c r="D41" t="str">
        <f>VLOOKUP(A41,[1]Sheet3!$A:$D,4,0)</f>
        <v>75</v>
      </c>
      <c r="E41" t="str">
        <f>VLOOKUP(A41,[1]Sheet3!$A:$E,5,0)</f>
        <v>75 GLOCK 17/22 BSK BLK</v>
      </c>
      <c r="F41">
        <f>VLOOKUP(A41,[1]Sheet3!$A:$L,12,0)</f>
        <v>50</v>
      </c>
      <c r="G41">
        <f>VLOOKUP(A41,[1]Sheet3!$A:$P,16,0)</f>
        <v>13.05</v>
      </c>
      <c r="H41" s="23">
        <v>45512.275694444441</v>
      </c>
      <c r="I41" s="22"/>
    </row>
    <row r="42" spans="1:9" ht="15.5" x14ac:dyDescent="0.35">
      <c r="A42" s="9" t="s">
        <v>58</v>
      </c>
      <c r="B42" t="str">
        <f>VLOOKUP(A42,[1]Sheet3!$A:$B,2,0)</f>
        <v>1102076</v>
      </c>
      <c r="C42" t="str">
        <f>VLOOKUP(A42,[1]Sheet3!$A:$C,3,0)</f>
        <v>77-76-9HS</v>
      </c>
      <c r="D42" t="str">
        <f>VLOOKUP(A42,[1]Sheet3!$A:$D,4,0)</f>
        <v>77</v>
      </c>
      <c r="E42" t="str">
        <f>VLOOKUP(A42,[1]Sheet3!$A:$E,5,0)</f>
        <v>MAGAZINE HOLDER DOUBLE</v>
      </c>
      <c r="F42">
        <f>VLOOKUP(A42,[1]Sheet3!$A:$L,12,0)</f>
        <v>30</v>
      </c>
      <c r="G42">
        <f>VLOOKUP(A42,[1]Sheet3!$A:$P,16,0)</f>
        <v>16.329999999999998</v>
      </c>
      <c r="H42" s="23">
        <v>45512.291666666664</v>
      </c>
      <c r="I42" s="22"/>
    </row>
    <row r="43" spans="1:9" ht="15.5" x14ac:dyDescent="0.35">
      <c r="A43" s="9"/>
      <c r="B43" t="e">
        <f>VLOOKUP(A43,[1]Sheet3!$A:$B,2,0)</f>
        <v>#N/A</v>
      </c>
      <c r="C43" t="e">
        <f>VLOOKUP(A43,[1]Sheet3!$A:$C,3,0)</f>
        <v>#N/A</v>
      </c>
      <c r="D43" t="e">
        <f>VLOOKUP(A43,[1]Sheet3!$A:$D,4,0)</f>
        <v>#N/A</v>
      </c>
      <c r="E43" t="e">
        <f>VLOOKUP(A43,[1]Sheet3!$A:$E,5,0)</f>
        <v>#N/A</v>
      </c>
      <c r="F43" t="e">
        <f>VLOOKUP(A43,[1]Sheet3!$A:$L,12,0)</f>
        <v>#N/A</v>
      </c>
      <c r="G43" t="e">
        <f>VLOOKUP(A43,[1]Sheet3!$A:$P,16,0)</f>
        <v>#N/A</v>
      </c>
      <c r="H43" s="23">
        <v>45512.277083333334</v>
      </c>
      <c r="I43" s="22"/>
    </row>
    <row r="44" spans="1:9" ht="15.5" x14ac:dyDescent="0.35">
      <c r="A44" s="9"/>
      <c r="B44" t="e">
        <f>VLOOKUP(A44,[1]Sheet3!$A:$B,2,0)</f>
        <v>#N/A</v>
      </c>
      <c r="C44" t="e">
        <f>VLOOKUP(A44,[1]Sheet3!$A:$C,3,0)</f>
        <v>#N/A</v>
      </c>
      <c r="D44" t="e">
        <f>VLOOKUP(A44,[1]Sheet3!$A:$D,4,0)</f>
        <v>#N/A</v>
      </c>
      <c r="E44" t="e">
        <f>VLOOKUP(A44,[1]Sheet3!$A:$E,5,0)</f>
        <v>#N/A</v>
      </c>
      <c r="F44" t="e">
        <f>VLOOKUP(A44,[1]Sheet3!$A:$L,12,0)</f>
        <v>#N/A</v>
      </c>
      <c r="G44" t="e">
        <f>VLOOKUP(A44,[1]Sheet3!$A:$P,16,0)</f>
        <v>#N/A</v>
      </c>
      <c r="H44" s="23">
        <v>45512.277083333334</v>
      </c>
      <c r="I44" s="22"/>
    </row>
    <row r="45" spans="1:9" ht="15.5" x14ac:dyDescent="0.35">
      <c r="A45" s="9"/>
      <c r="B45" t="e">
        <f>VLOOKUP(A45,[1]Sheet3!$A:$B,2,0)</f>
        <v>#N/A</v>
      </c>
      <c r="C45" t="e">
        <f>VLOOKUP(A45,[1]Sheet3!$A:$C,3,0)</f>
        <v>#N/A</v>
      </c>
      <c r="D45" t="e">
        <f>VLOOKUP(A45,[1]Sheet3!$A:$D,4,0)</f>
        <v>#N/A</v>
      </c>
      <c r="E45" t="e">
        <f>VLOOKUP(A45,[1]Sheet3!$A:$E,5,0)</f>
        <v>#N/A</v>
      </c>
      <c r="F45" t="e">
        <f>VLOOKUP(A45,[1]Sheet3!$A:$L,12,0)</f>
        <v>#N/A</v>
      </c>
      <c r="G45" t="e">
        <f>VLOOKUP(A45,[1]Sheet3!$A:$P,16,0)</f>
        <v>#N/A</v>
      </c>
      <c r="H45" s="23">
        <v>45512.277083333334</v>
      </c>
      <c r="I45" s="22"/>
    </row>
    <row r="46" spans="1:9" ht="15.5" x14ac:dyDescent="0.35">
      <c r="A46" s="9"/>
      <c r="B46" t="e">
        <f>VLOOKUP(A46,[1]Sheet3!$A:$B,2,0)</f>
        <v>#N/A</v>
      </c>
      <c r="C46" t="e">
        <f>VLOOKUP(A46,[1]Sheet3!$A:$C,3,0)</f>
        <v>#N/A</v>
      </c>
      <c r="D46" t="e">
        <f>VLOOKUP(A46,[1]Sheet3!$A:$D,4,0)</f>
        <v>#N/A</v>
      </c>
      <c r="E46" t="e">
        <f>VLOOKUP(A46,[1]Sheet3!$A:$E,5,0)</f>
        <v>#N/A</v>
      </c>
      <c r="F46" t="e">
        <f>VLOOKUP(A46,[1]Sheet3!$A:$L,12,0)</f>
        <v>#N/A</v>
      </c>
      <c r="G46" t="e">
        <f>VLOOKUP(A46,[1]Sheet3!$A:$P,16,0)</f>
        <v>#N/A</v>
      </c>
      <c r="H46" s="23">
        <v>45512.277083333334</v>
      </c>
      <c r="I46" s="22"/>
    </row>
    <row r="47" spans="1:9" ht="15.5" x14ac:dyDescent="0.35">
      <c r="A47" s="9"/>
      <c r="B47" t="e">
        <f>VLOOKUP(A47,[1]Sheet3!$A:$B,2,0)</f>
        <v>#N/A</v>
      </c>
      <c r="C47" t="e">
        <f>VLOOKUP(A47,[1]Sheet3!$A:$C,3,0)</f>
        <v>#N/A</v>
      </c>
      <c r="D47" t="e">
        <f>VLOOKUP(A47,[1]Sheet3!$A:$D,4,0)</f>
        <v>#N/A</v>
      </c>
      <c r="E47" t="e">
        <f>VLOOKUP(A47,[1]Sheet3!$A:$E,5,0)</f>
        <v>#N/A</v>
      </c>
      <c r="F47" t="e">
        <f>VLOOKUP(A47,[1]Sheet3!$A:$L,12,0)</f>
        <v>#N/A</v>
      </c>
      <c r="G47" t="e">
        <f>VLOOKUP(A47,[1]Sheet3!$A:$P,16,0)</f>
        <v>#N/A</v>
      </c>
      <c r="H47" s="23">
        <v>45512.277083333334</v>
      </c>
      <c r="I47" s="22"/>
    </row>
    <row r="48" spans="1:9" ht="15.5" x14ac:dyDescent="0.35">
      <c r="A48" s="9"/>
      <c r="B48" t="e">
        <f>VLOOKUP(A48,[1]Sheet3!$A:$B,2,0)</f>
        <v>#N/A</v>
      </c>
      <c r="C48" t="e">
        <f>VLOOKUP(A48,[1]Sheet3!$A:$C,3,0)</f>
        <v>#N/A</v>
      </c>
      <c r="D48" t="e">
        <f>VLOOKUP(A48,[1]Sheet3!$A:$D,4,0)</f>
        <v>#N/A</v>
      </c>
      <c r="E48" t="e">
        <f>VLOOKUP(A48,[1]Sheet3!$A:$E,5,0)</f>
        <v>#N/A</v>
      </c>
      <c r="F48" t="e">
        <f>VLOOKUP(A48,[1]Sheet3!$A:$L,12,0)</f>
        <v>#N/A</v>
      </c>
      <c r="G48" t="e">
        <f>VLOOKUP(A48,[1]Sheet3!$A:$P,16,0)</f>
        <v>#N/A</v>
      </c>
      <c r="H48" s="23">
        <v>45512.277083333334</v>
      </c>
      <c r="I48" s="22"/>
    </row>
    <row r="49" spans="1:9" ht="15.5" x14ac:dyDescent="0.35">
      <c r="A49" s="9"/>
      <c r="B49" t="e">
        <f>VLOOKUP(A49,[1]Sheet3!$A:$B,2,0)</f>
        <v>#N/A</v>
      </c>
      <c r="C49" t="e">
        <f>VLOOKUP(A49,[1]Sheet3!$A:$C,3,0)</f>
        <v>#N/A</v>
      </c>
      <c r="D49" t="e">
        <f>VLOOKUP(A49,[1]Sheet3!$A:$D,4,0)</f>
        <v>#N/A</v>
      </c>
      <c r="E49" t="e">
        <f>VLOOKUP(A49,[1]Sheet3!$A:$E,5,0)</f>
        <v>#N/A</v>
      </c>
      <c r="F49" t="e">
        <f>VLOOKUP(A49,[1]Sheet3!$A:$L,12,0)</f>
        <v>#N/A</v>
      </c>
      <c r="G49" t="e">
        <f>VLOOKUP(A49,[1]Sheet3!$A:$P,16,0)</f>
        <v>#N/A</v>
      </c>
      <c r="H49" s="23">
        <v>45512.277083333334</v>
      </c>
      <c r="I49" s="22"/>
    </row>
    <row r="50" spans="1:9" ht="15.5" x14ac:dyDescent="0.35">
      <c r="A50" s="9"/>
      <c r="B50" t="e">
        <f>VLOOKUP(A50,[1]Sheet3!$A:$B,2,0)</f>
        <v>#N/A</v>
      </c>
      <c r="C50" t="e">
        <f>VLOOKUP(A50,[1]Sheet3!$A:$C,3,0)</f>
        <v>#N/A</v>
      </c>
      <c r="D50" t="e">
        <f>VLOOKUP(A50,[1]Sheet3!$A:$D,4,0)</f>
        <v>#N/A</v>
      </c>
      <c r="E50" t="e">
        <f>VLOOKUP(A50,[1]Sheet3!$A:$E,5,0)</f>
        <v>#N/A</v>
      </c>
      <c r="F50" t="e">
        <f>VLOOKUP(A50,[1]Sheet3!$A:$L,12,0)</f>
        <v>#N/A</v>
      </c>
      <c r="G50" t="e">
        <f>VLOOKUP(A50,[1]Sheet3!$A:$P,16,0)</f>
        <v>#N/A</v>
      </c>
      <c r="H50" s="23">
        <v>45512.277083333334</v>
      </c>
      <c r="I50" s="22"/>
    </row>
    <row r="51" spans="1:9" ht="15.5" x14ac:dyDescent="0.35">
      <c r="A51" s="9"/>
      <c r="B51" t="e">
        <f>VLOOKUP(A51,[1]Sheet3!$A:$B,2,0)</f>
        <v>#N/A</v>
      </c>
      <c r="C51" t="e">
        <f>VLOOKUP(A51,[1]Sheet3!$A:$C,3,0)</f>
        <v>#N/A</v>
      </c>
      <c r="D51" t="e">
        <f>VLOOKUP(A51,[1]Sheet3!$A:$D,4,0)</f>
        <v>#N/A</v>
      </c>
      <c r="E51" t="e">
        <f>VLOOKUP(A51,[1]Sheet3!$A:$E,5,0)</f>
        <v>#N/A</v>
      </c>
      <c r="F51" t="e">
        <f>VLOOKUP(A51,[1]Sheet3!$A:$L,12,0)</f>
        <v>#N/A</v>
      </c>
      <c r="G51" t="e">
        <f>VLOOKUP(A51,[1]Sheet3!$A:$P,16,0)</f>
        <v>#N/A</v>
      </c>
      <c r="H51" s="23">
        <v>45512.277083333334</v>
      </c>
      <c r="I51" s="22"/>
    </row>
    <row r="52" spans="1:9" ht="15.5" x14ac:dyDescent="0.35">
      <c r="A52" s="9"/>
      <c r="B52" t="e">
        <f>VLOOKUP(A52,[1]Sheet3!$A:$B,2,0)</f>
        <v>#N/A</v>
      </c>
      <c r="C52" t="e">
        <f>VLOOKUP(A52,[1]Sheet3!$A:$C,3,0)</f>
        <v>#N/A</v>
      </c>
      <c r="D52" t="e">
        <f>VLOOKUP(A52,[1]Sheet3!$A:$D,4,0)</f>
        <v>#N/A</v>
      </c>
      <c r="E52" t="e">
        <f>VLOOKUP(A52,[1]Sheet3!$A:$E,5,0)</f>
        <v>#N/A</v>
      </c>
      <c r="F52" t="e">
        <f>VLOOKUP(A52,[1]Sheet3!$A:$L,12,0)</f>
        <v>#N/A</v>
      </c>
      <c r="G52" t="e">
        <f>VLOOKUP(A52,[1]Sheet3!$A:$P,16,0)</f>
        <v>#N/A</v>
      </c>
      <c r="H52" s="23">
        <v>45512.277083333334</v>
      </c>
      <c r="I52" s="22"/>
    </row>
    <row r="53" spans="1:9" ht="15.5" x14ac:dyDescent="0.35">
      <c r="A53" s="9"/>
      <c r="B53" t="e">
        <f>VLOOKUP(A53,[1]Sheet3!$A:$B,2,0)</f>
        <v>#N/A</v>
      </c>
      <c r="C53" t="e">
        <f>VLOOKUP(A53,[1]Sheet3!$A:$C,3,0)</f>
        <v>#N/A</v>
      </c>
      <c r="D53" t="e">
        <f>VLOOKUP(A53,[1]Sheet3!$A:$D,4,0)</f>
        <v>#N/A</v>
      </c>
      <c r="E53" t="e">
        <f>VLOOKUP(A53,[1]Sheet3!$A:$E,5,0)</f>
        <v>#N/A</v>
      </c>
      <c r="F53" t="e">
        <f>VLOOKUP(A53,[1]Sheet3!$A:$L,12,0)</f>
        <v>#N/A</v>
      </c>
      <c r="G53" t="e">
        <f>VLOOKUP(A53,[1]Sheet3!$A:$P,16,0)</f>
        <v>#N/A</v>
      </c>
      <c r="H53" s="23">
        <v>45512.277083333334</v>
      </c>
      <c r="I53" s="22"/>
    </row>
    <row r="54" spans="1:9" ht="15.5" x14ac:dyDescent="0.35">
      <c r="A54" s="9"/>
      <c r="B54" t="e">
        <f>VLOOKUP(A54,[1]Sheet3!$A:$B,2,0)</f>
        <v>#N/A</v>
      </c>
      <c r="C54" t="e">
        <f>VLOOKUP(A54,[1]Sheet3!$A:$C,3,0)</f>
        <v>#N/A</v>
      </c>
      <c r="D54" t="e">
        <f>VLOOKUP(A54,[1]Sheet3!$A:$D,4,0)</f>
        <v>#N/A</v>
      </c>
      <c r="E54" t="e">
        <f>VLOOKUP(A54,[1]Sheet3!$A:$E,5,0)</f>
        <v>#N/A</v>
      </c>
      <c r="F54" t="e">
        <f>VLOOKUP(A54,[1]Sheet3!$A:$L,12,0)</f>
        <v>#N/A</v>
      </c>
      <c r="G54" t="e">
        <f>VLOOKUP(A54,[1]Sheet3!$A:$P,16,0)</f>
        <v>#N/A</v>
      </c>
      <c r="H54" s="23">
        <v>45512.277083333334</v>
      </c>
      <c r="I54" s="22"/>
    </row>
    <row r="55" spans="1:9" ht="15.5" x14ac:dyDescent="0.35">
      <c r="A55" s="9"/>
      <c r="B55" t="e">
        <f>VLOOKUP(A55,[1]Sheet3!$A:$B,2,0)</f>
        <v>#N/A</v>
      </c>
      <c r="C55" t="e">
        <f>VLOOKUP(A55,[1]Sheet3!$A:$C,3,0)</f>
        <v>#N/A</v>
      </c>
      <c r="D55" t="e">
        <f>VLOOKUP(A55,[1]Sheet3!$A:$D,4,0)</f>
        <v>#N/A</v>
      </c>
      <c r="E55" t="e">
        <f>VLOOKUP(A55,[1]Sheet3!$A:$E,5,0)</f>
        <v>#N/A</v>
      </c>
      <c r="F55" t="e">
        <f>VLOOKUP(A55,[1]Sheet3!$A:$L,12,0)</f>
        <v>#N/A</v>
      </c>
      <c r="G55" t="e">
        <f>VLOOKUP(A55,[1]Sheet3!$A:$P,16,0)</f>
        <v>#N/A</v>
      </c>
      <c r="H55" s="23">
        <v>45512.277083333334</v>
      </c>
      <c r="I55" s="22"/>
    </row>
    <row r="56" spans="1:9" ht="15.5" x14ac:dyDescent="0.35">
      <c r="A56" s="9"/>
      <c r="B56" t="e">
        <f>VLOOKUP(A56,[1]Sheet3!$A:$B,2,0)</f>
        <v>#N/A</v>
      </c>
      <c r="C56" t="e">
        <f>VLOOKUP(A56,[1]Sheet3!$A:$C,3,0)</f>
        <v>#N/A</v>
      </c>
      <c r="D56" t="e">
        <f>VLOOKUP(A56,[1]Sheet3!$A:$D,4,0)</f>
        <v>#N/A</v>
      </c>
      <c r="E56" t="e">
        <f>VLOOKUP(A56,[1]Sheet3!$A:$E,5,0)</f>
        <v>#N/A</v>
      </c>
      <c r="F56" t="e">
        <f>VLOOKUP(A56,[1]Sheet3!$A:$L,12,0)</f>
        <v>#N/A</v>
      </c>
      <c r="G56" t="e">
        <f>VLOOKUP(A56,[1]Sheet3!$A:$P,16,0)</f>
        <v>#N/A</v>
      </c>
      <c r="H56" s="23">
        <v>45512.277083333334</v>
      </c>
      <c r="I56" s="22"/>
    </row>
    <row r="57" spans="1:9" ht="15.5" x14ac:dyDescent="0.35">
      <c r="A57" s="9"/>
      <c r="B57" t="e">
        <f>VLOOKUP(A57,[1]Sheet3!$A:$B,2,0)</f>
        <v>#N/A</v>
      </c>
      <c r="C57" t="e">
        <f>VLOOKUP(A57,[1]Sheet3!$A:$C,3,0)</f>
        <v>#N/A</v>
      </c>
      <c r="D57" t="e">
        <f>VLOOKUP(A57,[1]Sheet3!$A:$D,4,0)</f>
        <v>#N/A</v>
      </c>
      <c r="E57" t="e">
        <f>VLOOKUP(A57,[1]Sheet3!$A:$E,5,0)</f>
        <v>#N/A</v>
      </c>
      <c r="F57" t="e">
        <f>VLOOKUP(A57,[1]Sheet3!$A:$L,12,0)</f>
        <v>#N/A</v>
      </c>
      <c r="G57" t="e">
        <f>VLOOKUP(A57,[1]Sheet3!$A:$P,16,0)</f>
        <v>#N/A</v>
      </c>
      <c r="H57" s="23">
        <v>45512.277083333334</v>
      </c>
      <c r="I57" s="22"/>
    </row>
    <row r="58" spans="1:9" ht="15.5" x14ac:dyDescent="0.35">
      <c r="A58" s="9"/>
      <c r="B58" t="e">
        <f>VLOOKUP(A58,[1]Sheet3!$A:$B,2,0)</f>
        <v>#N/A</v>
      </c>
      <c r="C58" t="e">
        <f>VLOOKUP(A58,[1]Sheet3!$A:$C,3,0)</f>
        <v>#N/A</v>
      </c>
      <c r="D58" t="e">
        <f>VLOOKUP(A58,[1]Sheet3!$A:$D,4,0)</f>
        <v>#N/A</v>
      </c>
      <c r="E58" t="e">
        <f>VLOOKUP(A58,[1]Sheet3!$A:$E,5,0)</f>
        <v>#N/A</v>
      </c>
      <c r="F58" t="e">
        <f>VLOOKUP(A58,[1]Sheet3!$A:$L,12,0)</f>
        <v>#N/A</v>
      </c>
      <c r="G58" t="e">
        <f>VLOOKUP(A58,[1]Sheet3!$A:$P,16,0)</f>
        <v>#N/A</v>
      </c>
      <c r="H58" s="23">
        <v>45512.277083333334</v>
      </c>
      <c r="I58" s="22"/>
    </row>
    <row r="59" spans="1:9" ht="15.5" x14ac:dyDescent="0.35">
      <c r="A59" s="9"/>
      <c r="B59" t="e">
        <f>VLOOKUP(A59,[1]Sheet3!$A:$B,2,0)</f>
        <v>#N/A</v>
      </c>
      <c r="C59" t="e">
        <f>VLOOKUP(A59,[1]Sheet3!$A:$C,3,0)</f>
        <v>#N/A</v>
      </c>
      <c r="D59" t="e">
        <f>VLOOKUP(A59,[1]Sheet3!$A:$D,4,0)</f>
        <v>#N/A</v>
      </c>
      <c r="E59" t="e">
        <f>VLOOKUP(A59,[1]Sheet3!$A:$E,5,0)</f>
        <v>#N/A</v>
      </c>
      <c r="F59" t="e">
        <f>VLOOKUP(A59,[1]Sheet3!$A:$L,12,0)</f>
        <v>#N/A</v>
      </c>
      <c r="G59" t="e">
        <f>VLOOKUP(A59,[1]Sheet3!$A:$P,16,0)</f>
        <v>#N/A</v>
      </c>
      <c r="H59" s="23">
        <v>45512.277083333334</v>
      </c>
      <c r="I59" s="22"/>
    </row>
    <row r="60" spans="1:9" ht="15.5" x14ac:dyDescent="0.35">
      <c r="A60" s="9"/>
      <c r="B60" t="e">
        <f>VLOOKUP(A60,[1]Sheet3!$A:$B,2,0)</f>
        <v>#N/A</v>
      </c>
      <c r="C60" t="e">
        <f>VLOOKUP(A60,[1]Sheet3!$A:$C,3,0)</f>
        <v>#N/A</v>
      </c>
      <c r="D60" t="e">
        <f>VLOOKUP(A60,[1]Sheet3!$A:$D,4,0)</f>
        <v>#N/A</v>
      </c>
      <c r="E60" t="e">
        <f>VLOOKUP(A60,[1]Sheet3!$A:$E,5,0)</f>
        <v>#N/A</v>
      </c>
      <c r="F60" t="e">
        <f>VLOOKUP(A60,[1]Sheet3!$A:$L,12,0)</f>
        <v>#N/A</v>
      </c>
      <c r="G60" t="e">
        <f>VLOOKUP(A60,[1]Sheet3!$A:$P,16,0)</f>
        <v>#N/A</v>
      </c>
      <c r="H60" s="23">
        <v>45512.277083333334</v>
      </c>
      <c r="I60" s="22"/>
    </row>
    <row r="61" spans="1:9" ht="15.5" x14ac:dyDescent="0.35">
      <c r="A61" s="9"/>
      <c r="B61" t="e">
        <f>VLOOKUP(A61,[1]Sheet3!$A:$B,2,0)</f>
        <v>#N/A</v>
      </c>
      <c r="C61" t="e">
        <f>VLOOKUP(A61,[1]Sheet3!$A:$C,3,0)</f>
        <v>#N/A</v>
      </c>
      <c r="D61" t="e">
        <f>VLOOKUP(A61,[1]Sheet3!$A:$D,4,0)</f>
        <v>#N/A</v>
      </c>
      <c r="E61" t="e">
        <f>VLOOKUP(A61,[1]Sheet3!$A:$E,5,0)</f>
        <v>#N/A</v>
      </c>
      <c r="F61" t="e">
        <f>VLOOKUP(A61,[1]Sheet3!$A:$L,12,0)</f>
        <v>#N/A</v>
      </c>
      <c r="G61" t="e">
        <f>VLOOKUP(A61,[1]Sheet3!$A:$P,16,0)</f>
        <v>#N/A</v>
      </c>
      <c r="H61" s="23">
        <v>45512.277083333334</v>
      </c>
      <c r="I61" s="22"/>
    </row>
    <row r="62" spans="1:9" ht="15.5" x14ac:dyDescent="0.35">
      <c r="A62" s="9"/>
      <c r="B62" t="e">
        <f>VLOOKUP(A62,[1]Sheet3!$A:$B,2,0)</f>
        <v>#N/A</v>
      </c>
      <c r="C62" t="e">
        <f>VLOOKUP(A62,[1]Sheet3!$A:$C,3,0)</f>
        <v>#N/A</v>
      </c>
      <c r="D62" t="e">
        <f>VLOOKUP(A62,[1]Sheet3!$A:$D,4,0)</f>
        <v>#N/A</v>
      </c>
      <c r="E62" t="e">
        <f>VLOOKUP(A62,[1]Sheet3!$A:$E,5,0)</f>
        <v>#N/A</v>
      </c>
      <c r="F62" t="e">
        <f>VLOOKUP(A62,[1]Sheet3!$A:$L,12,0)</f>
        <v>#N/A</v>
      </c>
      <c r="G62" t="e">
        <f>VLOOKUP(A62,[1]Sheet3!$A:$P,16,0)</f>
        <v>#N/A</v>
      </c>
      <c r="H62" s="23">
        <v>45512.277083333334</v>
      </c>
      <c r="I62" s="22"/>
    </row>
    <row r="63" spans="1:9" ht="15.5" x14ac:dyDescent="0.35">
      <c r="A63" s="9"/>
      <c r="B63" t="e">
        <f>VLOOKUP(A63,[1]Sheet3!$A:$B,2,0)</f>
        <v>#N/A</v>
      </c>
      <c r="C63" t="e">
        <f>VLOOKUP(A63,[1]Sheet3!$A:$C,3,0)</f>
        <v>#N/A</v>
      </c>
      <c r="D63" t="e">
        <f>VLOOKUP(A63,[1]Sheet3!$A:$D,4,0)</f>
        <v>#N/A</v>
      </c>
      <c r="E63" t="e">
        <f>VLOOKUP(A63,[1]Sheet3!$A:$E,5,0)</f>
        <v>#N/A</v>
      </c>
      <c r="F63" t="e">
        <f>VLOOKUP(A63,[1]Sheet3!$A:$L,12,0)</f>
        <v>#N/A</v>
      </c>
      <c r="G63" t="e">
        <f>VLOOKUP(A63,[1]Sheet3!$A:$P,16,0)</f>
        <v>#N/A</v>
      </c>
      <c r="H63" s="23">
        <v>45512.277083333334</v>
      </c>
      <c r="I63" s="22"/>
    </row>
    <row r="64" spans="1:9" ht="15.5" x14ac:dyDescent="0.35">
      <c r="A64" s="9"/>
      <c r="B64" t="e">
        <f>VLOOKUP(A64,[1]Sheet3!$A:$B,2,0)</f>
        <v>#N/A</v>
      </c>
      <c r="C64" t="e">
        <f>VLOOKUP(A64,[1]Sheet3!$A:$C,3,0)</f>
        <v>#N/A</v>
      </c>
      <c r="D64" t="e">
        <f>VLOOKUP(A64,[1]Sheet3!$A:$D,4,0)</f>
        <v>#N/A</v>
      </c>
      <c r="E64" t="e">
        <f>VLOOKUP(A64,[1]Sheet3!$A:$E,5,0)</f>
        <v>#N/A</v>
      </c>
      <c r="F64" t="e">
        <f>VLOOKUP(A64,[1]Sheet3!$A:$L,12,0)</f>
        <v>#N/A</v>
      </c>
      <c r="G64" t="e">
        <f>VLOOKUP(A64,[1]Sheet3!$A:$P,16,0)</f>
        <v>#N/A</v>
      </c>
      <c r="H64" s="23">
        <v>45512.277083333334</v>
      </c>
      <c r="I64" s="22"/>
    </row>
    <row r="65" spans="1:9" ht="15.5" x14ac:dyDescent="0.35">
      <c r="A65" s="9"/>
      <c r="B65" t="e">
        <f>VLOOKUP(A65,[1]Sheet3!$A:$B,2,0)</f>
        <v>#N/A</v>
      </c>
      <c r="C65" t="e">
        <f>VLOOKUP(A65,[1]Sheet3!$A:$C,3,0)</f>
        <v>#N/A</v>
      </c>
      <c r="D65" t="e">
        <f>VLOOKUP(A65,[1]Sheet3!$A:$D,4,0)</f>
        <v>#N/A</v>
      </c>
      <c r="E65" t="e">
        <f>VLOOKUP(A65,[1]Sheet3!$A:$E,5,0)</f>
        <v>#N/A</v>
      </c>
      <c r="F65" t="e">
        <f>VLOOKUP(A65,[1]Sheet3!$A:$L,12,0)</f>
        <v>#N/A</v>
      </c>
      <c r="G65" t="e">
        <f>VLOOKUP(A65,[1]Sheet3!$A:$P,16,0)</f>
        <v>#N/A</v>
      </c>
      <c r="H65" s="23">
        <v>45512.277083333334</v>
      </c>
      <c r="I65" s="22"/>
    </row>
    <row r="66" spans="1:9" ht="15.5" x14ac:dyDescent="0.35">
      <c r="A66" s="9"/>
      <c r="B66" t="e">
        <f>VLOOKUP(A66,[1]Sheet3!$A:$B,2,0)</f>
        <v>#N/A</v>
      </c>
      <c r="C66" t="e">
        <f>VLOOKUP(A66,[1]Sheet3!$A:$C,3,0)</f>
        <v>#N/A</v>
      </c>
      <c r="D66" t="e">
        <f>VLOOKUP(A66,[1]Sheet3!$A:$D,4,0)</f>
        <v>#N/A</v>
      </c>
      <c r="E66" t="e">
        <f>VLOOKUP(A66,[1]Sheet3!$A:$E,5,0)</f>
        <v>#N/A</v>
      </c>
      <c r="F66" t="e">
        <f>VLOOKUP(A66,[1]Sheet3!$A:$L,12,0)</f>
        <v>#N/A</v>
      </c>
      <c r="G66" t="e">
        <f>VLOOKUP(A66,[1]Sheet3!$A:$P,16,0)</f>
        <v>#N/A</v>
      </c>
      <c r="H66" s="23">
        <v>45512.277083333334</v>
      </c>
      <c r="I66" s="22"/>
    </row>
    <row r="67" spans="1:9" ht="15.5" x14ac:dyDescent="0.35">
      <c r="A67" s="9"/>
      <c r="B67" t="e">
        <f>VLOOKUP(A67,[1]Sheet3!$A:$B,2,0)</f>
        <v>#N/A</v>
      </c>
      <c r="C67" t="e">
        <f>VLOOKUP(A67,[1]Sheet3!$A:$C,3,0)</f>
        <v>#N/A</v>
      </c>
      <c r="D67" t="e">
        <f>VLOOKUP(A67,[1]Sheet3!$A:$D,4,0)</f>
        <v>#N/A</v>
      </c>
      <c r="E67" t="e">
        <f>VLOOKUP(A67,[1]Sheet3!$A:$E,5,0)</f>
        <v>#N/A</v>
      </c>
      <c r="F67" t="e">
        <f>VLOOKUP(A67,[1]Sheet3!$A:$L,12,0)</f>
        <v>#N/A</v>
      </c>
      <c r="G67" t="e">
        <f>VLOOKUP(A67,[1]Sheet3!$A:$P,16,0)</f>
        <v>#N/A</v>
      </c>
      <c r="H67" s="17">
        <v>45457.619421296295</v>
      </c>
      <c r="I67" s="22"/>
    </row>
    <row r="68" spans="1:9" ht="15.5" x14ac:dyDescent="0.35">
      <c r="A68" s="9"/>
      <c r="B68" t="e">
        <f>VLOOKUP(A68,[1]Sheet3!$A:$B,2,0)</f>
        <v>#N/A</v>
      </c>
      <c r="C68" t="e">
        <f>VLOOKUP(A68,[1]Sheet3!$A:$C,3,0)</f>
        <v>#N/A</v>
      </c>
      <c r="D68" t="e">
        <f>VLOOKUP(A68,[1]Sheet3!$A:$D,4,0)</f>
        <v>#N/A</v>
      </c>
      <c r="E68" t="e">
        <f>VLOOKUP(A68,[1]Sheet3!$A:$E,5,0)</f>
        <v>#N/A</v>
      </c>
      <c r="F68" t="e">
        <f>VLOOKUP(A68,[1]Sheet3!$A:$L,12,0)</f>
        <v>#N/A</v>
      </c>
      <c r="G68" t="e">
        <f>VLOOKUP(A68,[1]Sheet3!$A:$P,16,0)</f>
        <v>#N/A</v>
      </c>
      <c r="H68" s="17">
        <v>45457.619432870371</v>
      </c>
      <c r="I68" s="22"/>
    </row>
  </sheetData>
  <mergeCells count="4">
    <mergeCell ref="M1:N1"/>
    <mergeCell ref="P1:P3"/>
    <mergeCell ref="Q1:Q2"/>
    <mergeCell ref="O2:O3"/>
  </mergeCells>
  <conditionalFormatting sqref="A1">
    <cfRule type="duplicateValues" dxfId="2" priority="3"/>
  </conditionalFormatting>
  <conditionalFormatting sqref="A1">
    <cfRule type="duplicateValues" dxfId="1" priority="2"/>
  </conditionalFormatting>
  <conditionalFormatting sqref="A1">
    <cfRule type="cellIs" dxfId="0" priority="1" operator="equal">
      <formula>6718208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00182a91-db98-4a80-8d2e-7e839549b39a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39D063D6E556742BD6CBFEFFD1036E5" ma:contentTypeVersion="6" ma:contentTypeDescription="Create a new document." ma:contentTypeScope="" ma:versionID="09bcfa3c3243e271b2915725d4956a68">
  <xsd:schema xmlns:xsd="http://www.w3.org/2001/XMLSchema" xmlns:xs="http://www.w3.org/2001/XMLSchema" xmlns:p="http://schemas.microsoft.com/office/2006/metadata/properties" xmlns:ns3="00182a91-db98-4a80-8d2e-7e839549b39a" targetNamespace="http://schemas.microsoft.com/office/2006/metadata/properties" ma:root="true" ma:fieldsID="ed1805239bda1fafb5303037142823e6" ns3:_="">
    <xsd:import namespace="00182a91-db98-4a80-8d2e-7e839549b39a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0182a91-db98-4a80-8d2e-7e839549b39a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5CD7D84-BCBB-4B1D-BD35-55BC59FBCD0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F9B021-94A4-4A30-9D72-141A286649C5}">
  <ds:schemaRefs>
    <ds:schemaRef ds:uri="http://schemas.microsoft.com/office/2006/metadata/properties"/>
    <ds:schemaRef ds:uri="http://schemas.microsoft.com/office/infopath/2007/PartnerControls"/>
    <ds:schemaRef ds:uri="00182a91-db98-4a80-8d2e-7e839549b39a"/>
  </ds:schemaRefs>
</ds:datastoreItem>
</file>

<file path=customXml/itemProps3.xml><?xml version="1.0" encoding="utf-8"?>
<ds:datastoreItem xmlns:ds="http://schemas.openxmlformats.org/officeDocument/2006/customXml" ds:itemID="{8DEECC92-CD40-4ADC-84D7-65DF30B7003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0182a91-db98-4a80-8d2e-7e839549b39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8-AGOSTO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Cristales, Josefina</dc:creator>
  <cp:keywords/>
  <dc:description/>
  <cp:lastModifiedBy>Armando Rosas Pérez</cp:lastModifiedBy>
  <cp:revision/>
  <dcterms:created xsi:type="dcterms:W3CDTF">2024-06-01T00:30:42Z</dcterms:created>
  <dcterms:modified xsi:type="dcterms:W3CDTF">2024-08-08T16:43:47Z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0x010100639D063D6E556742BD6CBFEFFD1036E5</vt:lpwstr>
  </property>
</Properties>
</file>